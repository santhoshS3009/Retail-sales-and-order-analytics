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07a371fc88318b/Documents/"/>
    </mc:Choice>
  </mc:AlternateContent>
  <xr:revisionPtr revIDLastSave="164" documentId="8_{B5A55224-5F90-4B05-9A29-BA62A0D83EA6}" xr6:coauthVersionLast="47" xr6:coauthVersionMax="47" xr10:uidLastSave="{A8920431-DE64-48F8-8BFD-9B66F66E3D1B}"/>
  <bookViews>
    <workbookView xWindow="-108" yWindow="-108" windowWidth="23256" windowHeight="12456" firstSheet="1" activeTab="8" xr2:uid="{E2305FF7-8339-4CC7-BEC1-C15787C245A1}"/>
  </bookViews>
  <sheets>
    <sheet name="brands" sheetId="13" r:id="rId1"/>
    <sheet name="order_items " sheetId="4" r:id="rId2"/>
    <sheet name="stocks" sheetId="2" r:id="rId3"/>
    <sheet name="PIVOT" sheetId="18" r:id="rId4"/>
    <sheet name="products " sheetId="3" r:id="rId5"/>
    <sheet name="stores " sheetId="5" r:id="rId6"/>
    <sheet name="staffs " sheetId="7" r:id="rId7"/>
    <sheet name="customers " sheetId="11" r:id="rId8"/>
    <sheet name="orders" sheetId="9" r:id="rId9"/>
    <sheet name="categories" sheetId="15" r:id="rId10"/>
  </sheets>
  <definedNames>
    <definedName name="ExternalData_1" localSheetId="0" hidden="1">brands!$A$1:$B$10</definedName>
    <definedName name="ExternalData_1" localSheetId="9" hidden="1">categories!$A$1:$B$8</definedName>
    <definedName name="ExternalData_1" localSheetId="7" hidden="1">'customers '!$A$1:$I$1446</definedName>
    <definedName name="ExternalData_1" localSheetId="1" hidden="1">'order_items '!$A$1:$F$1616</definedName>
    <definedName name="ExternalData_1" localSheetId="8" hidden="1">orders!$A$1:$H$1616</definedName>
    <definedName name="ExternalData_1" localSheetId="4" hidden="1">'products '!$A$1:$F$322</definedName>
    <definedName name="ExternalData_1" localSheetId="6" hidden="1">'staffs '!$A$1:$H$11</definedName>
    <definedName name="ExternalData_1" localSheetId="2" hidden="1">stocks!$A$1:$C$940</definedName>
    <definedName name="ExternalData_1" localSheetId="5" hidden="1">'stores '!$A$1:$H$4</definedName>
  </definedNames>
  <calcPr calcId="191029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4" i="9" l="1"/>
  <c r="F247" i="9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G253" i="3"/>
  <c r="G163" i="3"/>
  <c r="G128" i="3"/>
  <c r="G58" i="3"/>
  <c r="G122" i="3"/>
  <c r="G227" i="3"/>
  <c r="G27" i="3"/>
  <c r="G94" i="3"/>
  <c r="G50" i="3"/>
  <c r="G106" i="3"/>
  <c r="G100" i="3"/>
  <c r="G207" i="3"/>
  <c r="G294" i="3"/>
  <c r="G295" i="3"/>
  <c r="G212" i="3"/>
  <c r="G195" i="3"/>
  <c r="G245" i="3"/>
  <c r="G240" i="3"/>
  <c r="G241" i="3"/>
  <c r="G196" i="3"/>
  <c r="G296" i="3"/>
  <c r="G297" i="3"/>
  <c r="G281" i="3"/>
  <c r="G208" i="3"/>
  <c r="G215" i="3"/>
  <c r="G197" i="3"/>
  <c r="G129" i="3"/>
  <c r="G75" i="3"/>
  <c r="G130" i="3"/>
  <c r="G131" i="3"/>
  <c r="G101" i="3"/>
  <c r="G228" i="3"/>
  <c r="G229" i="3"/>
  <c r="G230" i="3"/>
  <c r="G157" i="3"/>
  <c r="G158" i="3"/>
  <c r="G254" i="3"/>
  <c r="G209" i="3"/>
  <c r="G111" i="3"/>
  <c r="G15" i="3"/>
  <c r="G118" i="3"/>
  <c r="G82" i="3"/>
  <c r="G13" i="3"/>
  <c r="G210" i="3"/>
  <c r="G155" i="3"/>
  <c r="G120" i="3"/>
  <c r="G14" i="3"/>
  <c r="G112" i="3"/>
  <c r="G31" i="3"/>
  <c r="G8" i="3"/>
  <c r="G4" i="3"/>
  <c r="G154" i="3"/>
  <c r="G164" i="3"/>
  <c r="G40" i="3"/>
  <c r="G66" i="3"/>
  <c r="G9" i="3"/>
  <c r="G89" i="3"/>
  <c r="G16" i="3"/>
  <c r="G67" i="3"/>
  <c r="G103" i="3"/>
  <c r="G17" i="3"/>
  <c r="G32" i="3"/>
  <c r="G33" i="3"/>
  <c r="G216" i="3"/>
  <c r="G265" i="3"/>
  <c r="G301" i="3"/>
  <c r="G302" i="3"/>
  <c r="G235" i="3"/>
  <c r="G246" i="3"/>
  <c r="G187" i="3"/>
  <c r="G247" i="3"/>
  <c r="G194" i="3"/>
  <c r="G165" i="3"/>
  <c r="G242" i="3"/>
  <c r="G198" i="3"/>
  <c r="G282" i="3"/>
  <c r="G159" i="3"/>
  <c r="G190" i="3"/>
  <c r="G250" i="3"/>
  <c r="G162" i="3"/>
  <c r="G126" i="3"/>
  <c r="G188" i="3"/>
  <c r="G319" i="3"/>
  <c r="G321" i="3"/>
  <c r="G267" i="3"/>
  <c r="G320" i="3"/>
  <c r="G316" i="3"/>
  <c r="G317" i="3"/>
  <c r="G308" i="3"/>
  <c r="G309" i="3"/>
  <c r="G262" i="3"/>
  <c r="G310" i="3"/>
  <c r="G311" i="3"/>
  <c r="G303" i="3"/>
  <c r="G283" i="3"/>
  <c r="G263" i="3"/>
  <c r="G264" i="3"/>
  <c r="G217" i="3"/>
  <c r="G284" i="3"/>
  <c r="G218" i="3"/>
  <c r="G266" i="3"/>
  <c r="G219" i="3"/>
  <c r="G206" i="3"/>
  <c r="G222" i="3"/>
  <c r="G211" i="3"/>
  <c r="G236" i="3"/>
  <c r="G248" i="3"/>
  <c r="G237" i="3"/>
  <c r="G249" i="3"/>
  <c r="G225" i="3"/>
  <c r="G226" i="3"/>
  <c r="G255" i="3"/>
  <c r="G220" i="3"/>
  <c r="G201" i="3"/>
  <c r="G41" i="3"/>
  <c r="G166" i="3"/>
  <c r="G119" i="3"/>
  <c r="G132" i="3"/>
  <c r="G231" i="3"/>
  <c r="G76" i="3"/>
  <c r="G77" i="3"/>
  <c r="G78" i="3"/>
  <c r="G133" i="3"/>
  <c r="G117" i="3"/>
  <c r="G232" i="3"/>
  <c r="G233" i="3"/>
  <c r="G234" i="3"/>
  <c r="G92" i="3"/>
  <c r="G136" i="3"/>
  <c r="G137" i="3"/>
  <c r="G73" i="3"/>
  <c r="G113" i="3"/>
  <c r="G114" i="3"/>
  <c r="G115" i="3"/>
  <c r="G116" i="3"/>
  <c r="G95" i="3"/>
  <c r="G74" i="3"/>
  <c r="G86" i="3"/>
  <c r="G51" i="3"/>
  <c r="G18" i="3"/>
  <c r="G102" i="3"/>
  <c r="G42" i="3"/>
  <c r="G127" i="3"/>
  <c r="G104" i="3"/>
  <c r="G96" i="3"/>
  <c r="G19" i="3"/>
  <c r="G97" i="3"/>
  <c r="G10" i="3"/>
  <c r="G3" i="3"/>
  <c r="G23" i="3"/>
  <c r="G105" i="3"/>
  <c r="G79" i="3"/>
  <c r="G20" i="3"/>
  <c r="G11" i="3"/>
  <c r="G2" i="3"/>
  <c r="G5" i="3"/>
  <c r="G6" i="3"/>
  <c r="G134" i="3"/>
  <c r="G83" i="3"/>
  <c r="G24" i="3"/>
  <c r="G93" i="3"/>
  <c r="G52" i="3"/>
  <c r="G121" i="3"/>
  <c r="G107" i="3"/>
  <c r="G80" i="3"/>
  <c r="G167" i="3"/>
  <c r="G168" i="3"/>
  <c r="G108" i="3"/>
  <c r="G7" i="3"/>
  <c r="G123" i="3"/>
  <c r="G43" i="3"/>
  <c r="G44" i="3"/>
  <c r="G45" i="3"/>
  <c r="G46" i="3"/>
  <c r="G47" i="3"/>
  <c r="G48" i="3"/>
  <c r="G12" i="3"/>
  <c r="G169" i="3"/>
  <c r="G138" i="3"/>
  <c r="G139" i="3"/>
  <c r="G87" i="3"/>
  <c r="G81" i="3"/>
  <c r="G88" i="3"/>
  <c r="G34" i="3"/>
  <c r="G59" i="3"/>
  <c r="G25" i="3"/>
  <c r="G60" i="3"/>
  <c r="G35" i="3"/>
  <c r="G61" i="3"/>
  <c r="G62" i="3"/>
  <c r="G63" i="3"/>
  <c r="G68" i="3"/>
  <c r="G64" i="3"/>
  <c r="G36" i="3"/>
  <c r="G69" i="3"/>
  <c r="G84" i="3"/>
  <c r="G85" i="3"/>
  <c r="G53" i="3"/>
  <c r="G54" i="3"/>
  <c r="G37" i="3"/>
  <c r="G26" i="3"/>
  <c r="G38" i="3"/>
  <c r="G21" i="3"/>
  <c r="G30" i="3"/>
  <c r="G22" i="3"/>
  <c r="G39" i="3"/>
  <c r="G28" i="3"/>
  <c r="G98" i="3"/>
  <c r="G55" i="3"/>
  <c r="G109" i="3"/>
  <c r="G110" i="3"/>
  <c r="G202" i="3"/>
  <c r="G298" i="3"/>
  <c r="G141" i="3"/>
  <c r="G170" i="3"/>
  <c r="G142" i="3"/>
  <c r="G140" i="3"/>
  <c r="G268" i="3"/>
  <c r="G191" i="3"/>
  <c r="G299" i="3"/>
  <c r="G269" i="3"/>
  <c r="G300" i="3"/>
  <c r="G213" i="3"/>
  <c r="G223" i="3"/>
  <c r="G135" i="3"/>
  <c r="G183" i="3"/>
  <c r="G270" i="3"/>
  <c r="G271" i="3"/>
  <c r="G243" i="3"/>
  <c r="G244" i="3"/>
  <c r="G214" i="3"/>
  <c r="G224" i="3"/>
  <c r="G192" i="3"/>
  <c r="G143" i="3"/>
  <c r="G144" i="3"/>
  <c r="G171" i="3"/>
  <c r="G156" i="3"/>
  <c r="G172" i="3"/>
  <c r="G173" i="3"/>
  <c r="G145" i="3"/>
  <c r="G174" i="3"/>
  <c r="G181" i="3"/>
  <c r="G184" i="3"/>
  <c r="G203" i="3"/>
  <c r="G189" i="3"/>
  <c r="G193" i="3"/>
  <c r="G199" i="3"/>
  <c r="G200" i="3"/>
  <c r="G175" i="3"/>
  <c r="G70" i="3"/>
  <c r="G56" i="3"/>
  <c r="G57" i="3"/>
  <c r="G71" i="3"/>
  <c r="G176" i="3"/>
  <c r="G146" i="3"/>
  <c r="G147" i="3"/>
  <c r="G148" i="3"/>
  <c r="G124" i="3"/>
  <c r="G125" i="3"/>
  <c r="G160" i="3"/>
  <c r="G149" i="3"/>
  <c r="G304" i="3"/>
  <c r="G322" i="3"/>
  <c r="G305" i="3"/>
  <c r="G285" i="3"/>
  <c r="G251" i="3"/>
  <c r="G314" i="3"/>
  <c r="G318" i="3"/>
  <c r="G315" i="3"/>
  <c r="G312" i="3"/>
  <c r="G313" i="3"/>
  <c r="G286" i="3"/>
  <c r="G287" i="3"/>
  <c r="G306" i="3"/>
  <c r="G307" i="3"/>
  <c r="G272" i="3"/>
  <c r="G256" i="3"/>
  <c r="G257" i="3"/>
  <c r="G273" i="3"/>
  <c r="G221" i="3"/>
  <c r="G274" i="3"/>
  <c r="G288" i="3"/>
  <c r="G275" i="3"/>
  <c r="G276" i="3"/>
  <c r="G289" i="3"/>
  <c r="G290" i="3"/>
  <c r="G291" i="3"/>
  <c r="G252" i="3"/>
  <c r="G277" i="3"/>
  <c r="G258" i="3"/>
  <c r="G278" i="3"/>
  <c r="G259" i="3"/>
  <c r="G279" i="3"/>
  <c r="G260" i="3"/>
  <c r="G280" i="3"/>
  <c r="G261" i="3"/>
  <c r="G292" i="3"/>
  <c r="G293" i="3"/>
  <c r="G204" i="3"/>
  <c r="G161" i="3"/>
  <c r="G150" i="3"/>
  <c r="G238" i="3"/>
  <c r="G72" i="3"/>
  <c r="G185" i="3"/>
  <c r="G177" i="3"/>
  <c r="G151" i="3"/>
  <c r="G178" i="3"/>
  <c r="G179" i="3"/>
  <c r="G152" i="3"/>
  <c r="G153" i="3"/>
  <c r="G180" i="3"/>
  <c r="G182" i="3"/>
  <c r="G239" i="3"/>
  <c r="G186" i="3"/>
  <c r="G205" i="3"/>
  <c r="G99" i="3"/>
  <c r="G90" i="3"/>
  <c r="G91" i="3"/>
  <c r="G65" i="3"/>
  <c r="G29" i="3"/>
  <c r="G49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2" i="4"/>
  <c r="F1616" i="9"/>
  <c r="F1615" i="9"/>
  <c r="F1613" i="9"/>
  <c r="F1612" i="9"/>
  <c r="F1611" i="9"/>
  <c r="F1610" i="9"/>
  <c r="F1609" i="9"/>
  <c r="F1608" i="9"/>
  <c r="F1607" i="9"/>
  <c r="F1606" i="9"/>
  <c r="F1605" i="9"/>
  <c r="F1604" i="9"/>
  <c r="F1603" i="9"/>
  <c r="F1602" i="9"/>
  <c r="F1601" i="9"/>
  <c r="F1600" i="9"/>
  <c r="F1599" i="9"/>
  <c r="F1598" i="9"/>
  <c r="F1597" i="9"/>
  <c r="F1596" i="9"/>
  <c r="F1595" i="9"/>
  <c r="F1594" i="9"/>
  <c r="F1593" i="9"/>
  <c r="F1592" i="9"/>
  <c r="F1591" i="9"/>
  <c r="F1590" i="9"/>
  <c r="F1589" i="9"/>
  <c r="F1588" i="9"/>
  <c r="F1587" i="9"/>
  <c r="F1586" i="9"/>
  <c r="F1585" i="9"/>
  <c r="F1584" i="9"/>
  <c r="F1583" i="9"/>
  <c r="F1582" i="9"/>
  <c r="F1581" i="9"/>
  <c r="F1580" i="9"/>
  <c r="F1579" i="9"/>
  <c r="F1578" i="9"/>
  <c r="F1577" i="9"/>
  <c r="F1576" i="9"/>
  <c r="F1575" i="9"/>
  <c r="F1574" i="9"/>
  <c r="F1573" i="9"/>
  <c r="F1572" i="9"/>
  <c r="F1571" i="9"/>
  <c r="F1570" i="9"/>
  <c r="F1569" i="9"/>
  <c r="F1568" i="9"/>
  <c r="F1567" i="9"/>
  <c r="F1566" i="9"/>
  <c r="F1565" i="9"/>
  <c r="F1564" i="9"/>
  <c r="F1563" i="9"/>
  <c r="F1562" i="9"/>
  <c r="F1561" i="9"/>
  <c r="F1560" i="9"/>
  <c r="F1559" i="9"/>
  <c r="F1558" i="9"/>
  <c r="F1557" i="9"/>
  <c r="F1556" i="9"/>
  <c r="F1555" i="9"/>
  <c r="F1554" i="9"/>
  <c r="F1553" i="9"/>
  <c r="F1552" i="9"/>
  <c r="F1551" i="9"/>
  <c r="F1550" i="9"/>
  <c r="F1549" i="9"/>
  <c r="F1548" i="9"/>
  <c r="F1547" i="9"/>
  <c r="F1546" i="9"/>
  <c r="F1545" i="9"/>
  <c r="F1544" i="9"/>
  <c r="F1543" i="9"/>
  <c r="F1542" i="9"/>
  <c r="F1541" i="9"/>
  <c r="F1540" i="9"/>
  <c r="F1539" i="9"/>
  <c r="F1538" i="9"/>
  <c r="F1537" i="9"/>
  <c r="F1536" i="9"/>
  <c r="F1535" i="9"/>
  <c r="F1534" i="9"/>
  <c r="F1533" i="9"/>
  <c r="F1532" i="9"/>
  <c r="F1531" i="9"/>
  <c r="F1530" i="9"/>
  <c r="F1529" i="9"/>
  <c r="F1528" i="9"/>
  <c r="F1527" i="9"/>
  <c r="F1526" i="9"/>
  <c r="F1525" i="9"/>
  <c r="F1524" i="9"/>
  <c r="F1523" i="9"/>
  <c r="F1522" i="9"/>
  <c r="F1521" i="9"/>
  <c r="F1520" i="9"/>
  <c r="F1519" i="9"/>
  <c r="F1518" i="9"/>
  <c r="F1517" i="9"/>
  <c r="F1516" i="9"/>
  <c r="F1515" i="9"/>
  <c r="F1514" i="9"/>
  <c r="F1513" i="9"/>
  <c r="F1512" i="9"/>
  <c r="F1511" i="9"/>
  <c r="F1510" i="9"/>
  <c r="F1509" i="9"/>
  <c r="F1508" i="9"/>
  <c r="F1507" i="9"/>
  <c r="F1506" i="9"/>
  <c r="F1505" i="9"/>
  <c r="F1504" i="9"/>
  <c r="F1503" i="9"/>
  <c r="F1502" i="9"/>
  <c r="F1501" i="9"/>
  <c r="F1500" i="9"/>
  <c r="F1499" i="9"/>
  <c r="F1498" i="9"/>
  <c r="F1497" i="9"/>
  <c r="F1496" i="9"/>
  <c r="F1495" i="9"/>
  <c r="F1494" i="9"/>
  <c r="F1493" i="9"/>
  <c r="F1492" i="9"/>
  <c r="F1491" i="9"/>
  <c r="F1490" i="9"/>
  <c r="F1489" i="9"/>
  <c r="F1488" i="9"/>
  <c r="F1487" i="9"/>
  <c r="F1486" i="9"/>
  <c r="F1485" i="9"/>
  <c r="F1484" i="9"/>
  <c r="F1483" i="9"/>
  <c r="F1482" i="9"/>
  <c r="F1481" i="9"/>
  <c r="F1480" i="9"/>
  <c r="F1408" i="9"/>
  <c r="F1260" i="9"/>
  <c r="F1235" i="9"/>
  <c r="F1178" i="9"/>
  <c r="F1090" i="9"/>
  <c r="F1075" i="9"/>
  <c r="F1073" i="9"/>
  <c r="F1048" i="9"/>
  <c r="F1021" i="9"/>
  <c r="F1011" i="9"/>
  <c r="F936" i="9"/>
  <c r="F925" i="9"/>
  <c r="F886" i="9"/>
  <c r="F811" i="9"/>
  <c r="F779" i="9"/>
  <c r="F736" i="9"/>
  <c r="F716" i="9"/>
  <c r="F693" i="9"/>
  <c r="F599" i="9"/>
  <c r="F583" i="9"/>
  <c r="F550" i="9"/>
  <c r="F408" i="9"/>
  <c r="F392" i="9"/>
  <c r="F358" i="9"/>
  <c r="F351" i="9"/>
  <c r="F350" i="9"/>
  <c r="F265" i="9"/>
  <c r="F240" i="9"/>
  <c r="F186" i="9"/>
  <c r="F159" i="9"/>
  <c r="F77" i="9"/>
  <c r="F7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D81077-6971-4E46-A384-EB085F368B15}" keepAlive="1" name="Query - brands - brands" description="Connection to the 'brands - brands' query in the workbook." type="5" refreshedVersion="8" background="1" saveData="1">
    <dbPr connection="Provider=Microsoft.Mashup.OleDb.1;Data Source=$Workbook$;Location=&quot;brands - brands&quot;;Extended Properties=&quot;&quot;" command="SELECT * FROM [brands - brands]"/>
  </connection>
  <connection id="2" xr16:uid="{B0660150-B52A-4635-912A-E67E28BC10B0}" keepAlive="1" name="Query - categories - categories" description="Connection to the 'categories - categories' query in the workbook." type="5" refreshedVersion="8" background="1" saveData="1">
    <dbPr connection="Provider=Microsoft.Mashup.OleDb.1;Data Source=$Workbook$;Location=&quot;categories - categories&quot;;Extended Properties=&quot;&quot;" command="SELECT * FROM [categories - categories]"/>
  </connection>
  <connection id="3" xr16:uid="{E0D2FF4D-D090-4A18-A56B-7BAC7F999587}" keepAlive="1" name="Query - customers - customers" description="Connection to the 'customers - customers' query in the workbook." type="5" refreshedVersion="8" background="1" saveData="1">
    <dbPr connection="Provider=Microsoft.Mashup.OleDb.1;Data Source=$Workbook$;Location=&quot;customers - customers&quot;;Extended Properties=&quot;&quot;" command="SELECT * FROM [customers - customers]"/>
  </connection>
  <connection id="4" xr16:uid="{F471EAE9-5E7C-48B1-9BD1-8B2500C5BEE6}" keepAlive="1" name="Query - order_items - order_items" description="Connection to the 'order_items - order_items' query in the workbook." type="5" refreshedVersion="8" background="1" saveData="1">
    <dbPr connection="Provider=Microsoft.Mashup.OleDb.1;Data Source=$Workbook$;Location=&quot;order_items - order_items&quot;;Extended Properties=&quot;&quot;" command="SELECT * FROM [order_items - order_items]"/>
  </connection>
  <connection id="5" xr16:uid="{EDF6310B-BFAA-4A91-B6FC-8FFF51977C85}" keepAlive="1" name="Query - orders - orders" description="Connection to the 'orders - orders' query in the workbook." type="5" refreshedVersion="8" background="1" saveData="1">
    <dbPr connection="Provider=Microsoft.Mashup.OleDb.1;Data Source=$Workbook$;Location=&quot;orders - orders&quot;;Extended Properties=&quot;&quot;" command="SELECT * FROM [orders - orders]"/>
  </connection>
  <connection id="6" xr16:uid="{7324087D-0B23-45E6-92DB-BA700AC1972D}" keepAlive="1" name="Query - products - products" description="Connection to the 'products - products' query in the workbook." type="5" refreshedVersion="8" background="1" saveData="1">
    <dbPr connection="Provider=Microsoft.Mashup.OleDb.1;Data Source=$Workbook$;Location=&quot;products - products&quot;;Extended Properties=&quot;&quot;" command="SELECT * FROM [products - products]"/>
  </connection>
  <connection id="7" xr16:uid="{68457B91-3045-40ED-94F6-9349B0F80203}" keepAlive="1" name="Query - staffs - staffs" description="Connection to the 'staffs - staffs' query in the workbook." type="5" refreshedVersion="8" background="1" saveData="1">
    <dbPr connection="Provider=Microsoft.Mashup.OleDb.1;Data Source=$Workbook$;Location=&quot;staffs - staffs&quot;;Extended Properties=&quot;&quot;" command="SELECT * FROM [staffs - staffs]"/>
  </connection>
  <connection id="8" xr16:uid="{6B20DBF8-40E8-40EB-8583-4446B2A4B8C0}" keepAlive="1" name="Query - stocks - stocks" description="Connection to the 'stocks - stocks' query in the workbook." type="5" refreshedVersion="8" background="1" saveData="1">
    <dbPr connection="Provider=Microsoft.Mashup.OleDb.1;Data Source=$Workbook$;Location=&quot;stocks - stocks&quot;;Extended Properties=&quot;&quot;" command="SELECT * FROM [stocks - stocks]"/>
  </connection>
  <connection id="9" xr16:uid="{7C403DBF-E719-4CD1-B1CF-84797459316F}" keepAlive="1" name="Query - stores - stores" description="Connection to the 'stores - stores' query in the workbook." type="5" refreshedVersion="8" background="1" saveData="1">
    <dbPr connection="Provider=Microsoft.Mashup.OleDb.1;Data Source=$Workbook$;Location=&quot;stores - stores&quot;;Extended Properties=&quot;&quot;" command="SELECT * FROM [stores - stores]"/>
  </connection>
</connections>
</file>

<file path=xl/sharedStrings.xml><?xml version="1.0" encoding="utf-8"?>
<sst xmlns="http://schemas.openxmlformats.org/spreadsheetml/2006/main" count="13646" uniqueCount="6300">
  <si>
    <t>store_id</t>
  </si>
  <si>
    <t>product_id</t>
  </si>
  <si>
    <t>quantity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</si>
  <si>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</si>
  <si>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</si>
  <si>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</si>
  <si>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</si>
  <si>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</si>
  <si>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</si>
  <si>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</si>
  <si>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</si>
  <si>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</si>
  <si>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</si>
  <si>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</si>
  <si>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</si>
  <si>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</si>
  <si>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</si>
  <si>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</si>
  <si>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</si>
  <si>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</si>
  <si>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</si>
  <si>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</si>
  <si>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</si>
  <si>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</si>
  <si>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</si>
  <si>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</si>
  <si>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</si>
  <si>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</si>
  <si>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</si>
  <si>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</si>
  <si>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</si>
  <si>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</si>
  <si>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</si>
  <si>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</si>
  <si>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</si>
  <si>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</si>
  <si>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</si>
  <si>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</si>
  <si>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</si>
  <si>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</si>
  <si>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</si>
  <si>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</si>
  <si>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</si>
  <si>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</si>
  <si>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</si>
  <si>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</si>
  <si>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</si>
  <si>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</si>
  <si>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</si>
  <si>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</si>
  <si>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</si>
  <si>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</si>
  <si>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</si>
  <si>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</si>
  <si>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</si>
  <si>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</si>
  <si>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</si>
  <si>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</si>
  <si>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</si>
  <si>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</si>
  <si>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</si>
  <si>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</si>
  <si>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</si>
  <si>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</si>
  <si>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</si>
  <si>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</si>
  <si>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</si>
  <si>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</si>
  <si>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</si>
  <si>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</si>
  <si>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</si>
  <si>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</si>
  <si>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</si>
  <si>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</si>
  <si>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</si>
  <si>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</si>
  <si>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</si>
  <si>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</si>
  <si>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</si>
  <si>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</si>
  <si>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</si>
  <si>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</si>
  <si>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</si>
  <si>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</si>
  <si>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</si>
  <si>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</si>
  <si>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</si>
  <si>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</si>
  <si>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</si>
  <si>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</si>
  <si>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</si>
  <si>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</si>
  <si>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</si>
  <si>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</si>
  <si>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</si>
  <si>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</si>
  <si>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</si>
  <si>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</si>
  <si>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</si>
  <si>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</si>
  <si>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</si>
  <si>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</si>
  <si>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</si>
  <si>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</si>
  <si>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</si>
  <si>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</si>
  <si>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</si>
  <si>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</si>
  <si>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</si>
  <si>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</si>
  <si>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</si>
  <si>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</si>
  <si>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</si>
  <si>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</si>
  <si>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</si>
  <si>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</si>
  <si>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</si>
  <si>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</si>
  <si>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</si>
  <si>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</si>
  <si>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</si>
  <si>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</si>
  <si>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</si>
  <si>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</si>
  <si>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</si>
  <si>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</si>
  <si>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</si>
  <si>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</si>
  <si>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</si>
  <si>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</si>
  <si>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</si>
  <si>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</si>
  <si>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</si>
  <si>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</si>
  <si>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</si>
  <si>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</si>
  <si>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</si>
  <si>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</si>
  <si>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</si>
  <si>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</si>
  <si>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</si>
  <si>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</si>
  <si>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</si>
  <si>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</si>
  <si>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</si>
  <si>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</si>
  <si>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</si>
  <si>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</si>
  <si>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</si>
  <si>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</si>
  <si>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</si>
  <si>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</si>
  <si>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</si>
  <si>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</si>
  <si>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</si>
  <si>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</si>
  <si>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</si>
  <si>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</si>
  <si>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</si>
  <si>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</si>
  <si>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</si>
  <si>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</si>
  <si>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</si>
  <si>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</si>
  <si>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</si>
  <si>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</si>
  <si>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</si>
  <si>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</si>
  <si>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</si>
  <si>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</si>
  <si>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</si>
  <si>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</si>
  <si>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</si>
  <si>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</si>
  <si>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</si>
  <si>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</si>
  <si>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</si>
  <si>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</si>
  <si>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</si>
  <si>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</si>
  <si>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</si>
  <si>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</si>
  <si>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</si>
  <si>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</si>
  <si>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</si>
  <si>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</si>
  <si>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</si>
  <si>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</si>
  <si>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</si>
  <si>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</si>
  <si>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</si>
  <si>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</si>
  <si>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</si>
  <si>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</si>
  <si>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</si>
  <si>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</si>
  <si>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</si>
  <si>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</si>
  <si>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</si>
  <si>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</si>
  <si>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</si>
  <si>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</si>
  <si>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</si>
  <si>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</si>
  <si>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</si>
  <si>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</si>
  <si>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</si>
  <si>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</si>
  <si>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</si>
  <si>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</si>
  <si>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</si>
  <si>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</si>
  <si>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</si>
  <si>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</si>
  <si>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</si>
  <si>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</si>
  <si>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</si>
  <si>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</si>
  <si>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</si>
  <si>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</si>
  <si>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</si>
  <si>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</si>
  <si>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</si>
  <si>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</si>
  <si>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</si>
  <si>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</si>
  <si>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</si>
  <si>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</si>
  <si>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</si>
  <si>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</si>
  <si>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</si>
  <si>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</si>
  <si>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</si>
  <si>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</si>
  <si>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</si>
  <si>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</si>
  <si>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</si>
  <si>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</si>
  <si>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</si>
  <si>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</si>
  <si>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</si>
  <si>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</si>
  <si>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</si>
  <si>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</si>
  <si>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</si>
  <si>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</si>
  <si>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</si>
  <si>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</si>
  <si>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</si>
  <si>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</si>
  <si>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</si>
  <si>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</si>
  <si>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</si>
  <si>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</si>
  <si>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</si>
  <si>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</si>
  <si>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</si>
  <si>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</si>
  <si>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</si>
  <si>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</si>
  <si>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</si>
  <si>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</si>
  <si>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</si>
  <si>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</si>
  <si>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</si>
  <si>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</si>
  <si>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</si>
  <si>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</si>
  <si>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</si>
  <si>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</si>
  <si>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</si>
  <si>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</si>
  <si>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</si>
  <si>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</si>
  <si>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</si>
  <si>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</si>
  <si>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</si>
  <si>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</si>
  <si>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</si>
  <si>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</si>
  <si>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</si>
  <si>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</si>
  <si>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</si>
  <si>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</si>
  <si>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</si>
  <si>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</si>
  <si>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</si>
  <si>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</si>
  <si>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</si>
  <si>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</si>
  <si>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</si>
  <si>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</si>
  <si>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</si>
  <si>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</si>
  <si>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</si>
  <si>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</si>
  <si>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</si>
  <si>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</si>
  <si>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</si>
  <si>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</si>
  <si>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item_id</t>
  </si>
  <si>
    <t>discount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</si>
  <si>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</si>
  <si>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</si>
  <si>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</si>
  <si>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</si>
  <si>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</si>
  <si>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</si>
  <si>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</si>
  <si>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</si>
  <si>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</si>
  <si>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</si>
  <si>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</si>
  <si>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</si>
  <si>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</si>
  <si>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</si>
  <si>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</si>
  <si>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</si>
  <si>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</si>
  <si>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</si>
  <si>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</si>
  <si>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</si>
  <si>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</si>
  <si>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</si>
  <si>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</si>
  <si>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</si>
  <si>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</si>
  <si>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</si>
  <si>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</si>
  <si>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</si>
  <si>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</si>
  <si>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</si>
  <si>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</si>
  <si>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</si>
  <si>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</si>
  <si>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</si>
  <si>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</si>
  <si>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</si>
  <si>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</si>
  <si>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</si>
  <si>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</si>
  <si>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</si>
  <si>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</si>
  <si>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</si>
  <si>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</si>
  <si>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</si>
  <si>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</si>
  <si>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</si>
  <si>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</si>
  <si>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</si>
  <si>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</si>
  <si>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</si>
  <si>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</si>
  <si>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</si>
  <si>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</si>
  <si>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</si>
  <si>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</si>
  <si>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</si>
  <si>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</si>
  <si>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</si>
  <si>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</si>
  <si>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</si>
  <si>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</si>
  <si>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</si>
  <si>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</si>
  <si>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</si>
  <si>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</si>
  <si>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</si>
  <si>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</si>
  <si>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</si>
  <si>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7</t>
  </si>
  <si>
    <t>Bernardine</t>
  </si>
  <si>
    <t>Houston</t>
  </si>
  <si>
    <t>bernardine.houston@bikes.shop</t>
  </si>
  <si>
    <t>(972) 530-5557</t>
  </si>
  <si>
    <t>customer_id</t>
  </si>
  <si>
    <t>order_status</t>
  </si>
  <si>
    <t>order_date</t>
  </si>
  <si>
    <t>required_date</t>
  </si>
  <si>
    <t>shipped_date</t>
  </si>
  <si>
    <t>2016-01-03</t>
  </si>
  <si>
    <t>2016-01-05</t>
  </si>
  <si>
    <t>2016-01-06</t>
  </si>
  <si>
    <t>2016-01-08</t>
  </si>
  <si>
    <t>2016-01-07</t>
  </si>
  <si>
    <t>2016-01-09</t>
  </si>
  <si>
    <t>2016-01-11</t>
  </si>
  <si>
    <t>2016-01-12</t>
  </si>
  <si>
    <t>2016-01-15</t>
  </si>
  <si>
    <t>2016-01-14</t>
  </si>
  <si>
    <t>2016-01-16</t>
  </si>
  <si>
    <t>2016-01-17</t>
  </si>
  <si>
    <t>2016-01-18</t>
  </si>
  <si>
    <t>2016-01-19</t>
  </si>
  <si>
    <t>2016-01-21</t>
  </si>
  <si>
    <t>2016-01-20</t>
  </si>
  <si>
    <t>2016-01-22</t>
  </si>
  <si>
    <t>2016-01-23</t>
  </si>
  <si>
    <t>2016-01-24</t>
  </si>
  <si>
    <t>2016-01-26</t>
  </si>
  <si>
    <t>2016-01-29</t>
  </si>
  <si>
    <t>2016-01-30</t>
  </si>
  <si>
    <t>2016-01-31</t>
  </si>
  <si>
    <t>2016-02-02</t>
  </si>
  <si>
    <t>2016-02-03</t>
  </si>
  <si>
    <t>2016-02-05</t>
  </si>
  <si>
    <t>2016-02-07</t>
  </si>
  <si>
    <t>2016-02-06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</si>
  <si>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</si>
  <si>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</si>
  <si>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</si>
  <si>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</si>
  <si>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</si>
  <si>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</si>
  <si>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</si>
  <si>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2016-02-17</t>
  </si>
  <si>
    <t>2016-02-19</t>
  </si>
  <si>
    <t>2016-02-20</t>
  </si>
  <si>
    <t>2016-02-18</t>
  </si>
  <si>
    <t>2016-02-21</t>
  </si>
  <si>
    <t>2016-02-23</t>
  </si>
  <si>
    <t>2016-02-24</t>
  </si>
  <si>
    <t>2016-02-28</t>
  </si>
  <si>
    <t>2016-02-27</t>
  </si>
  <si>
    <t>2016-02-29</t>
  </si>
  <si>
    <t>2016-03-01</t>
  </si>
  <si>
    <t>2016-03-03</t>
  </si>
  <si>
    <t>2016-03-04</t>
  </si>
  <si>
    <t>2016-03-05</t>
  </si>
  <si>
    <t>2016-03-09</t>
  </si>
  <si>
    <t>2016-03-07</t>
  </si>
  <si>
    <t>2016-03-10</t>
  </si>
  <si>
    <t>2016-03-11</t>
  </si>
  <si>
    <t>2016-03-13</t>
  </si>
  <si>
    <t>2016-03-14</t>
  </si>
  <si>
    <t>2016-03-17</t>
  </si>
  <si>
    <t>2016-03-16</t>
  </si>
  <si>
    <t>2016-03-15</t>
  </si>
  <si>
    <t>2016-03-18</t>
  </si>
  <si>
    <t>2016-03-19</t>
  </si>
  <si>
    <t>2016-03-21</t>
  </si>
  <si>
    <t>2016-03-20</t>
  </si>
  <si>
    <t>2016-03-23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</si>
  <si>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</si>
  <si>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</si>
  <si>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</si>
  <si>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</si>
  <si>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</si>
  <si>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</si>
  <si>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</si>
  <si>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</si>
  <si>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</si>
  <si>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</si>
  <si>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</si>
  <si>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</si>
  <si>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2016-04-09</t>
  </si>
  <si>
    <t>2016-04-10</t>
  </si>
  <si>
    <t>2016-04-11</t>
  </si>
  <si>
    <t>2016-04-13</t>
  </si>
  <si>
    <t>2016-04-14</t>
  </si>
  <si>
    <t>2016-04-15</t>
  </si>
  <si>
    <t>2016-04-17</t>
  </si>
  <si>
    <t>2016-04-19</t>
  </si>
  <si>
    <t>2016-04-18</t>
  </si>
  <si>
    <t>2016-04-20</t>
  </si>
  <si>
    <t>2016-04-22</t>
  </si>
  <si>
    <t>2016-04-24</t>
  </si>
  <si>
    <t>2016-04-25</t>
  </si>
  <si>
    <t>2016-04-26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</si>
  <si>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</si>
  <si>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</si>
  <si>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</si>
  <si>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</si>
  <si>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</si>
  <si>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</si>
  <si>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</si>
  <si>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2016-05-06</t>
  </si>
  <si>
    <t>2016-05-05</t>
  </si>
  <si>
    <t>2016-05-07</t>
  </si>
  <si>
    <t>2016-05-09</t>
  </si>
  <si>
    <t>2016-05-08</t>
  </si>
  <si>
    <t>2016-05-11</t>
  </si>
  <si>
    <t>2016-05-12</t>
  </si>
  <si>
    <t>2016-05-13</t>
  </si>
  <si>
    <t>2016-05-14</t>
  </si>
  <si>
    <t>2016-05-15</t>
  </si>
  <si>
    <t>2016-05-17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</si>
  <si>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</si>
  <si>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</si>
  <si>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</si>
  <si>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</si>
  <si>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</si>
  <si>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</si>
  <si>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</si>
  <si>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</si>
  <si>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2016-05-29</t>
  </si>
  <si>
    <t>2016-05-30</t>
  </si>
  <si>
    <t>2016-05-28</t>
  </si>
  <si>
    <t>2016-06-01</t>
  </si>
  <si>
    <t>2016-05-31</t>
  </si>
  <si>
    <t>2016-06-04</t>
  </si>
  <si>
    <t>2016-06-02</t>
  </si>
  <si>
    <t>2016-06-05</t>
  </si>
  <si>
    <t>2016-06-07</t>
  </si>
  <si>
    <t>2016-06-08</t>
  </si>
  <si>
    <t>2016-06-09</t>
  </si>
  <si>
    <t>2016-06-10</t>
  </si>
  <si>
    <t>2016-06-12</t>
  </si>
  <si>
    <t>2016-06-11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</si>
  <si>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</si>
  <si>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</si>
  <si>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</si>
  <si>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</si>
  <si>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</si>
  <si>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</si>
  <si>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</si>
  <si>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</si>
  <si>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</si>
  <si>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</si>
  <si>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</si>
  <si>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2016-06-25</t>
  </si>
  <si>
    <t>2016-06-26</t>
  </si>
  <si>
    <t>2016-06-27</t>
  </si>
  <si>
    <t>2016-06-28</t>
  </si>
  <si>
    <t>2016-06-30</t>
  </si>
  <si>
    <t>2016-07-01</t>
  </si>
  <si>
    <t>2016-07-02</t>
  </si>
  <si>
    <t>2016-07-04</t>
  </si>
  <si>
    <t>2016-07-06</t>
  </si>
  <si>
    <t>2016-07-07</t>
  </si>
  <si>
    <t>2016-07-08</t>
  </si>
  <si>
    <t>2016-07-09</t>
  </si>
  <si>
    <t>2016-07-12</t>
  </si>
  <si>
    <t>2016-07-11</t>
  </si>
  <si>
    <t>2016-07-14</t>
  </si>
  <si>
    <t>2016-07-13</t>
  </si>
  <si>
    <t>2016-07-16</t>
  </si>
  <si>
    <t>2016-07-15</t>
  </si>
  <si>
    <t>2016-07-17</t>
  </si>
  <si>
    <t>2016-07-19</t>
  </si>
  <si>
    <t>2016-07-20</t>
  </si>
  <si>
    <t>2016-07-21</t>
  </si>
  <si>
    <t>2016-07-23</t>
  </si>
  <si>
    <t>2016-07-22</t>
  </si>
  <si>
    <t>2016-07-25</t>
  </si>
  <si>
    <t>2016-07-26</t>
  </si>
  <si>
    <t>2016-07-27</t>
  </si>
  <si>
    <t>2016-07-28</t>
  </si>
  <si>
    <t>2016-07-30</t>
  </si>
  <si>
    <t>2016-07-29</t>
  </si>
  <si>
    <t>2016-07-31</t>
  </si>
  <si>
    <t>2016-08-01</t>
  </si>
  <si>
    <t>2016-08-03</t>
  </si>
  <si>
    <t>2016-08-02</t>
  </si>
  <si>
    <t>2016-08-05</t>
  </si>
  <si>
    <t>2016-08-04</t>
  </si>
  <si>
    <t>2016-08-06</t>
  </si>
  <si>
    <t>2016-08-07</t>
  </si>
  <si>
    <t>2016-08-10</t>
  </si>
  <si>
    <t>2016-08-11</t>
  </si>
  <si>
    <t>2016-08-13</t>
  </si>
  <si>
    <t>2016-08-15</t>
  </si>
  <si>
    <t>2016-08-14</t>
  </si>
  <si>
    <t>2016-08-17</t>
  </si>
  <si>
    <t>2016-08-18</t>
  </si>
  <si>
    <t>2016-08-20</t>
  </si>
  <si>
    <t>2016-08-21</t>
  </si>
  <si>
    <t>2016-08-23</t>
  </si>
  <si>
    <t>2016-08-22</t>
  </si>
  <si>
    <t>2016-08-25</t>
  </si>
  <si>
    <t>2016-08-24</t>
  </si>
  <si>
    <t>2016-08-27</t>
  </si>
  <si>
    <t>2016-08-29</t>
  </si>
  <si>
    <t>2016-09-01</t>
  </si>
  <si>
    <t>2016-08-31</t>
  </si>
  <si>
    <t>2016-09-02</t>
  </si>
  <si>
    <t>2016-09-04</t>
  </si>
  <si>
    <t>2016-09-03</t>
  </si>
  <si>
    <t>2016-09-06</t>
  </si>
  <si>
    <t>2016-09-05</t>
  </si>
  <si>
    <t>2016-09-07</t>
  </si>
  <si>
    <t>2016-09-08</t>
  </si>
  <si>
    <t>2016-09-09</t>
  </si>
  <si>
    <t>2016-09-11</t>
  </si>
  <si>
    <t>2016-09-10</t>
  </si>
  <si>
    <t>2016-09-12</t>
  </si>
  <si>
    <t>2016-09-14</t>
  </si>
  <si>
    <t>2016-09-13</t>
  </si>
  <si>
    <t>2016-09-16</t>
  </si>
  <si>
    <t>2016-09-19</t>
  </si>
  <si>
    <t>2016-09-18</t>
  </si>
  <si>
    <t>2016-09-21</t>
  </si>
  <si>
    <t>2016-09-20</t>
  </si>
  <si>
    <t>2016-09-22</t>
  </si>
  <si>
    <t>2016-09-24</t>
  </si>
  <si>
    <t>2016-09-23</t>
  </si>
  <si>
    <t>2016-09-25</t>
  </si>
  <si>
    <t>2016-09-26</t>
  </si>
  <si>
    <t>2016-09-27</t>
  </si>
  <si>
    <t>2016-09-29</t>
  </si>
  <si>
    <t>2016-09-28</t>
  </si>
  <si>
    <t>2016-10-01</t>
  </si>
  <si>
    <t>2016-09-30</t>
  </si>
  <si>
    <t>2016-10-02</t>
  </si>
  <si>
    <t>2016-10-03</t>
  </si>
  <si>
    <t>2016-10-04</t>
  </si>
  <si>
    <t>2016-10-05</t>
  </si>
  <si>
    <t>2016-10-06</t>
  </si>
  <si>
    <t>2016-10-09</t>
  </si>
  <si>
    <t>2016-10-07</t>
  </si>
  <si>
    <t>2016-10-08</t>
  </si>
  <si>
    <t>2016-10-11</t>
  </si>
  <si>
    <t>2016-10-12</t>
  </si>
  <si>
    <t>2016-10-13</t>
  </si>
  <si>
    <t>2016-10-14</t>
  </si>
  <si>
    <t>2016-10-15</t>
  </si>
  <si>
    <t>2016-10-17</t>
  </si>
  <si>
    <t>2016-10-16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</si>
  <si>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</si>
  <si>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</si>
  <si>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</si>
  <si>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</si>
  <si>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</si>
  <si>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</si>
  <si>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</si>
  <si>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2016-10-27</t>
  </si>
  <si>
    <t>2016-10-29</t>
  </si>
  <si>
    <t>2016-10-28</t>
  </si>
  <si>
    <t>2016-10-31</t>
  </si>
  <si>
    <t>2016-10-30</t>
  </si>
  <si>
    <t>2016-11-01</t>
  </si>
  <si>
    <t>2016-11-03</t>
  </si>
  <si>
    <t>2016-11-05</t>
  </si>
  <si>
    <t>2016-11-06</t>
  </si>
  <si>
    <t>2016-11-07</t>
  </si>
  <si>
    <t>2016-11-08</t>
  </si>
  <si>
    <t>2016-11-09</t>
  </si>
  <si>
    <t>2016-11-10</t>
  </si>
  <si>
    <t>2016-11-13</t>
  </si>
  <si>
    <t>2016-11-15</t>
  </si>
  <si>
    <t>2016-11-16</t>
  </si>
  <si>
    <t>2016-11-17</t>
  </si>
  <si>
    <t>2016-11-21</t>
  </si>
  <si>
    <t>2016-11-22</t>
  </si>
  <si>
    <t>2016-11-23</t>
  </si>
  <si>
    <t>2016-11-24</t>
  </si>
  <si>
    <t>2016-11-25</t>
  </si>
  <si>
    <t>2016-11-27</t>
  </si>
  <si>
    <t>2016-11-26</t>
  </si>
  <si>
    <t>2016-11-29</t>
  </si>
  <si>
    <t>2016-11-30</t>
  </si>
  <si>
    <t>2016-11-28</t>
  </si>
  <si>
    <t>2016-12-02</t>
  </si>
  <si>
    <t>2016-12-06</t>
  </si>
  <si>
    <t>2016-12-07</t>
  </si>
  <si>
    <t>2016-12-05</t>
  </si>
  <si>
    <t>2016-12-08</t>
  </si>
  <si>
    <t>2016-12-09</t>
  </si>
  <si>
    <t>2016-12-11</t>
  </si>
  <si>
    <t>2016-12-10</t>
  </si>
  <si>
    <t>2016-12-12</t>
  </si>
  <si>
    <t>2016-12-13</t>
  </si>
  <si>
    <t>2016-12-14</t>
  </si>
  <si>
    <t>2016-12-18</t>
  </si>
  <si>
    <t>2016-12-17</t>
  </si>
  <si>
    <t>2016-12-19</t>
  </si>
  <si>
    <t>2016-12-21</t>
  </si>
  <si>
    <t>2016-12-23</t>
  </si>
  <si>
    <t>2016-12-22</t>
  </si>
  <si>
    <t>2016-12-25</t>
  </si>
  <si>
    <t>2016-12-24</t>
  </si>
  <si>
    <t>2016-12-27</t>
  </si>
  <si>
    <t>2016-12-26</t>
  </si>
  <si>
    <t>2016-12-28</t>
  </si>
  <si>
    <t>2016-12-29</t>
  </si>
  <si>
    <t>2016-12-30</t>
  </si>
  <si>
    <t>2016-12-31</t>
  </si>
  <si>
    <t>2017-01-05</t>
  </si>
  <si>
    <t>2017-01-06</t>
  </si>
  <si>
    <t>2017-01-07</t>
  </si>
  <si>
    <t>2017-01-08</t>
  </si>
  <si>
    <t>2017-01-10</t>
  </si>
  <si>
    <t>2017-01-11</t>
  </si>
  <si>
    <t>2017-01-13</t>
  </si>
  <si>
    <t>2017-01-12</t>
  </si>
  <si>
    <t>2017-01-15</t>
  </si>
  <si>
    <t>2017-01-17</t>
  </si>
  <si>
    <t>2017-01-18</t>
  </si>
  <si>
    <t>2017-01-20</t>
  </si>
  <si>
    <t>2017-01-19</t>
  </si>
  <si>
    <t>2017-01-23</t>
  </si>
  <si>
    <t>2017-01-22</t>
  </si>
  <si>
    <t>2017-01-24</t>
  </si>
  <si>
    <t>2017-01-25</t>
  </si>
  <si>
    <t>2017-01-26</t>
  </si>
  <si>
    <t>2017-01-29</t>
  </si>
  <si>
    <t>2017-01-27</t>
  </si>
  <si>
    <t>2017-01-30</t>
  </si>
  <si>
    <t>2017-01-31</t>
  </si>
  <si>
    <t>2017-02-01</t>
  </si>
  <si>
    <t>2017-02-02</t>
  </si>
  <si>
    <t>2017-02-04</t>
  </si>
  <si>
    <t>2017-02-05</t>
  </si>
  <si>
    <t>2017-02-06</t>
  </si>
  <si>
    <t>2017-02-08</t>
  </si>
  <si>
    <t>2017-02-07</t>
  </si>
  <si>
    <t>2017-02-09</t>
  </si>
  <si>
    <t>2017-02-11</t>
  </si>
  <si>
    <t>2017-02-10</t>
  </si>
  <si>
    <t>2017-02-12</t>
  </si>
  <si>
    <t>2017-02-16</t>
  </si>
  <si>
    <t>2017-02-14</t>
  </si>
  <si>
    <t>2017-02-15</t>
  </si>
  <si>
    <t>2017-02-18</t>
  </si>
  <si>
    <t>2017-02-17</t>
  </si>
  <si>
    <t>2017-02-19</t>
  </si>
  <si>
    <t>2017-02-21</t>
  </si>
  <si>
    <t>2017-02-22</t>
  </si>
  <si>
    <t>2017-02-20</t>
  </si>
  <si>
    <t>2017-02-23</t>
  </si>
  <si>
    <t>2017-02-27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</si>
  <si>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</si>
  <si>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</si>
  <si>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</si>
  <si>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</si>
  <si>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</si>
  <si>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</si>
  <si>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</si>
  <si>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</si>
  <si>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2017-03-09</t>
  </si>
  <si>
    <t>2017-03-10</t>
  </si>
  <si>
    <t>2017-03-12</t>
  </si>
  <si>
    <t>2017-03-11</t>
  </si>
  <si>
    <t>2017-03-13</t>
  </si>
  <si>
    <t>2017-03-14</t>
  </si>
  <si>
    <t>2017-03-16</t>
  </si>
  <si>
    <t>2017-03-18</t>
  </si>
  <si>
    <t>2017-03-17</t>
  </si>
  <si>
    <t>2017-03-19</t>
  </si>
  <si>
    <t>2017-03-20</t>
  </si>
  <si>
    <t>2017-03-22</t>
  </si>
  <si>
    <t>2017-03-23</t>
  </si>
  <si>
    <t>2017-03-24</t>
  </si>
  <si>
    <t>2017-03-26</t>
  </si>
  <si>
    <t>2017-03-25</t>
  </si>
  <si>
    <t>2017-03-29</t>
  </si>
  <si>
    <t>2017-03-28</t>
  </si>
  <si>
    <t>2017-03-30</t>
  </si>
  <si>
    <t>2017-04-01</t>
  </si>
  <si>
    <t>2017-03-31</t>
  </si>
  <si>
    <t>2017-04-02</t>
  </si>
  <si>
    <t>2017-04-03</t>
  </si>
  <si>
    <t>2017-04-04</t>
  </si>
  <si>
    <t>2017-04-05</t>
  </si>
  <si>
    <t>2017-04-07</t>
  </si>
  <si>
    <t>2017-04-08</t>
  </si>
  <si>
    <t>2017-04-09</t>
  </si>
  <si>
    <t>2017-04-10</t>
  </si>
  <si>
    <t>2017-04-12</t>
  </si>
  <si>
    <t>2017-04-15</t>
  </si>
  <si>
    <t>2017-04-14</t>
  </si>
  <si>
    <t>2017-04-16</t>
  </si>
  <si>
    <t>2017-04-17</t>
  </si>
  <si>
    <t>2017-04-19</t>
  </si>
  <si>
    <t>2017-04-18</t>
  </si>
  <si>
    <t>2017-04-20</t>
  </si>
  <si>
    <t>2017-04-21</t>
  </si>
  <si>
    <t>2017-04-22</t>
  </si>
  <si>
    <t>2017-04-24</t>
  </si>
  <si>
    <t>2017-04-23</t>
  </si>
  <si>
    <t>2017-04-25</t>
  </si>
  <si>
    <t>2017-04-26</t>
  </si>
  <si>
    <t>2017-04-28</t>
  </si>
  <si>
    <t>2017-04-30</t>
  </si>
  <si>
    <t>2017-04-29</t>
  </si>
  <si>
    <t>2017-05-01</t>
  </si>
  <si>
    <t>2017-05-02</t>
  </si>
  <si>
    <t>2017-05-03</t>
  </si>
  <si>
    <t>2017-05-06</t>
  </si>
  <si>
    <t>2017-05-05</t>
  </si>
  <si>
    <t>2017-05-08</t>
  </si>
  <si>
    <t>2017-05-09</t>
  </si>
  <si>
    <t>2017-05-10</t>
  </si>
  <si>
    <t>2017-05-11</t>
  </si>
  <si>
    <t>2017-05-14</t>
  </si>
  <si>
    <t>2017-05-12</t>
  </si>
  <si>
    <t>2017-05-15</t>
  </si>
  <si>
    <t>2017-05-16</t>
  </si>
  <si>
    <t>2017-05-18</t>
  </si>
  <si>
    <t>2017-05-17</t>
  </si>
  <si>
    <t>2017-05-19</t>
  </si>
  <si>
    <t>2017-05-21</t>
  </si>
  <si>
    <t>2017-05-22</t>
  </si>
  <si>
    <t>2017-05-24</t>
  </si>
  <si>
    <t>2017-05-26</t>
  </si>
  <si>
    <t>2017-05-27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</si>
  <si>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</si>
  <si>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</si>
  <si>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</si>
  <si>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</si>
  <si>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</si>
  <si>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</si>
  <si>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</si>
  <si>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2017-06-06</t>
  </si>
  <si>
    <t>2017-06-08</t>
  </si>
  <si>
    <t>2017-06-09</t>
  </si>
  <si>
    <t>2017-06-12</t>
  </si>
  <si>
    <t>2017-06-13</t>
  </si>
  <si>
    <t>2017-06-14</t>
  </si>
  <si>
    <t>2017-06-15</t>
  </si>
  <si>
    <t>2017-06-17</t>
  </si>
  <si>
    <t>2017-06-16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</si>
  <si>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</si>
  <si>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</si>
  <si>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</si>
  <si>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</si>
  <si>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</si>
  <si>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</si>
  <si>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</si>
  <si>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</si>
  <si>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</si>
  <si>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</si>
  <si>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2017-06-29</t>
  </si>
  <si>
    <t>2017-07-01</t>
  </si>
  <si>
    <t>2017-07-04</t>
  </si>
  <si>
    <t>2017-07-05</t>
  </si>
  <si>
    <t>2017-07-03</t>
  </si>
  <si>
    <t>2017-07-07</t>
  </si>
  <si>
    <t>2017-07-09</t>
  </si>
  <si>
    <t>2017-07-11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</si>
  <si>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</si>
  <si>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</si>
  <si>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</si>
  <si>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</si>
  <si>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</si>
  <si>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</si>
  <si>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</si>
  <si>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</si>
  <si>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</si>
  <si>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2017-07-23</t>
  </si>
  <si>
    <t>2017-07-24</t>
  </si>
  <si>
    <t>2017-07-26</t>
  </si>
  <si>
    <t>2017-07-25</t>
  </si>
  <si>
    <t>2017-07-29</t>
  </si>
  <si>
    <t>2017-07-28</t>
  </si>
  <si>
    <t>2017-07-30</t>
  </si>
  <si>
    <t>2017-08-01</t>
  </si>
  <si>
    <t>2017-07-31</t>
  </si>
  <si>
    <t>2017-08-02</t>
  </si>
  <si>
    <t>2017-08-03</t>
  </si>
  <si>
    <t>2017-08-05</t>
  </si>
  <si>
    <t>2017-08-07</t>
  </si>
  <si>
    <t>2017-08-08</t>
  </si>
  <si>
    <t>2017-08-10</t>
  </si>
  <si>
    <t>2017-08-09</t>
  </si>
  <si>
    <t>2017-08-12</t>
  </si>
  <si>
    <t>2017-08-11</t>
  </si>
  <si>
    <t>2017-08-13</t>
  </si>
  <si>
    <t>2017-08-15</t>
  </si>
  <si>
    <t>2017-08-14</t>
  </si>
  <si>
    <t>2017-08-17</t>
  </si>
  <si>
    <t>2017-08-18</t>
  </si>
  <si>
    <t>2017-08-19</t>
  </si>
  <si>
    <t>2017-08-21</t>
  </si>
  <si>
    <t>2017-08-22</t>
  </si>
  <si>
    <t>2017-08-20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</si>
  <si>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</si>
  <si>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</si>
  <si>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</si>
  <si>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</si>
  <si>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</si>
  <si>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</si>
  <si>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</si>
  <si>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</si>
  <si>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</si>
  <si>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</si>
  <si>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2017-09-03</t>
  </si>
  <si>
    <t>2017-09-04</t>
  </si>
  <si>
    <t>2017-09-05</t>
  </si>
  <si>
    <t>2017-09-07</t>
  </si>
  <si>
    <t>2017-09-08</t>
  </si>
  <si>
    <t>2017-09-09</t>
  </si>
  <si>
    <t>2017-09-10</t>
  </si>
  <si>
    <t>2017-09-11</t>
  </si>
  <si>
    <t>2017-09-13</t>
  </si>
  <si>
    <t>2017-09-12</t>
  </si>
  <si>
    <t>2017-09-14</t>
  </si>
  <si>
    <t>2017-09-16</t>
  </si>
  <si>
    <t>2017-09-15</t>
  </si>
  <si>
    <t>2017-09-20</t>
  </si>
  <si>
    <t>2017-09-19</t>
  </si>
  <si>
    <t>2017-09-21</t>
  </si>
  <si>
    <t>2017-09-23</t>
  </si>
  <si>
    <t>2017-09-22</t>
  </si>
  <si>
    <t>2017-09-24</t>
  </si>
  <si>
    <t>2017-09-26</t>
  </si>
  <si>
    <t>2017-09-27</t>
  </si>
  <si>
    <t>2017-09-28</t>
  </si>
  <si>
    <t>2017-09-30</t>
  </si>
  <si>
    <t>2017-10-01</t>
  </si>
  <si>
    <t>2017-10-03</t>
  </si>
  <si>
    <t>2017-10-04</t>
  </si>
  <si>
    <t>2017-10-02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</si>
  <si>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</si>
  <si>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</si>
  <si>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</si>
  <si>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</si>
  <si>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</si>
  <si>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</si>
  <si>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</si>
  <si>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2017-10-13</t>
  </si>
  <si>
    <t>2017-10-15</t>
  </si>
  <si>
    <t>2017-10-16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</si>
  <si>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</si>
  <si>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</si>
  <si>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</si>
  <si>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</si>
  <si>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</si>
  <si>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</si>
  <si>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</si>
  <si>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</si>
  <si>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</si>
  <si>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</si>
  <si>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2017-10-28</t>
  </si>
  <si>
    <t>2017-10-29</t>
  </si>
  <si>
    <t>2017-10-27</t>
  </si>
  <si>
    <t>2017-10-30</t>
  </si>
  <si>
    <t>2017-10-31</t>
  </si>
  <si>
    <t>2017-11-02</t>
  </si>
  <si>
    <t>2017-11-03</t>
  </si>
  <si>
    <t>2017-11-01</t>
  </si>
  <si>
    <t>2017-11-04</t>
  </si>
  <si>
    <t>2017-11-07</t>
  </si>
  <si>
    <t>2017-11-06</t>
  </si>
  <si>
    <t>2017-11-09</t>
  </si>
  <si>
    <t>2017-11-08</t>
  </si>
  <si>
    <t>2017-11-11</t>
  </si>
  <si>
    <t>2017-11-12</t>
  </si>
  <si>
    <t>2017-11-14</t>
  </si>
  <si>
    <t>2017-11-13</t>
  </si>
  <si>
    <t>2017-11-16</t>
  </si>
  <si>
    <t>2017-11-17</t>
  </si>
  <si>
    <t>2017-11-18</t>
  </si>
  <si>
    <t>2017-11-20</t>
  </si>
  <si>
    <t>2017-11-19</t>
  </si>
  <si>
    <t>2017-11-21</t>
  </si>
  <si>
    <t>2017-11-22</t>
  </si>
  <si>
    <t>2017-11-24</t>
  </si>
  <si>
    <t>2017-11-26</t>
  </si>
  <si>
    <t>2017-11-25</t>
  </si>
  <si>
    <t>2017-11-27</t>
  </si>
  <si>
    <t>2017-11-29</t>
  </si>
  <si>
    <t>2017-11-30</t>
  </si>
  <si>
    <t>2017-12-01</t>
  </si>
  <si>
    <t>2017-12-02</t>
  </si>
  <si>
    <t>2017-12-04</t>
  </si>
  <si>
    <t>2017-12-03</t>
  </si>
  <si>
    <t>2017-12-05</t>
  </si>
  <si>
    <t>2017-12-07</t>
  </si>
  <si>
    <t>2017-12-06</t>
  </si>
  <si>
    <t>2017-12-09</t>
  </si>
  <si>
    <t>2017-12-10</t>
  </si>
  <si>
    <t>2017-12-12</t>
  </si>
  <si>
    <t>2017-12-11</t>
  </si>
  <si>
    <t>2017-12-14</t>
  </si>
  <si>
    <t>2017-12-15</t>
  </si>
  <si>
    <t>2017-12-16</t>
  </si>
  <si>
    <t>2017-12-17</t>
  </si>
  <si>
    <t>2017-12-19</t>
  </si>
  <si>
    <t>2017-12-18</t>
  </si>
  <si>
    <t>2017-12-22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</si>
  <si>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</si>
  <si>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</si>
  <si>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</si>
  <si>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</si>
  <si>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</si>
  <si>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</si>
  <si>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</si>
  <si>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</si>
  <si>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</si>
  <si>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2018-01-01</t>
  </si>
  <si>
    <t>2018-01-03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</si>
  <si>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</si>
  <si>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</si>
  <si>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</si>
  <si>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</si>
  <si>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</si>
  <si>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</si>
  <si>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</si>
  <si>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2018-01-13</t>
  </si>
  <si>
    <t>2018-01-14</t>
  </si>
  <si>
    <t>2018-01-15</t>
  </si>
  <si>
    <t>2018-01-18</t>
  </si>
  <si>
    <t>2018-01-17</t>
  </si>
  <si>
    <t>2018-01-16</t>
  </si>
  <si>
    <t>2018-01-19</t>
  </si>
  <si>
    <t>2018-01-21</t>
  </si>
  <si>
    <t>2018-01-20</t>
  </si>
  <si>
    <t>2018-01-22</t>
  </si>
  <si>
    <t>2018-01-24</t>
  </si>
  <si>
    <t>2018-01-23</t>
  </si>
  <si>
    <t>2018-01-25</t>
  </si>
  <si>
    <t>2018-01-28</t>
  </si>
  <si>
    <t>2018-01-27</t>
  </si>
  <si>
    <t>2018-01-29</t>
  </si>
  <si>
    <t>2018-01-30</t>
  </si>
  <si>
    <t>2018-02-01</t>
  </si>
  <si>
    <t>2018-01-31</t>
  </si>
  <si>
    <t>2018-02-03</t>
  </si>
  <si>
    <t>2018-02-04</t>
  </si>
  <si>
    <t>2018-02-05</t>
  </si>
  <si>
    <t>2018-02-08</t>
  </si>
  <si>
    <t>2018-02-09</t>
  </si>
  <si>
    <t>2018-02-11</t>
  </si>
  <si>
    <t>2018-02-12</t>
  </si>
  <si>
    <t>2018-02-14</t>
  </si>
  <si>
    <t>2018-02-13</t>
  </si>
  <si>
    <t>2018-02-15</t>
  </si>
  <si>
    <t>2018-02-16</t>
  </si>
  <si>
    <t>2018-02-19</t>
  </si>
  <si>
    <t>2018-02-18</t>
  </si>
  <si>
    <t>2018-02-20</t>
  </si>
  <si>
    <t>2018-02-21</t>
  </si>
  <si>
    <t>2018-02-22</t>
  </si>
  <si>
    <t>2018-02-24</t>
  </si>
  <si>
    <t>2018-02-27</t>
  </si>
  <si>
    <t>2018-03-01</t>
  </si>
  <si>
    <t>2018-02-28</t>
  </si>
  <si>
    <t>2018-03-02</t>
  </si>
  <si>
    <t>2018-03-04</t>
  </si>
  <si>
    <t>2018-03-06</t>
  </si>
  <si>
    <t>2018-03-05</t>
  </si>
  <si>
    <t>2018-03-07</t>
  </si>
  <si>
    <t>2018-03-08</t>
  </si>
  <si>
    <t>2018-03-10</t>
  </si>
  <si>
    <t>2018-03-09</t>
  </si>
  <si>
    <t>2018-03-11</t>
  </si>
  <si>
    <t>2018-03-14</t>
  </si>
  <si>
    <t>2018-03-12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</si>
  <si>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</si>
  <si>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</si>
  <si>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</si>
  <si>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</si>
  <si>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</si>
  <si>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</si>
  <si>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</si>
  <si>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</si>
  <si>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</si>
  <si>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</si>
  <si>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2018-03-28</t>
  </si>
  <si>
    <t>2018-03-29</t>
  </si>
  <si>
    <t>2018-03-30</t>
  </si>
  <si>
    <t>2018-03-31</t>
  </si>
  <si>
    <t>2018-04-02</t>
  </si>
  <si>
    <t>2018-04-01</t>
  </si>
  <si>
    <t>Debra</t>
  </si>
  <si>
    <t>Burks</t>
  </si>
  <si>
    <t>debra.burks@yahoo.com</t>
  </si>
  <si>
    <t>9273 Thorne Ave.</t>
  </si>
  <si>
    <t>Orchard Park</t>
  </si>
  <si>
    <t>Kasha</t>
  </si>
  <si>
    <t>Todd</t>
  </si>
  <si>
    <t>kasha.todd@yahoo.com</t>
  </si>
  <si>
    <t>910 Vine Street</t>
  </si>
  <si>
    <t>Campbell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</si>
  <si>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</si>
  <si>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</si>
  <si>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</si>
  <si>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</si>
  <si>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</si>
  <si>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</si>
  <si>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</si>
  <si>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</si>
  <si>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</si>
  <si>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</si>
  <si>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</si>
  <si>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</si>
  <si>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</si>
  <si>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</si>
  <si>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</si>
  <si>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</si>
  <si>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</si>
  <si>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</si>
  <si>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</si>
  <si>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</si>
  <si>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</si>
  <si>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</si>
  <si>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</si>
  <si>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</si>
  <si>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</si>
  <si>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</si>
  <si>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</si>
  <si>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</si>
  <si>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</si>
  <si>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</si>
  <si>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</si>
  <si>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</si>
  <si>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</si>
  <si>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</si>
  <si>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</si>
  <si>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</si>
  <si>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</si>
  <si>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</si>
  <si>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</si>
  <si>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</si>
  <si>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</si>
  <si>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</si>
  <si>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</si>
  <si>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</si>
  <si>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</si>
  <si>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</si>
  <si>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</si>
  <si>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</si>
  <si>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</si>
  <si>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</si>
  <si>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</si>
  <si>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</si>
  <si>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</si>
  <si>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</si>
  <si>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</si>
  <si>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</si>
  <si>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</si>
  <si>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</si>
  <si>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</si>
  <si>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</si>
  <si>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</si>
  <si>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</si>
  <si>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</si>
  <si>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</si>
  <si>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</si>
  <si>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</si>
  <si>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</si>
  <si>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</si>
  <si>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</si>
  <si>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</si>
  <si>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</si>
  <si>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</si>
  <si>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</si>
  <si>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</si>
  <si>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</si>
  <si>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</si>
  <si>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</si>
  <si>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</si>
  <si>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</si>
  <si>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</si>
  <si>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</si>
  <si>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</si>
  <si>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</si>
  <si>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</si>
  <si>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</si>
  <si>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</si>
  <si>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</si>
  <si>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</si>
  <si>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</si>
  <si>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</si>
  <si>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</si>
  <si>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</si>
  <si>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</si>
  <si>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</si>
  <si>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</si>
  <si>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</si>
  <si>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</si>
  <si>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</si>
  <si>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</si>
  <si>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</si>
  <si>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</si>
  <si>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</si>
  <si>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</si>
  <si>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</si>
  <si>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</si>
  <si>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</si>
  <si>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</si>
  <si>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</si>
  <si>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</si>
  <si>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</si>
  <si>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</si>
  <si>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</si>
  <si>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</si>
  <si>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</si>
  <si>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</si>
  <si>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</si>
  <si>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</si>
  <si>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</si>
  <si>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</si>
  <si>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</si>
  <si>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</si>
  <si>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</si>
  <si>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</si>
  <si>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</si>
  <si>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</si>
  <si>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</si>
  <si>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</si>
  <si>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</si>
  <si>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</si>
  <si>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</si>
  <si>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</si>
  <si>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</si>
  <si>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</si>
  <si>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</si>
  <si>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</si>
  <si>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</si>
  <si>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</si>
  <si>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</si>
  <si>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</si>
  <si>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</si>
  <si>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</si>
  <si>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</si>
  <si>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</si>
  <si>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</si>
  <si>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</si>
  <si>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</si>
  <si>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</si>
  <si>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</si>
  <si>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</si>
  <si>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</si>
  <si>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</si>
  <si>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</si>
  <si>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</si>
  <si>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</si>
  <si>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</si>
  <si>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</si>
  <si>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</si>
  <si>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</si>
  <si>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</si>
  <si>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</si>
  <si>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</si>
  <si>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</si>
  <si>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</si>
  <si>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</si>
  <si>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</si>
  <si>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</si>
  <si>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</si>
  <si>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</si>
  <si>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</si>
  <si>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</si>
  <si>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</si>
  <si>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</si>
  <si>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</si>
  <si>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</si>
  <si>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</si>
  <si>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</si>
  <si>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</si>
  <si>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</si>
  <si>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</si>
  <si>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</si>
  <si>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</si>
  <si>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</si>
  <si>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</si>
  <si>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</si>
  <si>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</si>
  <si>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</si>
  <si>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</si>
  <si>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</si>
  <si>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</si>
  <si>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</si>
  <si>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</si>
  <si>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</si>
  <si>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</si>
  <si>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</si>
  <si>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</si>
  <si>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</si>
  <si>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</si>
  <si>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</si>
  <si>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</si>
  <si>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</si>
  <si>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</si>
  <si>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</si>
  <si>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</si>
  <si>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</si>
  <si>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</si>
  <si>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</si>
  <si>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</si>
  <si>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</si>
  <si>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</si>
  <si>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</si>
  <si>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</si>
  <si>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</si>
  <si>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</si>
  <si>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</si>
  <si>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</si>
  <si>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</si>
  <si>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</si>
  <si>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</si>
  <si>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</si>
  <si>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</si>
  <si>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</si>
  <si>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</si>
  <si>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</si>
  <si>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</si>
  <si>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</si>
  <si>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</si>
  <si>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</si>
  <si>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</si>
  <si>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</si>
  <si>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</si>
  <si>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</si>
  <si>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</si>
  <si>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</si>
  <si>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</si>
  <si>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</si>
  <si>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</si>
  <si>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</si>
  <si>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</si>
  <si>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</si>
  <si>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</si>
  <si>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</si>
  <si>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</si>
  <si>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</si>
  <si>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</si>
  <si>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</si>
  <si>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</si>
  <si>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</si>
  <si>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</si>
  <si>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</si>
  <si>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</si>
  <si>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</si>
  <si>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</si>
  <si>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</si>
  <si>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</si>
  <si>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</si>
  <si>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</si>
  <si>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</si>
  <si>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</si>
  <si>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</si>
  <si>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</si>
  <si>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</si>
  <si>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</si>
  <si>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</si>
  <si>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</si>
  <si>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</si>
  <si>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</si>
  <si>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</si>
  <si>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</si>
  <si>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</si>
  <si>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</si>
  <si>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</si>
  <si>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</si>
  <si>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</si>
  <si>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</si>
  <si>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</si>
  <si>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</si>
  <si>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</si>
  <si>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</si>
  <si>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</si>
  <si>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</si>
  <si>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</si>
  <si>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</si>
  <si>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</si>
  <si>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</si>
  <si>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</si>
  <si>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</si>
  <si>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</si>
  <si>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</si>
  <si>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</si>
  <si>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</si>
  <si>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</si>
  <si>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</si>
  <si>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</si>
  <si>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</si>
  <si>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</si>
  <si>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</si>
  <si>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</si>
  <si>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</si>
  <si>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</si>
  <si>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</si>
  <si>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</si>
  <si>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</si>
  <si>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</si>
  <si>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</si>
  <si>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</si>
  <si>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</si>
  <si>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</si>
  <si>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</si>
  <si>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</si>
  <si>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</si>
  <si>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</si>
  <si>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</si>
  <si>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</si>
  <si>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</si>
  <si>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</si>
  <si>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</si>
  <si>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</si>
  <si>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</si>
  <si>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</si>
  <si>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</si>
  <si>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</si>
  <si>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</si>
  <si>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</si>
  <si>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</si>
  <si>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</si>
  <si>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</si>
  <si>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</si>
  <si>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</si>
  <si>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</si>
  <si>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</si>
  <si>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</si>
  <si>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</si>
  <si>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</si>
  <si>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</si>
  <si>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</si>
  <si>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</si>
  <si>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</si>
  <si>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</si>
  <si>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</si>
  <si>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</si>
  <si>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</si>
  <si>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</si>
  <si>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</si>
  <si>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</si>
  <si>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</si>
  <si>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</si>
  <si>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</si>
  <si>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</si>
  <si>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</si>
  <si>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</si>
  <si>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</si>
  <si>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</si>
  <si>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</si>
  <si>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</si>
  <si>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</si>
  <si>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</si>
  <si>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</si>
  <si>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</si>
  <si>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</si>
  <si>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</si>
  <si>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</si>
  <si>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</si>
  <si>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</si>
  <si>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</si>
  <si>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</si>
  <si>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</si>
  <si>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</si>
  <si>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</si>
  <si>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</si>
  <si>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</si>
  <si>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</si>
  <si>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</si>
  <si>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</si>
  <si>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</si>
  <si>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</si>
  <si>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</si>
  <si>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</si>
  <si>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</si>
  <si>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</si>
  <si>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</si>
  <si>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</si>
  <si>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</si>
  <si>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</si>
  <si>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</si>
  <si>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</si>
  <si>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</si>
  <si>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</si>
  <si>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</si>
  <si>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</si>
  <si>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</si>
  <si>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</si>
  <si>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</si>
  <si>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</si>
  <si>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</si>
  <si>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</si>
  <si>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</si>
  <si>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</si>
  <si>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</si>
  <si>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</si>
  <si>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</si>
  <si>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</si>
  <si>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</si>
  <si>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</si>
  <si>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</si>
  <si>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</si>
  <si>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</si>
  <si>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</si>
  <si>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</si>
  <si>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</si>
  <si>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</si>
  <si>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</si>
  <si>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</si>
  <si>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</si>
  <si>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</si>
  <si>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</si>
  <si>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</si>
  <si>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</si>
  <si>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</si>
  <si>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</si>
  <si>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</si>
  <si>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</si>
  <si>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</si>
  <si>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</si>
  <si>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</si>
  <si>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</si>
  <si>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</si>
  <si>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</si>
  <si>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</si>
  <si>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</si>
  <si>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</si>
  <si>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</si>
  <si>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</si>
  <si>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</si>
  <si>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</si>
  <si>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</si>
  <si>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</si>
  <si>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</si>
  <si>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</si>
  <si>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</si>
  <si>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</si>
  <si>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</si>
  <si>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</si>
  <si>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</si>
  <si>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</si>
  <si>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</si>
  <si>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</si>
  <si>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</si>
  <si>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</si>
  <si>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</si>
  <si>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</si>
  <si>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</si>
  <si>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</si>
  <si>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</si>
  <si>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</si>
  <si>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</si>
  <si>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</si>
  <si>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</si>
  <si>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</si>
  <si>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</si>
  <si>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</si>
  <si>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</si>
  <si>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</si>
  <si>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</si>
  <si>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</si>
  <si>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</si>
  <si>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</si>
  <si>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</si>
  <si>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</si>
  <si>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</si>
  <si>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</si>
  <si>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</si>
  <si>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</si>
  <si>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</si>
  <si>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</si>
  <si>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</si>
  <si>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</si>
  <si>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</si>
  <si>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</si>
  <si>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</si>
  <si>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</si>
  <si>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</si>
  <si>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</si>
  <si>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</si>
  <si>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</si>
  <si>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</si>
  <si>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</si>
  <si>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</si>
  <si>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</si>
  <si>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</si>
  <si>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</si>
  <si>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</si>
  <si>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</si>
  <si>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</si>
  <si>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</si>
  <si>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</si>
  <si>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</si>
  <si>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</si>
  <si>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</si>
  <si>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</si>
  <si>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</si>
  <si>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</si>
  <si>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</si>
  <si>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</si>
  <si>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</si>
  <si>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</si>
  <si>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</si>
  <si>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</si>
  <si>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</si>
  <si>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</si>
  <si>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</si>
  <si>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</si>
  <si>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</si>
  <si>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</si>
  <si>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</si>
  <si>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</si>
  <si>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</si>
  <si>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</si>
  <si>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</si>
  <si>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</si>
  <si>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</si>
  <si>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</si>
  <si>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</si>
  <si>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</si>
  <si>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</si>
  <si>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</si>
  <si>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</si>
  <si>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</si>
  <si>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</si>
  <si>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</si>
  <si>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</si>
  <si>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</si>
  <si>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</si>
  <si>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</si>
  <si>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</si>
  <si>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</si>
  <si>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</si>
  <si>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</si>
  <si>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</si>
  <si>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</si>
  <si>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</si>
  <si>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</si>
  <si>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</si>
  <si>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</si>
  <si>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</si>
  <si>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</si>
  <si>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</si>
  <si>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</si>
  <si>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</si>
  <si>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</si>
  <si>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</si>
  <si>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</si>
  <si>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</si>
  <si>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</si>
  <si>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</si>
  <si>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</si>
  <si>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</si>
  <si>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</si>
  <si>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</si>
  <si>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</si>
  <si>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</si>
  <si>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</si>
  <si>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</si>
  <si>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</si>
  <si>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</si>
  <si>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</si>
  <si>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</si>
  <si>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</si>
  <si>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</si>
  <si>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</si>
  <si>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</si>
  <si>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</si>
  <si>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</si>
  <si>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</si>
  <si>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</si>
  <si>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</si>
  <si>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</si>
  <si>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</si>
  <si>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</si>
  <si>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</si>
  <si>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</si>
  <si>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</si>
  <si>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</si>
  <si>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</si>
  <si>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</si>
  <si>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</si>
  <si>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</si>
  <si>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</si>
  <si>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</si>
  <si>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</si>
  <si>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</si>
  <si>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</si>
  <si>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</si>
  <si>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</si>
  <si>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</si>
  <si>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</si>
  <si>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</si>
  <si>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</si>
  <si>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</si>
  <si>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</si>
  <si>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</si>
  <si>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</si>
  <si>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</si>
  <si>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</si>
  <si>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</si>
  <si>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</si>
  <si>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</si>
  <si>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</si>
  <si>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</si>
  <si>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</si>
  <si>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</si>
  <si>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</si>
  <si>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</si>
  <si>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</si>
  <si>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</si>
  <si>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</si>
  <si>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</si>
  <si>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</si>
  <si>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</si>
  <si>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</si>
  <si>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</si>
  <si>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</si>
  <si>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</si>
  <si>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</si>
  <si>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</si>
  <si>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</si>
  <si>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</si>
  <si>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</si>
  <si>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</si>
  <si>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</si>
  <si>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</si>
  <si>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</si>
  <si>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</si>
  <si>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</si>
  <si>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</si>
  <si>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</si>
  <si>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</si>
  <si>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</si>
  <si>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</si>
  <si>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</si>
  <si>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</si>
  <si>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</si>
  <si>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</si>
  <si>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</si>
  <si>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</si>
  <si>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</si>
  <si>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</si>
  <si>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</si>
  <si>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</si>
  <si>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</si>
  <si>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</si>
  <si>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</si>
  <si>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</si>
  <si>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</si>
  <si>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</si>
  <si>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</si>
  <si>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</si>
  <si>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</si>
  <si>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</si>
  <si>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</si>
  <si>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</si>
  <si>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</si>
  <si>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</si>
  <si>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</si>
  <si>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</si>
  <si>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</si>
  <si>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</si>
  <si>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</si>
  <si>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</si>
  <si>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</si>
  <si>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</si>
  <si>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</si>
  <si>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</si>
  <si>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</si>
  <si>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</si>
  <si>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</si>
  <si>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</si>
  <si>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</si>
  <si>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</si>
  <si>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</si>
  <si>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</si>
  <si>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</si>
  <si>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</si>
  <si>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</si>
  <si>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</si>
  <si>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</si>
  <si>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</si>
  <si>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</si>
  <si>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</si>
  <si>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</si>
  <si>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</si>
  <si>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</si>
  <si>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</si>
  <si>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</si>
  <si>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</si>
  <si>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</si>
  <si>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</si>
  <si>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</si>
  <si>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</si>
  <si>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</si>
  <si>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</si>
  <si>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</si>
  <si>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</si>
  <si>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</si>
  <si>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</si>
  <si>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</si>
  <si>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</si>
  <si>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</si>
  <si>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</si>
  <si>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</si>
  <si>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</si>
  <si>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</si>
  <si>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</si>
  <si>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</si>
  <si>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</si>
  <si>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</si>
  <si>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</si>
  <si>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</si>
  <si>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</si>
  <si>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</si>
  <si>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</si>
  <si>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</si>
  <si>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</si>
  <si>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</si>
  <si>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</si>
  <si>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</si>
  <si>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</si>
  <si>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</si>
  <si>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</si>
  <si>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</si>
  <si>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</si>
  <si>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</si>
  <si>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</si>
  <si>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</si>
  <si>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</si>
  <si>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</si>
  <si>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</si>
  <si>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</si>
  <si>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</si>
  <si>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</si>
  <si>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</si>
  <si>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</si>
  <si>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</si>
  <si>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</si>
  <si>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</si>
  <si>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</si>
  <si>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</si>
  <si>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</si>
  <si>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</si>
  <si>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</si>
  <si>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</si>
  <si>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</si>
  <si>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</si>
  <si>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</si>
  <si>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</si>
  <si>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</si>
  <si>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</si>
  <si>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</si>
  <si>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</si>
  <si>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</si>
  <si>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</si>
  <si>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</si>
  <si>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</si>
  <si>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</si>
  <si>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</si>
  <si>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</si>
  <si>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</si>
  <si>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</si>
  <si>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</si>
  <si>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</si>
  <si>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</si>
  <si>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</si>
  <si>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</si>
  <si>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</si>
  <si>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</si>
  <si>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</si>
  <si>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</si>
  <si>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</si>
  <si>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</si>
  <si>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</si>
  <si>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</si>
  <si>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</si>
  <si>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</si>
  <si>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</si>
  <si>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</si>
  <si>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</si>
  <si>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</si>
  <si>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</si>
  <si>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</si>
  <si>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</si>
  <si>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</si>
  <si>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</si>
  <si>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</si>
  <si>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</si>
  <si>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</si>
  <si>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</si>
  <si>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</si>
  <si>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</si>
  <si>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</si>
  <si>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</si>
  <si>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</si>
  <si>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</si>
  <si>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</si>
  <si>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</si>
  <si>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</si>
  <si>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</si>
  <si>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</si>
  <si>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</si>
  <si>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</si>
  <si>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</si>
  <si>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</si>
  <si>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</si>
  <si>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</si>
  <si>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</si>
  <si>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</si>
  <si>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</si>
  <si>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</si>
  <si>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</si>
  <si>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</si>
  <si>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</si>
  <si>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</si>
  <si>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</si>
  <si>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</si>
  <si>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</si>
  <si>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</si>
  <si>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</si>
  <si>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</si>
  <si>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</si>
  <si>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</si>
  <si>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</si>
  <si>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</si>
  <si>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</si>
  <si>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</si>
  <si>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</si>
  <si>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</si>
  <si>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</si>
  <si>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</si>
  <si>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</si>
  <si>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</si>
  <si>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</si>
  <si>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</si>
  <si>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</si>
  <si>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</si>
  <si>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</si>
  <si>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</si>
  <si>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</si>
  <si>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</si>
  <si>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</si>
  <si>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</si>
  <si>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</si>
  <si>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</si>
  <si>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</si>
  <si>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</si>
  <si>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</si>
  <si>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</si>
  <si>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</si>
  <si>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</si>
  <si>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</si>
  <si>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</si>
  <si>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</si>
  <si>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</si>
  <si>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</si>
  <si>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</si>
  <si>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</si>
  <si>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</si>
  <si>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</si>
  <si>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</si>
  <si>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</si>
  <si>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</si>
  <si>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</si>
  <si>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</si>
  <si>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</si>
  <si>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</si>
  <si>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</si>
  <si>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</si>
  <si>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</si>
  <si>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</si>
  <si>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</si>
  <si>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</si>
  <si>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</si>
  <si>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</si>
  <si>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</si>
  <si>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</si>
  <si>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</si>
  <si>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</si>
  <si>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</si>
  <si>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</si>
  <si>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</si>
  <si>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</si>
  <si>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</si>
  <si>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</si>
  <si>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</si>
  <si>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</si>
  <si>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</si>
  <si>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</si>
  <si>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</si>
  <si>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</si>
  <si>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</si>
  <si>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</si>
  <si>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</si>
  <si>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</si>
  <si>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</si>
  <si>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</si>
  <si>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</si>
  <si>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</si>
  <si>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</si>
  <si>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</si>
  <si>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</si>
  <si>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</si>
  <si>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</si>
  <si>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</si>
  <si>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</si>
  <si>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</si>
  <si>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</si>
  <si>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</si>
  <si>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</si>
  <si>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</si>
  <si>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</si>
  <si>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</si>
  <si>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</si>
  <si>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</si>
  <si>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</si>
  <si>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</si>
  <si>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</si>
  <si>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</si>
  <si>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</si>
  <si>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</si>
  <si>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</si>
  <si>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</si>
  <si>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</si>
  <si>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</si>
  <si>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</si>
  <si>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</si>
  <si>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</si>
  <si>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</si>
  <si>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</si>
  <si>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</si>
  <si>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</si>
  <si>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</si>
  <si>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</si>
  <si>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</si>
  <si>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</si>
  <si>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</si>
  <si>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</si>
  <si>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</si>
  <si>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</si>
  <si>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</si>
  <si>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</si>
  <si>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</si>
  <si>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</si>
  <si>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</si>
  <si>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</si>
  <si>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</si>
  <si>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</si>
  <si>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</si>
  <si>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</si>
  <si>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</si>
  <si>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</si>
  <si>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</si>
  <si>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</si>
  <si>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</si>
  <si>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</si>
  <si>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</si>
  <si>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</si>
  <si>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</si>
  <si>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</si>
  <si>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</si>
  <si>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</si>
  <si>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</si>
  <si>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</si>
  <si>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</si>
  <si>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</si>
  <si>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</si>
  <si>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</si>
  <si>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</si>
  <si>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</si>
  <si>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</si>
  <si>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</si>
  <si>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</si>
  <si>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</si>
  <si>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</si>
  <si>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</si>
  <si>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</si>
  <si>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</si>
  <si>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</si>
  <si>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</si>
  <si>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</si>
  <si>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</si>
  <si>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</si>
  <si>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</si>
  <si>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</si>
  <si>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</si>
  <si>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</si>
  <si>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</si>
  <si>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</si>
  <si>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</si>
  <si>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</si>
  <si>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</si>
  <si>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</si>
  <si>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</si>
  <si>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</si>
  <si>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</si>
  <si>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</si>
  <si>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</si>
  <si>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</si>
  <si>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</si>
  <si>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</si>
  <si>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</si>
  <si>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</si>
  <si>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</si>
  <si>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</si>
  <si>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</si>
  <si>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</si>
  <si>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</si>
  <si>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</si>
  <si>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</si>
  <si>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</si>
  <si>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</si>
  <si>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</si>
  <si>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</si>
  <si>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</si>
  <si>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</si>
  <si>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</si>
  <si>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</si>
  <si>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</si>
  <si>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</si>
  <si>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</si>
  <si>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</si>
  <si>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</si>
  <si>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</si>
  <si>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</si>
  <si>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</si>
  <si>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</si>
  <si>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</si>
  <si>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</si>
  <si>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</si>
  <si>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</si>
  <si>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</si>
  <si>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</si>
  <si>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</si>
  <si>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</si>
  <si>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</si>
  <si>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</si>
  <si>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</si>
  <si>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</si>
  <si>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</si>
  <si>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</si>
  <si>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</si>
  <si>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</si>
  <si>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</si>
  <si>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</si>
  <si>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</si>
  <si>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</si>
  <si>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</si>
  <si>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</si>
  <si>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</si>
  <si>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</si>
  <si>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</si>
  <si>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</si>
  <si>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</si>
  <si>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</si>
  <si>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</si>
  <si>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</si>
  <si>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</si>
  <si>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</si>
  <si>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</si>
  <si>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</si>
  <si>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</si>
  <si>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</si>
  <si>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</si>
  <si>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</si>
  <si>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</si>
  <si>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</si>
  <si>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</si>
  <si>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</si>
  <si>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</si>
  <si>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</si>
  <si>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</si>
  <si>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</si>
  <si>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</si>
  <si>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</si>
  <si>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</si>
  <si>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</si>
  <si>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</si>
  <si>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</si>
  <si>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</si>
  <si>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</si>
  <si>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</si>
  <si>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</si>
  <si>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</si>
  <si>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</si>
  <si>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</si>
  <si>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</si>
  <si>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</si>
  <si>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</si>
  <si>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</si>
  <si>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</si>
  <si>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</si>
  <si>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</si>
  <si>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</si>
  <si>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</si>
  <si>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</si>
  <si>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</si>
  <si>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</si>
  <si>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</si>
  <si>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</si>
  <si>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</si>
  <si>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</si>
  <si>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</si>
  <si>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</si>
  <si>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</si>
  <si>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</si>
  <si>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</si>
  <si>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</si>
  <si>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</si>
  <si>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</si>
  <si>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</si>
  <si>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</si>
  <si>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</si>
  <si>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</si>
  <si>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</si>
  <si>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</si>
  <si>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</si>
  <si>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</si>
  <si>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</si>
  <si>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</si>
  <si>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</si>
  <si>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</si>
  <si>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</si>
  <si>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</si>
  <si>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</si>
  <si>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</si>
  <si>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</si>
  <si>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</si>
  <si>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</si>
  <si>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</si>
  <si>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</si>
  <si>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</si>
  <si>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</si>
  <si>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</si>
  <si>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</si>
  <si>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</si>
  <si>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</si>
  <si>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</si>
  <si>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</si>
  <si>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</si>
  <si>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</si>
  <si>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</si>
  <si>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</si>
  <si>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</si>
  <si>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</si>
  <si>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</si>
  <si>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</si>
  <si>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</si>
  <si>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</si>
  <si>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</si>
  <si>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</si>
  <si>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</si>
  <si>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</si>
  <si>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</si>
  <si>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</si>
  <si>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</si>
  <si>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</si>
  <si>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</si>
  <si>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</si>
  <si>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</si>
  <si>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</si>
  <si>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</si>
  <si>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</si>
  <si>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</si>
  <si>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</si>
  <si>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</si>
  <si>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</si>
  <si>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</si>
  <si>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</si>
  <si>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</si>
  <si>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</si>
  <si>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</si>
  <si>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</si>
  <si>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</si>
  <si>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</si>
  <si>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</si>
  <si>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</si>
  <si>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</si>
  <si>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</si>
  <si>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</si>
  <si>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</si>
  <si>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</si>
  <si>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</si>
  <si>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</si>
  <si>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</si>
  <si>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</si>
  <si>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</si>
  <si>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</si>
  <si>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</si>
  <si>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</si>
  <si>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</si>
  <si>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</si>
  <si>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</si>
  <si>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</si>
  <si>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</si>
  <si>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</si>
  <si>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</si>
  <si>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</si>
  <si>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</si>
  <si>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</si>
  <si>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</si>
  <si>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</si>
  <si>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</si>
  <si>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</si>
  <si>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</si>
  <si>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</si>
  <si>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</si>
  <si>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</si>
  <si>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</si>
  <si>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</si>
  <si>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</si>
  <si>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</si>
  <si>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</si>
  <si>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</si>
  <si>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</si>
  <si>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</si>
  <si>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</si>
  <si>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</si>
  <si>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</si>
  <si>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</si>
  <si>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</si>
  <si>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</si>
  <si>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</si>
  <si>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</si>
  <si>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</si>
  <si>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</si>
  <si>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</si>
  <si>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</si>
  <si>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</si>
  <si>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</si>
  <si>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</si>
  <si>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</si>
  <si>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</si>
  <si>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</si>
  <si>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</si>
  <si>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</si>
  <si>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</si>
  <si>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</si>
  <si>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</si>
  <si>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</si>
  <si>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</si>
  <si>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</si>
  <si>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</si>
  <si>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</si>
  <si>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</si>
  <si>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</si>
  <si>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</si>
  <si>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</si>
  <si>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</si>
  <si>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</si>
  <si>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</si>
  <si>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</si>
  <si>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</si>
  <si>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</si>
  <si>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</si>
  <si>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</si>
  <si>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</si>
  <si>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</si>
  <si>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</si>
  <si>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</si>
  <si>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</si>
  <si>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</si>
  <si>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</si>
  <si>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</si>
  <si>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</si>
  <si>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</si>
  <si>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</si>
  <si>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</si>
  <si>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</si>
  <si>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</si>
  <si>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</si>
  <si>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</si>
  <si>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</si>
  <si>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</si>
  <si>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</si>
  <si>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</si>
  <si>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</si>
  <si>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</si>
  <si>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</si>
  <si>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</si>
  <si>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</si>
  <si>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</si>
  <si>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</si>
  <si>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</si>
  <si>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</si>
  <si>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</si>
  <si>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</si>
  <si>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</si>
  <si>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</si>
  <si>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</si>
  <si>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</si>
  <si>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</si>
  <si>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</si>
  <si>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</si>
  <si>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</si>
  <si>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</si>
  <si>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</si>
  <si>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</si>
  <si>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</si>
  <si>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</si>
  <si>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</si>
  <si>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</si>
  <si>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</si>
  <si>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</si>
  <si>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</si>
  <si>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</si>
  <si>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</si>
  <si>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</si>
  <si>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</si>
  <si>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</si>
  <si>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</si>
  <si>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</si>
  <si>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</si>
  <si>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</si>
  <si>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</si>
  <si>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</si>
  <si>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</si>
  <si>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</si>
  <si>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</si>
  <si>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</si>
  <si>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</si>
  <si>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</si>
  <si>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</si>
  <si>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</si>
  <si>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</si>
  <si>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</si>
  <si>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</si>
  <si>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</si>
  <si>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</si>
  <si>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</si>
  <si>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</si>
  <si>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</si>
  <si>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</si>
  <si>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</si>
  <si>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</si>
  <si>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</si>
  <si>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</si>
  <si>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</si>
  <si>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</si>
  <si>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</si>
  <si>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</si>
  <si>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</si>
  <si>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</si>
  <si>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</si>
  <si>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</si>
  <si>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</si>
  <si>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</si>
  <si>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</si>
  <si>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</si>
  <si>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</si>
  <si>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</si>
  <si>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</si>
  <si>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</si>
  <si>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</si>
  <si>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</si>
  <si>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</si>
  <si>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</si>
  <si>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</si>
  <si>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</si>
  <si>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</si>
  <si>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</si>
  <si>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</si>
  <si>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</si>
  <si>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</si>
  <si>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</si>
  <si>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</si>
  <si>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</si>
  <si>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</si>
  <si>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</si>
  <si>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</si>
  <si>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</si>
  <si>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</si>
  <si>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</si>
  <si>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</si>
  <si>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</si>
  <si>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</si>
  <si>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</si>
  <si>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</si>
  <si>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</si>
  <si>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</si>
  <si>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</si>
  <si>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</si>
  <si>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</si>
  <si>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</si>
  <si>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</si>
  <si>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</si>
  <si>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</si>
  <si>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</si>
  <si>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</si>
  <si>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</si>
  <si>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</si>
  <si>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</si>
  <si>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</si>
  <si>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</si>
  <si>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</si>
  <si>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</si>
  <si>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</si>
  <si>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</si>
  <si>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</si>
  <si>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</si>
  <si>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</si>
  <si>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</si>
  <si>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</si>
  <si>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</si>
  <si>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</si>
  <si>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</si>
  <si>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</si>
  <si>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</si>
  <si>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</si>
  <si>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</si>
  <si>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</si>
  <si>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</si>
  <si>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</si>
  <si>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</si>
  <si>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</si>
  <si>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</si>
  <si>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</si>
  <si>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</si>
  <si>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</si>
  <si>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</si>
  <si>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</si>
  <si>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</si>
  <si>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</si>
  <si>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</si>
  <si>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</si>
  <si>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</si>
  <si>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</si>
  <si>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</si>
  <si>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</si>
  <si>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</si>
  <si>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</si>
  <si>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</si>
  <si>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</si>
  <si>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</si>
  <si>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</si>
  <si>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</si>
  <si>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</si>
  <si>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</si>
  <si>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</si>
  <si>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</si>
  <si>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</si>
  <si>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</si>
  <si>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</si>
  <si>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</si>
  <si>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</si>
  <si>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</si>
  <si>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</si>
  <si>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</si>
  <si>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</si>
  <si>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</si>
  <si>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</si>
  <si>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</si>
  <si>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</si>
  <si>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</si>
  <si>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</si>
  <si>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</si>
  <si>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</si>
  <si>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</si>
  <si>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</si>
  <si>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</si>
  <si>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</si>
  <si>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</si>
  <si>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</si>
  <si>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</si>
  <si>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</si>
  <si>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</si>
  <si>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</si>
  <si>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</si>
  <si>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</si>
  <si>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</si>
  <si>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</si>
  <si>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</si>
  <si>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</si>
  <si>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</si>
  <si>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</si>
  <si>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</si>
  <si>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</si>
  <si>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</si>
  <si>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</si>
  <si>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</si>
  <si>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</si>
  <si>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</si>
  <si>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</si>
  <si>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</si>
  <si>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</si>
  <si>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</si>
  <si>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</si>
  <si>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</si>
  <si>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</si>
  <si>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</si>
  <si>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</si>
  <si>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</si>
  <si>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</si>
  <si>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</si>
  <si>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</si>
  <si>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</si>
  <si>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</si>
  <si>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</si>
  <si>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</si>
  <si>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</si>
  <si>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</si>
  <si>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</si>
  <si>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</si>
  <si>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</si>
  <si>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</si>
  <si>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</si>
  <si>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</si>
  <si>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</si>
  <si>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</si>
  <si>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</si>
  <si>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</si>
  <si>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</si>
  <si>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</si>
  <si>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</si>
  <si>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</si>
  <si>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</si>
  <si>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</si>
  <si>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</si>
  <si>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</si>
  <si>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</si>
  <si>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</si>
  <si>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</si>
  <si>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</si>
  <si>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</si>
  <si>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</si>
  <si>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</si>
  <si>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</si>
  <si>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</si>
  <si>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</si>
  <si>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</si>
  <si>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</si>
  <si>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</si>
  <si>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</si>
  <si>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</si>
  <si>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</si>
  <si>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</si>
  <si>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</si>
  <si>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</si>
  <si>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</si>
  <si>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</si>
  <si>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</si>
  <si>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</si>
  <si>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</si>
  <si>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</si>
  <si>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</si>
  <si>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</si>
  <si>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</si>
  <si>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</si>
  <si>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</si>
  <si>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</si>
  <si>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</si>
  <si>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</si>
  <si>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</si>
  <si>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</si>
  <si>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</si>
  <si>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</si>
  <si>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</si>
  <si>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</si>
  <si>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</si>
  <si>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</si>
  <si>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</si>
  <si>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</si>
  <si>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</si>
  <si>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</si>
  <si>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</si>
  <si>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</si>
  <si>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</si>
  <si>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</si>
  <si>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</si>
  <si>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</si>
  <si>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</si>
  <si>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</si>
  <si>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</si>
  <si>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</si>
  <si>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</si>
  <si>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</si>
  <si>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</si>
  <si>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</si>
  <si>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</si>
  <si>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</si>
  <si>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</si>
  <si>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</si>
  <si>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</si>
  <si>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</si>
  <si>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</si>
  <si>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</si>
  <si>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</si>
  <si>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</si>
  <si>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</si>
  <si>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</si>
  <si>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</si>
  <si>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</si>
  <si>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</si>
  <si>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</si>
  <si>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</si>
  <si>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</si>
  <si>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</si>
  <si>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</si>
  <si>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</si>
  <si>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</si>
  <si>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</si>
  <si>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</si>
  <si>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</si>
  <si>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</si>
  <si>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</si>
  <si>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</si>
  <si>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</si>
  <si>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</si>
  <si>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</si>
  <si>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</si>
  <si>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</si>
  <si>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</si>
  <si>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</si>
  <si>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</si>
  <si>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</si>
  <si>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</si>
  <si>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</si>
  <si>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</si>
  <si>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</si>
  <si>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</si>
  <si>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</si>
  <si>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</si>
  <si>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</si>
  <si>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</si>
  <si>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</si>
  <si>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</si>
  <si>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</si>
  <si>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</si>
  <si>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</si>
  <si>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</si>
  <si>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</si>
  <si>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</si>
  <si>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</si>
  <si>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</si>
  <si>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</si>
  <si>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</si>
  <si>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</si>
  <si>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</si>
  <si>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</si>
  <si>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</si>
  <si>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</si>
  <si>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</si>
  <si>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</si>
  <si>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</si>
  <si>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</si>
  <si>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</si>
  <si>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</si>
  <si>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</si>
  <si>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</si>
  <si>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</si>
  <si>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</si>
  <si>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</si>
  <si>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</si>
  <si>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</si>
  <si>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</si>
  <si>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</si>
  <si>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</si>
  <si>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</si>
  <si>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</si>
  <si>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</si>
  <si>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</si>
  <si>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</si>
  <si>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</si>
  <si>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</si>
  <si>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</si>
  <si>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</si>
  <si>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</si>
  <si>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</si>
  <si>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</si>
  <si>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</si>
  <si>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</si>
  <si>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</si>
  <si>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</si>
  <si>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</si>
  <si>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</si>
  <si>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</si>
  <si>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</si>
  <si>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</si>
  <si>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</si>
  <si>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</si>
  <si>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</si>
  <si>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</si>
  <si>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</si>
  <si>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</si>
  <si>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</si>
  <si>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</si>
  <si>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</si>
  <si>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</si>
  <si>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</si>
  <si>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</si>
  <si>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</si>
  <si>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</si>
  <si>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</si>
  <si>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</si>
  <si>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</si>
  <si>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</si>
  <si>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</si>
  <si>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</si>
  <si>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</si>
  <si>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</si>
  <si>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</si>
  <si>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</si>
  <si>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</si>
  <si>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</si>
  <si>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</si>
  <si>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</si>
  <si>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</si>
  <si>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</si>
  <si>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</si>
  <si>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</si>
  <si>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</si>
  <si>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</si>
  <si>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</si>
  <si>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</si>
  <si>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</si>
  <si>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</si>
  <si>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</si>
  <si>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</si>
  <si>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</si>
  <si>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</si>
  <si>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</si>
  <si>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</si>
  <si>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</si>
  <si>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</si>
  <si>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</si>
  <si>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</si>
  <si>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</si>
  <si>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</si>
  <si>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</si>
  <si>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</si>
  <si>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</si>
  <si>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</si>
  <si>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</si>
  <si>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</si>
  <si>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</si>
  <si>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</si>
  <si>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</si>
  <si>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</si>
  <si>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</si>
  <si>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</si>
  <si>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</si>
  <si>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</si>
  <si>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</si>
  <si>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</si>
  <si>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</si>
  <si>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</si>
  <si>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</si>
  <si>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</si>
  <si>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</si>
  <si>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</si>
  <si>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</si>
  <si>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</si>
  <si>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</si>
  <si>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</si>
  <si>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</si>
  <si>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</si>
  <si>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</si>
  <si>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</si>
  <si>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</si>
  <si>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</si>
  <si>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</si>
  <si>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</si>
  <si>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</si>
  <si>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</si>
  <si>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</si>
  <si>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</si>
  <si>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</si>
  <si>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</si>
  <si>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</si>
  <si>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</si>
  <si>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</si>
  <si>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</si>
  <si>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</si>
  <si>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</si>
  <si>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</si>
  <si>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</si>
  <si>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</si>
  <si>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</si>
  <si>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</si>
  <si>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</si>
  <si>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</si>
  <si>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</si>
  <si>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</si>
  <si>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</si>
  <si>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</si>
  <si>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</si>
  <si>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</si>
  <si>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</si>
  <si>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</si>
  <si>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</si>
  <si>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</si>
  <si>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</si>
  <si>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</si>
  <si>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</si>
  <si>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</si>
  <si>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</si>
  <si>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</si>
  <si>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</si>
  <si>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</si>
  <si>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</si>
  <si>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</si>
  <si>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</si>
  <si>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</si>
  <si>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</si>
  <si>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</si>
  <si>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</si>
  <si>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</si>
  <si>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</si>
  <si>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</si>
  <si>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</si>
  <si>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</si>
  <si>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</si>
  <si>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</si>
  <si>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</si>
  <si>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</si>
  <si>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</si>
  <si>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</si>
  <si>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</si>
  <si>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</si>
  <si>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</si>
  <si>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</si>
  <si>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</si>
  <si>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</si>
  <si>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</si>
  <si>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</si>
  <si>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</si>
  <si>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</si>
  <si>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</si>
  <si>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</si>
  <si>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</si>
  <si>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</si>
  <si>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</si>
  <si>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</si>
  <si>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</si>
  <si>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</si>
  <si>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</si>
  <si>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</si>
  <si>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</si>
  <si>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</si>
  <si>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</si>
  <si>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</si>
  <si>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</si>
  <si>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</si>
  <si>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</si>
  <si>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</si>
  <si>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</si>
  <si>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</si>
  <si>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</si>
  <si>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</si>
  <si>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</si>
  <si>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</si>
  <si>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</si>
  <si>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</si>
  <si>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</si>
  <si>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</si>
  <si>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</si>
  <si>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</si>
  <si>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</si>
  <si>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</si>
  <si>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</si>
  <si>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</si>
  <si>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</si>
  <si>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</si>
  <si>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</si>
  <si>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</si>
  <si>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</si>
  <si>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</si>
  <si>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</si>
  <si>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</si>
  <si>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</si>
  <si>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</si>
  <si>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</si>
  <si>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</si>
  <si>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</si>
  <si>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</si>
  <si>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</si>
  <si>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</si>
  <si>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</si>
  <si>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</si>
  <si>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</si>
  <si>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</si>
  <si>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</si>
  <si>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</si>
  <si>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</si>
  <si>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</si>
  <si>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</si>
  <si>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</si>
  <si>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</si>
  <si>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</si>
  <si>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</si>
  <si>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</si>
  <si>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</si>
  <si>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</si>
  <si>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</si>
  <si>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</si>
  <si>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</si>
  <si>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</si>
  <si>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</si>
  <si>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</si>
  <si>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</si>
  <si>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</si>
  <si>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</si>
  <si>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</si>
  <si>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</si>
  <si>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</si>
  <si>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</si>
  <si>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</si>
  <si>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</si>
  <si>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</si>
  <si>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</si>
  <si>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</si>
  <si>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</si>
  <si>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</si>
  <si>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</si>
  <si>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</si>
  <si>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</si>
  <si>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</si>
  <si>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</si>
  <si>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</si>
  <si>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</si>
  <si>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</si>
  <si>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</si>
  <si>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</si>
  <si>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</si>
  <si>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</si>
  <si>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</si>
  <si>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</si>
  <si>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</si>
  <si>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</si>
  <si>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</si>
  <si>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</si>
  <si>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</si>
  <si>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</si>
  <si>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</si>
  <si>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</si>
  <si>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</si>
  <si>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</si>
  <si>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</si>
  <si>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</si>
  <si>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</si>
  <si>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</si>
  <si>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</si>
  <si>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</si>
  <si>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</si>
  <si>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</si>
  <si>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</si>
  <si>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</si>
  <si>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</si>
  <si>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</si>
  <si>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</si>
  <si>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</si>
  <si>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</si>
  <si>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</si>
  <si>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</si>
  <si>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</si>
  <si>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</si>
  <si>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</si>
  <si>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</si>
  <si>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</si>
  <si>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</si>
  <si>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</si>
  <si>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</si>
  <si>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</si>
  <si>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</si>
  <si>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</si>
  <si>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</si>
  <si>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</si>
  <si>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</si>
  <si>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</si>
  <si>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</si>
  <si>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</si>
  <si>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</si>
  <si>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</si>
  <si>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</si>
  <si>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</si>
  <si>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</si>
  <si>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</si>
  <si>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</si>
  <si>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</si>
  <si>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</si>
  <si>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</si>
  <si>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</si>
  <si>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</si>
  <si>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</si>
  <si>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</si>
  <si>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</si>
  <si>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</si>
  <si>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</si>
  <si>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</si>
  <si>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</si>
  <si>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</si>
  <si>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</si>
  <si>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</si>
  <si>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</si>
  <si>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</si>
  <si>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</si>
  <si>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</si>
  <si>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</si>
  <si>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</si>
  <si>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</si>
  <si>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</si>
  <si>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</si>
  <si>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</si>
  <si>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</si>
  <si>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</si>
  <si>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</si>
  <si>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</si>
  <si>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</si>
  <si>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</si>
  <si>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</si>
  <si>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</si>
  <si>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</si>
  <si>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</si>
  <si>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</si>
  <si>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</si>
  <si>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</si>
  <si>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</si>
  <si>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</si>
  <si>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</si>
  <si>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</si>
  <si>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</si>
  <si>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</si>
  <si>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</si>
  <si>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</si>
  <si>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</si>
  <si>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</si>
  <si>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</si>
  <si>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</si>
  <si>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</si>
  <si>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</si>
  <si>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</si>
  <si>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</si>
  <si>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</si>
  <si>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</si>
  <si>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</si>
  <si>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</si>
  <si>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</si>
  <si>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</si>
  <si>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</si>
  <si>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</si>
  <si>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</si>
  <si>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</si>
  <si>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</si>
  <si>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</si>
  <si>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</si>
  <si>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</si>
  <si>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</si>
  <si>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</si>
  <si>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</si>
  <si>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</si>
  <si>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</si>
  <si>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</si>
  <si>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</si>
  <si>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</si>
  <si>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</si>
  <si>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</si>
  <si>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</si>
  <si>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</si>
  <si>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</si>
  <si>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</si>
  <si>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</si>
  <si>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</si>
  <si>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</si>
  <si>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</si>
  <si>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</si>
  <si>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</si>
  <si>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</si>
  <si>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</si>
  <si>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</si>
  <si>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</si>
  <si>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</si>
  <si>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</si>
  <si>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</si>
  <si>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</si>
  <si>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</si>
  <si>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</si>
  <si>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</si>
  <si>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</si>
  <si>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</si>
  <si>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</si>
  <si>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</si>
  <si>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</si>
  <si>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</si>
  <si>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</si>
  <si>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</si>
  <si>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</si>
  <si>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</si>
  <si>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</si>
  <si>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</si>
  <si>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</si>
  <si>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</si>
  <si>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</si>
  <si>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</si>
  <si>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</si>
  <si>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</si>
  <si>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</si>
  <si>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</si>
  <si>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</si>
  <si>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</si>
  <si>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</si>
  <si>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</si>
  <si>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</si>
  <si>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</si>
  <si>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</si>
  <si>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</si>
  <si>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</si>
  <si>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</si>
  <si>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</si>
  <si>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</si>
  <si>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</si>
  <si>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</si>
  <si>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</si>
  <si>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</si>
  <si>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</si>
  <si>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</si>
  <si>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</si>
  <si>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</si>
  <si>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</si>
  <si>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</si>
  <si>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</si>
  <si>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</si>
  <si>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</si>
  <si>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</si>
  <si>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</si>
  <si>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</si>
  <si>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</si>
  <si>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</si>
  <si>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</si>
  <si>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</si>
  <si>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</si>
  <si>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</si>
  <si>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</si>
  <si>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</si>
  <si>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</si>
  <si>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</si>
  <si>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</si>
  <si>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</si>
  <si>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</si>
  <si>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</si>
  <si>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</si>
  <si>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</si>
  <si>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</si>
  <si>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</si>
  <si>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</si>
  <si>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</si>
  <si>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</si>
  <si>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</si>
  <si>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</si>
  <si>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</si>
  <si>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</si>
  <si>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</si>
  <si>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</si>
  <si>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</si>
  <si>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</si>
  <si>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</si>
  <si>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</si>
  <si>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</si>
  <si>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</si>
  <si>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</si>
  <si>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</si>
  <si>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</si>
  <si>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</si>
  <si>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</si>
  <si>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</si>
  <si>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</si>
  <si>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</si>
  <si>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</si>
  <si>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</si>
  <si>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</si>
  <si>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</si>
  <si>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</si>
  <si>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</si>
  <si>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</si>
  <si>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</si>
  <si>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</si>
  <si>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</si>
  <si>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</si>
  <si>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</si>
  <si>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</si>
  <si>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</si>
  <si>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</si>
  <si>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</si>
  <si>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</si>
  <si>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</si>
  <si>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</si>
  <si>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</si>
  <si>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</si>
  <si>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</si>
  <si>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</si>
  <si>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</si>
  <si>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</si>
  <si>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</si>
  <si>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</si>
  <si>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</si>
  <si>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</si>
  <si>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</si>
  <si>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</si>
  <si>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</si>
  <si>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</si>
  <si>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</si>
  <si>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</si>
  <si>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</si>
  <si>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</si>
  <si>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</si>
  <si>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</si>
  <si>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</si>
  <si>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</si>
  <si>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</si>
  <si>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</si>
  <si>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</si>
  <si>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</si>
  <si>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</si>
  <si>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</si>
  <si>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</si>
  <si>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</si>
  <si>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</si>
  <si>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</si>
  <si>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</si>
  <si>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</si>
  <si>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</si>
  <si>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</si>
  <si>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</si>
  <si>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</si>
  <si>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</si>
  <si>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</si>
  <si>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</si>
  <si>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</si>
  <si>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</si>
  <si>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</si>
  <si>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</si>
  <si>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</si>
  <si>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</si>
  <si>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</si>
  <si>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</si>
  <si>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</si>
  <si>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</si>
  <si>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</si>
  <si>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</si>
  <si>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</si>
  <si>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</si>
  <si>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</si>
  <si>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</si>
  <si>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</si>
  <si>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</si>
  <si>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</si>
  <si>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</si>
  <si>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</si>
  <si>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</si>
  <si>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</si>
  <si>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</si>
  <si>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</si>
  <si>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</si>
  <si>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</si>
  <si>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</si>
  <si>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</si>
  <si>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</si>
  <si>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</si>
  <si>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</si>
  <si>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</si>
  <si>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</si>
  <si>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</si>
  <si>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</si>
  <si>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</si>
  <si>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</si>
  <si>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</si>
  <si>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</si>
  <si>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</si>
  <si>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</si>
  <si>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</si>
  <si>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</si>
  <si>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</si>
  <si>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</si>
  <si>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</si>
  <si>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</si>
  <si>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</si>
  <si>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</si>
  <si>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</si>
  <si>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</si>
  <si>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</si>
  <si>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</si>
  <si>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</si>
  <si>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</si>
  <si>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</si>
  <si>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</si>
  <si>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</si>
  <si>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</si>
  <si>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</si>
  <si>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</si>
  <si>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</si>
  <si>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</si>
  <si>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</si>
  <si>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</si>
  <si>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</si>
  <si>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</si>
  <si>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</si>
  <si>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</si>
  <si>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</si>
  <si>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</si>
  <si>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</si>
  <si>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</si>
  <si>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</si>
  <si>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</si>
  <si>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</si>
  <si>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</si>
  <si>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</si>
  <si>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</si>
  <si>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</si>
  <si>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</si>
  <si>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</si>
  <si>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</si>
  <si>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</si>
  <si>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</si>
  <si>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</si>
  <si>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</si>
  <si>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</si>
  <si>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</si>
  <si>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</si>
  <si>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</si>
  <si>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</si>
  <si>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</si>
  <si>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</si>
  <si>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</si>
  <si>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</si>
  <si>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</si>
  <si>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</si>
  <si>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</si>
  <si>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</si>
  <si>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</si>
  <si>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</si>
  <si>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</si>
  <si>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</si>
  <si>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</si>
  <si>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</si>
  <si>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</si>
  <si>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</si>
  <si>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</si>
  <si>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</si>
  <si>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</si>
  <si>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</si>
  <si>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</si>
  <si>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</si>
  <si>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</si>
  <si>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</si>
  <si>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</si>
  <si>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</si>
  <si>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</si>
  <si>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</si>
  <si>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</si>
  <si>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</si>
  <si>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</si>
  <si>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</si>
  <si>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</si>
  <si>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</si>
  <si>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</si>
  <si>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</si>
  <si>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</si>
  <si>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</si>
  <si>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</si>
  <si>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</si>
  <si>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</si>
  <si>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</si>
  <si>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</si>
  <si>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</si>
  <si>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</si>
  <si>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</si>
  <si>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</si>
  <si>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</si>
  <si>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</si>
  <si>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</si>
  <si>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</si>
  <si>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</si>
  <si>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</si>
  <si>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</si>
  <si>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</si>
  <si>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</si>
  <si>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</si>
  <si>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</si>
  <si>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</si>
  <si>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</si>
  <si>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</si>
  <si>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</si>
  <si>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</si>
  <si>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</si>
  <si>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</si>
  <si>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</si>
  <si>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</si>
  <si>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</si>
  <si>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</si>
  <si>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</si>
  <si>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</si>
  <si>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</si>
  <si>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</si>
  <si>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</si>
  <si>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</si>
  <si>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</si>
  <si>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</si>
  <si>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</si>
  <si>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</si>
  <si>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</si>
  <si>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</si>
  <si>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</si>
  <si>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</si>
  <si>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</si>
  <si>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</si>
  <si>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</si>
  <si>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</si>
  <si>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</si>
  <si>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</si>
  <si>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</si>
  <si>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</si>
  <si>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</si>
  <si>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</si>
  <si>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</si>
  <si>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</si>
  <si>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</si>
  <si>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</si>
  <si>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</si>
  <si>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</si>
  <si>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</si>
  <si>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</si>
  <si>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</si>
  <si>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</si>
  <si>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</si>
  <si>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</si>
  <si>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</si>
  <si>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</si>
  <si>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</si>
  <si>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</si>
  <si>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</si>
  <si>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</si>
  <si>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</si>
  <si>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</si>
  <si>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</si>
  <si>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</si>
  <si>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</si>
  <si>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</si>
  <si>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</si>
  <si>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</si>
  <si>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</si>
  <si>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</si>
  <si>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</si>
  <si>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</si>
  <si>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</si>
  <si>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</si>
  <si>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</si>
  <si>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</si>
  <si>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</si>
  <si>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</si>
  <si>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</si>
  <si>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</si>
  <si>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</si>
  <si>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</si>
  <si>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</si>
  <si>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</si>
  <si>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</si>
  <si>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</si>
  <si>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</si>
  <si>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</si>
  <si>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</si>
  <si>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</si>
  <si>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</si>
  <si>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</si>
  <si>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</si>
  <si>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</si>
  <si>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</si>
  <si>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</si>
  <si>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</si>
  <si>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</si>
  <si>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</si>
  <si>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</si>
  <si>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</si>
  <si>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</si>
  <si>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</si>
  <si>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</si>
  <si>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</si>
  <si>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</si>
  <si>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</si>
  <si>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</si>
  <si>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</si>
  <si>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</si>
  <si>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</si>
  <si>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</si>
  <si>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</si>
  <si>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</si>
  <si>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</si>
  <si>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</si>
  <si>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</si>
  <si>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</si>
  <si>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</si>
  <si>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</si>
  <si>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</si>
  <si>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</si>
  <si>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</si>
  <si>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</si>
  <si>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</si>
  <si>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</si>
  <si>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</si>
  <si>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</si>
  <si>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</si>
  <si>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</si>
  <si>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</si>
  <si>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</si>
  <si>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</si>
  <si>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</si>
  <si>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</si>
  <si>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</si>
  <si>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</si>
  <si>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</si>
  <si>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</si>
  <si>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</si>
  <si>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</si>
  <si>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</si>
  <si>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</si>
  <si>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</si>
  <si>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</si>
  <si>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</si>
  <si>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</si>
  <si>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</si>
  <si>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</si>
  <si>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</si>
  <si>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</si>
  <si>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</si>
  <si>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</si>
  <si>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</si>
  <si>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</si>
  <si>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</si>
  <si>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</si>
  <si>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</si>
  <si>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</si>
  <si>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</si>
  <si>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</si>
  <si>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</si>
  <si>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</si>
  <si>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</si>
  <si>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</si>
  <si>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</si>
  <si>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</si>
  <si>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</si>
  <si>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</si>
  <si>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</si>
  <si>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</si>
  <si>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</si>
  <si>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</si>
  <si>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</si>
  <si>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</si>
  <si>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</si>
  <si>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</si>
  <si>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</si>
  <si>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</si>
  <si>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</si>
  <si>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</si>
  <si>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</si>
  <si>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</si>
  <si>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</si>
  <si>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</si>
  <si>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</si>
  <si>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</si>
  <si>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</si>
  <si>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</si>
  <si>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</si>
  <si>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</si>
  <si>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</si>
  <si>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</si>
  <si>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</si>
  <si>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</si>
  <si>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</si>
  <si>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</si>
  <si>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</si>
  <si>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</si>
  <si>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</si>
  <si>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</si>
  <si>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</si>
  <si>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</si>
  <si>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</si>
  <si>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</si>
  <si>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</si>
  <si>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</si>
  <si>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</si>
  <si>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</si>
  <si>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</si>
  <si>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</si>
  <si>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</si>
  <si>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</si>
  <si>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</si>
  <si>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</si>
  <si>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</si>
  <si>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</si>
  <si>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</si>
  <si>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</si>
  <si>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</si>
  <si>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</si>
  <si>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</si>
  <si>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</si>
  <si>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</si>
  <si>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</si>
  <si>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</si>
  <si>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</si>
  <si>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</si>
  <si>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</si>
  <si>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</si>
  <si>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</si>
  <si>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</si>
  <si>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</si>
  <si>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</si>
  <si>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</si>
  <si>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</si>
  <si>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</si>
  <si>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</si>
  <si>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</si>
  <si>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</si>
  <si>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</si>
  <si>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</si>
  <si>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</si>
  <si>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</si>
  <si>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</si>
  <si>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</si>
  <si>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</si>
  <si>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</si>
  <si>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</si>
  <si>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</si>
  <si>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</si>
  <si>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</si>
  <si>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</si>
  <si>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</si>
  <si>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</si>
  <si>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</si>
  <si>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</si>
  <si>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</si>
  <si>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</si>
  <si>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</si>
  <si>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</si>
  <si>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</si>
  <si>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</si>
  <si>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</si>
  <si>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</si>
  <si>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</si>
  <si>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</si>
  <si>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</si>
  <si>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</si>
  <si>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</si>
  <si>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</si>
  <si>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</si>
  <si>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</si>
  <si>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</si>
  <si>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</si>
  <si>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</si>
  <si>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</si>
  <si>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</si>
  <si>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</si>
  <si>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</si>
  <si>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</si>
  <si>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</si>
  <si>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</si>
  <si>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</si>
  <si>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</si>
  <si>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</si>
  <si>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</si>
  <si>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</si>
  <si>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</si>
  <si>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</si>
  <si>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</si>
  <si>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</si>
  <si>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</si>
  <si>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</si>
  <si>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</si>
  <si>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</si>
  <si>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</si>
  <si>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</si>
  <si>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</si>
  <si>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</si>
  <si>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</si>
  <si>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</si>
  <si>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</si>
  <si>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</si>
  <si>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</si>
  <si>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</si>
  <si>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</si>
  <si>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</si>
  <si>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</si>
  <si>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</si>
  <si>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</si>
  <si>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</si>
  <si>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</si>
  <si>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</si>
  <si>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</si>
  <si>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</si>
  <si>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</si>
  <si>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</si>
  <si>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</si>
  <si>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</si>
  <si>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</si>
  <si>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</si>
  <si>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</si>
  <si>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</si>
  <si>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</si>
  <si>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</si>
  <si>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</si>
  <si>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</si>
  <si>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</si>
  <si>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</si>
  <si>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</si>
  <si>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</si>
  <si>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</si>
  <si>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</si>
  <si>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</si>
  <si>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</si>
  <si>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</si>
  <si>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</si>
  <si>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</si>
  <si>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</si>
  <si>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</si>
  <si>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</si>
  <si>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</si>
  <si>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</si>
  <si>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</si>
  <si>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</si>
  <si>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</si>
  <si>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</si>
  <si>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</si>
  <si>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</si>
  <si>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</si>
  <si>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</si>
  <si>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</si>
  <si>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</si>
  <si>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</si>
  <si>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</si>
  <si>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</si>
  <si>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</si>
  <si>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</si>
  <si>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</si>
  <si>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</si>
  <si>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</si>
  <si>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</si>
  <si>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</si>
  <si>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</si>
  <si>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</si>
  <si>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</si>
  <si>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</si>
  <si>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</si>
  <si>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</si>
  <si>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</si>
  <si>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</si>
  <si>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</si>
  <si>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</si>
  <si>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</si>
  <si>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</si>
  <si>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</si>
  <si>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</si>
  <si>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</si>
  <si>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</si>
  <si>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</si>
  <si>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</si>
  <si>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</si>
  <si>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</si>
  <si>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</si>
  <si>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</si>
  <si>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</si>
  <si>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</si>
  <si>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</si>
  <si>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</si>
  <si>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</si>
  <si>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</si>
  <si>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</si>
  <si>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</si>
  <si>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</si>
  <si>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</si>
  <si>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</si>
  <si>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</si>
  <si>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</si>
  <si>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</si>
  <si>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</si>
  <si>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</si>
  <si>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</si>
  <si>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</si>
  <si>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</si>
  <si>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</si>
  <si>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</si>
  <si>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</si>
  <si>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</si>
  <si>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</si>
  <si>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</si>
  <si>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</si>
  <si>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</si>
  <si>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</si>
  <si>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</si>
  <si>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</si>
  <si>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</si>
  <si>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</si>
  <si>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</si>
  <si>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</si>
  <si>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</si>
  <si>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</si>
  <si>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</si>
  <si>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</si>
  <si>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</si>
  <si>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</si>
  <si>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</si>
  <si>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</si>
  <si>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</si>
  <si>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</si>
  <si>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</si>
  <si>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</si>
  <si>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</si>
  <si>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</si>
  <si>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</si>
  <si>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</si>
  <si>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</si>
  <si>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</si>
  <si>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</si>
  <si>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</si>
  <si>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</si>
  <si>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</si>
  <si>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</si>
  <si>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</si>
  <si>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</si>
  <si>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</si>
  <si>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</si>
  <si>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</si>
  <si>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</si>
  <si>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</si>
  <si>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</si>
  <si>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</si>
  <si>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</si>
  <si>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</si>
  <si>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</si>
  <si>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</si>
  <si>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</si>
  <si>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</si>
  <si>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</si>
  <si>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</si>
  <si>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</si>
  <si>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</si>
  <si>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</si>
  <si>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</si>
  <si>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</si>
  <si>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</si>
  <si>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</si>
  <si>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</si>
  <si>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</si>
  <si>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</si>
  <si>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</si>
  <si>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</si>
  <si>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</si>
  <si>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</si>
  <si>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</si>
  <si>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</si>
  <si>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</si>
  <si>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</si>
  <si>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</si>
  <si>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</si>
  <si>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</si>
  <si>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</si>
  <si>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</si>
  <si>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</si>
  <si>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</si>
  <si>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</si>
  <si>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</si>
  <si>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</si>
  <si>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</si>
  <si>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</si>
  <si>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</si>
  <si>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</si>
  <si>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</si>
  <si>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</si>
  <si>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</si>
  <si>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</si>
  <si>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</si>
  <si>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</si>
  <si>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</si>
  <si>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</si>
  <si>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</si>
  <si>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</si>
  <si>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</si>
  <si>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</si>
  <si>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</si>
  <si>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</si>
  <si>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</si>
  <si>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</si>
  <si>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</si>
  <si>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</si>
  <si>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</si>
  <si>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</si>
  <si>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</si>
  <si>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</si>
  <si>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</si>
  <si>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</si>
  <si>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</si>
  <si>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</si>
  <si>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</si>
  <si>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</si>
  <si>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</si>
  <si>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</si>
  <si>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</si>
  <si>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</si>
  <si>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</si>
  <si>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</si>
  <si>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</si>
  <si>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</si>
  <si>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</si>
  <si>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</si>
  <si>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</si>
  <si>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</si>
  <si>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</si>
  <si>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</si>
  <si>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</si>
  <si>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</si>
  <si>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</si>
  <si>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</si>
  <si>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</si>
  <si>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</si>
  <si>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</si>
  <si>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</si>
  <si>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</si>
  <si>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</si>
  <si>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</si>
  <si>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</si>
  <si>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</si>
  <si>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</si>
  <si>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</si>
  <si>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</si>
  <si>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</si>
  <si>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</si>
  <si>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</si>
  <si>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</si>
  <si>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</si>
  <si>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</si>
  <si>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</si>
  <si>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</si>
  <si>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</si>
  <si>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</si>
  <si>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</si>
  <si>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</si>
  <si>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</si>
  <si>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</si>
  <si>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</si>
  <si>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</si>
  <si>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</si>
  <si>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</si>
  <si>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</si>
  <si>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</si>
  <si>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</si>
  <si>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</si>
  <si>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</si>
  <si>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</si>
  <si>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</si>
  <si>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</si>
  <si>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</si>
  <si>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</si>
  <si>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</si>
  <si>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</si>
  <si>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</si>
  <si>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</si>
  <si>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</si>
  <si>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</si>
  <si>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</si>
  <si>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</si>
  <si>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</si>
  <si>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</si>
  <si>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</si>
  <si>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</si>
  <si>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</si>
  <si>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</si>
  <si>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</si>
  <si>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</si>
  <si>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</si>
  <si>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</si>
  <si>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</si>
  <si>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</si>
  <si>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</si>
  <si>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</si>
  <si>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</si>
  <si>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</si>
  <si>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</si>
  <si>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</si>
  <si>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</si>
  <si>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</si>
  <si>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</si>
  <si>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</si>
  <si>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</si>
  <si>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</si>
  <si>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</si>
  <si>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</si>
  <si>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</si>
  <si>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</si>
  <si>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</si>
  <si>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</si>
  <si>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</si>
  <si>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</si>
  <si>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</si>
  <si>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</si>
  <si>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</si>
  <si>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</si>
  <si>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</si>
  <si>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</si>
  <si>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</si>
  <si>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</si>
  <si>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</si>
  <si>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</si>
  <si>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</si>
  <si>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</si>
  <si>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</si>
  <si>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</si>
  <si>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</si>
  <si>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</si>
  <si>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</si>
  <si>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</si>
  <si>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</si>
  <si>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</si>
  <si>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</si>
  <si>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</si>
  <si>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</si>
  <si>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</si>
  <si>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</si>
  <si>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</si>
  <si>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</si>
  <si>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</si>
  <si>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</si>
  <si>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</si>
  <si>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</si>
  <si>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</si>
  <si>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</si>
  <si>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</si>
  <si>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</si>
  <si>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</si>
  <si>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</si>
  <si>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</si>
  <si>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</si>
  <si>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</si>
  <si>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</si>
  <si>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</si>
  <si>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</si>
  <si>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</si>
  <si>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</si>
  <si>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</si>
  <si>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</si>
  <si>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</si>
  <si>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</si>
  <si>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</si>
  <si>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</si>
  <si>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</si>
  <si>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</si>
  <si>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</si>
  <si>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</si>
  <si>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</si>
  <si>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</si>
  <si>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</si>
  <si>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</si>
  <si>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</si>
  <si>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</si>
  <si>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</si>
  <si>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</si>
  <si>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</si>
  <si>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</si>
  <si>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</si>
  <si>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</si>
  <si>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</si>
  <si>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</si>
  <si>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</si>
  <si>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</si>
  <si>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</si>
  <si>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</si>
  <si>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</si>
  <si>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</si>
  <si>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</si>
  <si>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</si>
  <si>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</si>
  <si>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</si>
  <si>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</si>
  <si>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</si>
  <si>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</si>
  <si>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</si>
  <si>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</si>
  <si>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</si>
  <si>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</si>
  <si>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</si>
  <si>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</si>
  <si>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</si>
  <si>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</si>
  <si>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</si>
  <si>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</si>
  <si>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</si>
  <si>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</si>
  <si>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</si>
  <si>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</si>
  <si>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</si>
  <si>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</si>
  <si>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</si>
  <si>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</si>
  <si>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</si>
  <si>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</si>
  <si>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</si>
  <si>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</si>
  <si>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</si>
  <si>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</si>
  <si>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</si>
  <si>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</si>
  <si>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</si>
  <si>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</si>
  <si>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</si>
  <si>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</si>
  <si>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</si>
  <si>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</si>
  <si>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</si>
  <si>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</si>
  <si>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</si>
  <si>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</si>
  <si>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</si>
  <si>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</si>
  <si>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</si>
  <si>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</si>
  <si>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</si>
  <si>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</si>
  <si>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</si>
  <si>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</si>
  <si>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</si>
  <si>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</si>
  <si>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</si>
  <si>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</si>
  <si>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</si>
  <si>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</si>
  <si>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</si>
  <si>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</si>
  <si>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</si>
  <si>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</si>
  <si>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</si>
  <si>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</si>
  <si>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</si>
  <si>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</si>
  <si>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</si>
  <si>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</si>
  <si>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</si>
  <si>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</si>
  <si>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</si>
  <si>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</si>
  <si>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</si>
  <si>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</si>
  <si>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</si>
  <si>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</si>
  <si>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</si>
  <si>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</si>
  <si>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</si>
  <si>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</si>
  <si>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</si>
  <si>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</si>
  <si>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</si>
  <si>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</si>
  <si>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</si>
  <si>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</si>
  <si>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</si>
  <si>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</si>
  <si>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</si>
  <si>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</si>
  <si>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</si>
  <si>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</si>
  <si>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</si>
  <si>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</si>
  <si>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</si>
  <si>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</si>
  <si>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</si>
  <si>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</si>
  <si>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</si>
  <si>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</si>
  <si>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</si>
  <si>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</si>
  <si>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</si>
  <si>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</si>
  <si>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</si>
  <si>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</si>
  <si>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</si>
  <si>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</si>
  <si>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</si>
  <si>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</si>
  <si>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</si>
  <si>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</si>
  <si>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</si>
  <si>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</si>
  <si>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</si>
  <si>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</si>
  <si>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</si>
  <si>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</si>
  <si>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</si>
  <si>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</si>
  <si>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</si>
  <si>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</si>
  <si>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</si>
  <si>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</si>
  <si>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</si>
  <si>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</si>
  <si>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</si>
  <si>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</si>
  <si>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</si>
  <si>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</si>
  <si>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</si>
  <si>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</si>
  <si>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</si>
  <si>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</si>
  <si>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</si>
  <si>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</si>
  <si>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</si>
  <si>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</si>
  <si>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</si>
  <si>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</si>
  <si>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</si>
  <si>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</si>
  <si>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</si>
  <si>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</si>
  <si>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</si>
  <si>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</si>
  <si>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</si>
  <si>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</si>
  <si>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</si>
  <si>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</si>
  <si>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</si>
  <si>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</si>
  <si>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</si>
  <si>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</si>
  <si>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</si>
  <si>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</si>
  <si>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</si>
  <si>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</si>
  <si>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</si>
  <si>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</si>
  <si>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</si>
  <si>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</si>
  <si>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</si>
  <si>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</si>
  <si>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</si>
  <si>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</si>
  <si>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</si>
  <si>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</si>
  <si>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</si>
  <si>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</si>
  <si>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</si>
  <si>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</si>
  <si>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</si>
  <si>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</si>
  <si>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</si>
  <si>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</si>
  <si>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</si>
  <si>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</si>
  <si>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</si>
  <si>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</si>
  <si>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</si>
  <si>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</si>
  <si>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</si>
  <si>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</si>
  <si>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</si>
  <si>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</si>
  <si>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</si>
  <si>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</si>
  <si>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</si>
  <si>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</si>
  <si>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</si>
  <si>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</si>
  <si>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</si>
  <si>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</si>
  <si>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</si>
  <si>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</si>
  <si>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</si>
  <si>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</si>
  <si>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</si>
  <si>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</si>
  <si>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</si>
  <si>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</si>
  <si>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</si>
  <si>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</si>
  <si>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</si>
  <si>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</si>
  <si>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</si>
  <si>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</si>
  <si>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</si>
  <si>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</si>
  <si>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</si>
  <si>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</si>
  <si>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</si>
  <si>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</si>
  <si>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</si>
  <si>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</si>
  <si>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</si>
  <si>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</si>
  <si>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</si>
  <si>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</si>
  <si>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</si>
  <si>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</si>
  <si>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</si>
  <si>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</si>
  <si>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</si>
  <si>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</si>
  <si>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</si>
  <si>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</si>
  <si>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</si>
  <si>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</si>
  <si>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</si>
  <si>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</si>
  <si>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</si>
  <si>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</si>
  <si>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</si>
  <si>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</si>
  <si>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</si>
  <si>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</si>
  <si>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</si>
  <si>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</si>
  <si>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</si>
  <si>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</si>
  <si>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</si>
  <si>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</si>
  <si>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</si>
  <si>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</si>
  <si>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</si>
  <si>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</si>
  <si>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</si>
  <si>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</si>
  <si>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</si>
  <si>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</si>
  <si>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</si>
  <si>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</si>
  <si>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</si>
  <si>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</si>
  <si>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</si>
  <si>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</si>
  <si>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</si>
  <si>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</si>
  <si>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</si>
  <si>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</si>
  <si>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</si>
  <si>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</si>
  <si>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</si>
  <si>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</si>
  <si>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</si>
  <si>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</si>
  <si>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</si>
  <si>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</si>
  <si>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</si>
  <si>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</si>
  <si>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</si>
  <si>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</si>
  <si>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</si>
  <si>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</si>
  <si>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</si>
  <si>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</si>
  <si>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</si>
  <si>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</si>
  <si>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</si>
  <si>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</si>
  <si>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</si>
  <si>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</si>
  <si>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</si>
  <si>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</si>
  <si>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</si>
  <si>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</si>
  <si>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</si>
  <si>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</si>
  <si>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</si>
  <si>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</si>
  <si>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</si>
  <si>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</si>
  <si>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</si>
  <si>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</si>
  <si>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</si>
  <si>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</si>
  <si>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</si>
  <si>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</si>
  <si>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</si>
  <si>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</si>
  <si>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</si>
  <si>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</si>
  <si>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</si>
  <si>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</si>
  <si>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</si>
  <si>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</si>
  <si>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</si>
  <si>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</si>
  <si>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</si>
  <si>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</si>
  <si>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</si>
  <si>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</si>
  <si>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</si>
  <si>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</si>
  <si>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</si>
  <si>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</si>
  <si>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</si>
  <si>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</si>
  <si>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</si>
  <si>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</si>
  <si>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</si>
  <si>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</si>
  <si>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</si>
  <si>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</si>
  <si>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</si>
  <si>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</si>
  <si>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</si>
  <si>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</si>
  <si>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</si>
  <si>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</si>
  <si>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</si>
  <si>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</si>
  <si>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</si>
  <si>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</si>
  <si>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</si>
  <si>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</si>
  <si>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</si>
  <si>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</si>
  <si>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</si>
  <si>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</si>
  <si>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</si>
  <si>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</si>
  <si>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</si>
  <si>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</si>
  <si>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</si>
  <si>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</si>
  <si>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</si>
  <si>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</si>
  <si>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</si>
  <si>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</si>
  <si>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</si>
  <si>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</si>
  <si>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</si>
  <si>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</si>
  <si>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</si>
  <si>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</si>
  <si>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</si>
  <si>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</si>
  <si>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</si>
  <si>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</si>
  <si>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</si>
  <si>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</si>
  <si>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</si>
  <si>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</si>
  <si>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</si>
  <si>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</si>
  <si>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</si>
  <si>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</si>
  <si>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</si>
  <si>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</si>
  <si>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</si>
  <si>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</si>
  <si>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</si>
  <si>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</si>
  <si>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</si>
  <si>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</si>
  <si>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</si>
  <si>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</si>
  <si>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</si>
  <si>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</si>
  <si>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</si>
  <si>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</si>
  <si>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</si>
  <si>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</si>
  <si>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</si>
  <si>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</si>
  <si>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</si>
  <si>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</si>
  <si>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</si>
  <si>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</si>
  <si>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</si>
  <si>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</si>
  <si>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</si>
  <si>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</si>
  <si>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</si>
  <si>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</si>
  <si>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</si>
  <si>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</si>
  <si>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</si>
  <si>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</si>
  <si>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</si>
  <si>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</si>
  <si>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</si>
  <si>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</si>
  <si>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</si>
  <si>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</si>
  <si>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</si>
  <si>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</si>
  <si>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</si>
  <si>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</si>
  <si>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</si>
  <si>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</si>
  <si>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</si>
  <si>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</si>
  <si>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</si>
  <si>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</si>
  <si>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</si>
  <si>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</si>
  <si>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</si>
  <si>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</si>
  <si>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</si>
  <si>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</si>
  <si>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</si>
  <si>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</si>
  <si>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</si>
  <si>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</si>
  <si>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</si>
  <si>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</si>
  <si>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</si>
  <si>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</si>
  <si>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</si>
  <si>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</si>
  <si>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</si>
  <si>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</si>
  <si>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</si>
  <si>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</si>
  <si>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</si>
  <si>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</si>
  <si>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</si>
  <si>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</si>
  <si>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</si>
  <si>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</si>
  <si>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</si>
  <si>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</si>
  <si>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</si>
  <si>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</si>
  <si>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</si>
  <si>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</si>
  <si>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</si>
  <si>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</si>
  <si>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</si>
  <si>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</si>
  <si>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</si>
  <si>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</si>
  <si>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</si>
  <si>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</si>
  <si>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</si>
  <si>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</si>
  <si>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</si>
  <si>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</si>
  <si>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</si>
  <si>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</si>
  <si>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</si>
  <si>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</si>
  <si>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</si>
  <si>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</si>
  <si>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</si>
  <si>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</si>
  <si>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</si>
  <si>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</si>
  <si>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</si>
  <si>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</si>
  <si>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</si>
  <si>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</si>
  <si>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</si>
  <si>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</si>
  <si>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</si>
  <si>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</si>
  <si>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</si>
  <si>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</si>
  <si>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</si>
  <si>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</si>
  <si>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</si>
  <si>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</si>
  <si>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</si>
  <si>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</si>
  <si>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</si>
  <si>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</si>
  <si>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</si>
  <si>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</si>
  <si>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</si>
  <si>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</si>
  <si>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</si>
  <si>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</si>
  <si>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</si>
  <si>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</si>
  <si>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</si>
  <si>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</si>
  <si>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</si>
  <si>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</si>
  <si>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</si>
  <si>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</si>
  <si>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</si>
  <si>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</si>
  <si>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</si>
  <si>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</si>
  <si>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</si>
  <si>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</si>
  <si>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</si>
  <si>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</si>
  <si>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</si>
  <si>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</si>
  <si>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</si>
  <si>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</si>
  <si>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</si>
  <si>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</si>
  <si>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</si>
  <si>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</si>
  <si>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</si>
  <si>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</si>
  <si>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</si>
  <si>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</si>
  <si>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</si>
  <si>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</si>
  <si>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</si>
  <si>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</si>
  <si>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</si>
  <si>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</si>
  <si>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</si>
  <si>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</si>
  <si>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</si>
  <si>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</si>
  <si>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</si>
  <si>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</si>
  <si>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</si>
  <si>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</si>
  <si>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</si>
  <si>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</si>
  <si>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</si>
  <si>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</si>
  <si>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</si>
  <si>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</si>
  <si>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</si>
  <si>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</si>
  <si>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</si>
  <si>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</si>
  <si>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</si>
  <si>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</si>
  <si>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</si>
  <si>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</si>
  <si>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</si>
  <si>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</si>
  <si>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</si>
  <si>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</si>
  <si>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</si>
  <si>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</si>
  <si>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</si>
  <si>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</si>
  <si>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</si>
  <si>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</si>
  <si>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</si>
  <si>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</si>
  <si>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</si>
  <si>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</si>
  <si>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</si>
  <si>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</si>
  <si>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</si>
  <si>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</si>
  <si>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</si>
  <si>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</si>
  <si>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</si>
  <si>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</si>
  <si>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</si>
  <si>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</si>
  <si>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</si>
  <si>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</si>
  <si>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</si>
  <si>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</si>
  <si>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</si>
  <si>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</si>
  <si>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</si>
  <si>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</si>
  <si>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</si>
  <si>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</si>
  <si>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</si>
  <si>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</si>
  <si>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</si>
  <si>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</si>
  <si>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</si>
  <si>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</si>
  <si>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</si>
  <si>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</si>
  <si>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</si>
  <si>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</si>
  <si>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</si>
  <si>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</si>
  <si>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</si>
  <si>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</si>
  <si>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</si>
  <si>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</si>
  <si>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</si>
  <si>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</si>
  <si>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</si>
  <si>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</si>
  <si>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</si>
  <si>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</si>
  <si>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</si>
  <si>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</si>
  <si>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</si>
  <si>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</si>
  <si>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</si>
  <si>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</si>
  <si>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</si>
  <si>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</si>
  <si>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</si>
  <si>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</si>
  <si>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</si>
  <si>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</si>
  <si>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</si>
  <si>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</si>
  <si>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</si>
  <si>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</si>
  <si>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</si>
  <si>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</si>
  <si>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</si>
  <si>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</si>
  <si>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</si>
  <si>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</si>
  <si>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</si>
  <si>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</si>
  <si>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</si>
  <si>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</si>
  <si>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</si>
  <si>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</si>
  <si>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</si>
  <si>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</si>
  <si>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</si>
  <si>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</si>
  <si>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</si>
  <si>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</si>
  <si>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</si>
  <si>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</si>
  <si>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</si>
  <si>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</si>
  <si>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</si>
  <si>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</si>
  <si>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</si>
  <si>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</si>
  <si>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</si>
  <si>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</si>
  <si>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</si>
  <si>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</si>
  <si>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</si>
  <si>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</si>
  <si>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</si>
  <si>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</si>
  <si>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</si>
  <si>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</si>
  <si>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</si>
  <si>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</si>
  <si>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</si>
  <si>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</si>
  <si>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</si>
  <si>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</si>
  <si>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</si>
  <si>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</si>
  <si>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</si>
  <si>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</si>
  <si>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</si>
  <si>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</si>
  <si>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</si>
  <si>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</si>
  <si>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</si>
  <si>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</si>
  <si>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</si>
  <si>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</si>
  <si>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</si>
  <si>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</si>
  <si>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</si>
  <si>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</si>
  <si>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</si>
  <si>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</si>
  <si>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</si>
  <si>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</si>
  <si>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</si>
  <si>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</si>
  <si>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</si>
  <si>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</si>
  <si>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</si>
  <si>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</si>
  <si>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</si>
  <si>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</si>
  <si>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</si>
  <si>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</si>
  <si>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</si>
  <si>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</si>
  <si>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</si>
  <si>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</si>
  <si>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</si>
  <si>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</si>
  <si>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</si>
  <si>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</si>
  <si>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</si>
  <si>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</si>
  <si>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</si>
  <si>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</si>
  <si>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</si>
  <si>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</si>
  <si>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</si>
  <si>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</si>
  <si>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</si>
  <si>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</si>
  <si>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</si>
  <si>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</si>
  <si>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</si>
  <si>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</si>
  <si>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</si>
  <si>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</si>
  <si>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</si>
  <si>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</si>
  <si>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</si>
  <si>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</si>
  <si>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</si>
  <si>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</si>
  <si>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</si>
  <si>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</si>
  <si>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</si>
  <si>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</si>
  <si>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</si>
  <si>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</si>
  <si>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</si>
  <si>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</si>
  <si>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</si>
  <si>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</si>
  <si>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</si>
  <si>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</si>
  <si>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</si>
  <si>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</si>
  <si>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</si>
  <si>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</si>
  <si>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</si>
  <si>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</si>
  <si>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</si>
  <si>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</si>
  <si>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</si>
  <si>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</si>
  <si>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</si>
  <si>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</si>
  <si>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</si>
  <si>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</si>
  <si>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</si>
  <si>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</si>
  <si>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</si>
  <si>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</si>
  <si>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</si>
  <si>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</si>
  <si>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</si>
  <si>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</si>
  <si>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</si>
  <si>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</si>
  <si>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</si>
  <si>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</si>
  <si>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</si>
  <si>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</si>
  <si>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</si>
  <si>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</si>
  <si>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</si>
  <si>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</si>
  <si>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</si>
  <si>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</si>
  <si>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</si>
  <si>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</si>
  <si>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</si>
  <si>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</si>
  <si>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</si>
  <si>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</si>
  <si>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</si>
  <si>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</si>
  <si>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</si>
  <si>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</si>
  <si>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</si>
  <si>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</si>
  <si>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</si>
  <si>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</si>
  <si>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</si>
  <si>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</si>
  <si>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</si>
  <si>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</si>
  <si>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</si>
  <si>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</si>
  <si>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</si>
  <si>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</si>
  <si>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</si>
  <si>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</si>
  <si>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</si>
  <si>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</si>
  <si>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</si>
  <si>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</si>
  <si>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</si>
  <si>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</si>
  <si>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</si>
  <si>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</si>
  <si>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</si>
  <si>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</si>
  <si>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</si>
  <si>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</si>
  <si>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</si>
  <si>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</si>
  <si>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</si>
  <si>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</si>
  <si>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</si>
  <si>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</si>
  <si>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</si>
  <si>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</si>
  <si>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</si>
  <si>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</si>
  <si>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</si>
  <si>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</si>
  <si>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</si>
  <si>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</si>
  <si>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</si>
  <si>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</si>
  <si>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</si>
  <si>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</si>
  <si>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</si>
  <si>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</si>
  <si>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</si>
  <si>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</si>
  <si>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</si>
  <si>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</si>
  <si>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</si>
  <si>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</si>
  <si>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</si>
  <si>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</si>
  <si>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</si>
  <si>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</si>
  <si>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</si>
  <si>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</si>
  <si>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</si>
  <si>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</si>
  <si>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</si>
  <si>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</si>
  <si>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</si>
  <si>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</si>
  <si>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</si>
  <si>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</si>
  <si>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</si>
  <si>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</si>
  <si>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</si>
  <si>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</si>
  <si>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</si>
  <si>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</si>
  <si>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</si>
  <si>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</si>
  <si>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</si>
  <si>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</si>
  <si>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</si>
  <si>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</si>
  <si>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</si>
  <si>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</si>
  <si>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</si>
  <si>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</si>
  <si>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</si>
  <si>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</si>
  <si>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</si>
  <si>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</si>
  <si>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</si>
  <si>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</si>
  <si>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</si>
  <si>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</si>
  <si>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</si>
  <si>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</si>
  <si>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</si>
  <si>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</si>
  <si>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</si>
  <si>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</si>
  <si>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</si>
  <si>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</si>
  <si>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</si>
  <si>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</si>
  <si>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</si>
  <si>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</si>
  <si>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</si>
  <si>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</si>
  <si>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</si>
  <si>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</si>
  <si>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</si>
  <si>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</si>
  <si>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</si>
  <si>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</si>
  <si>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</si>
  <si>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</si>
  <si>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</si>
  <si>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</si>
  <si>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</si>
  <si>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</si>
  <si>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</si>
  <si>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</si>
  <si>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</si>
  <si>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</si>
  <si>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</si>
  <si>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</si>
  <si>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</si>
  <si>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</si>
  <si>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</si>
  <si>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</si>
  <si>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</si>
  <si>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</si>
  <si>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</si>
  <si>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</si>
  <si>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</si>
  <si>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</si>
  <si>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</si>
  <si>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</si>
  <si>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</si>
  <si>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</si>
  <si>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</si>
  <si>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</si>
  <si>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</si>
  <si>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</si>
  <si>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</si>
  <si>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</si>
  <si>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</si>
  <si>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</si>
  <si>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</si>
  <si>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</si>
  <si>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</si>
  <si>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</si>
  <si>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</si>
  <si>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</si>
  <si>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</si>
  <si>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</si>
  <si>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</si>
  <si>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</si>
  <si>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</si>
  <si>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</si>
  <si>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</si>
  <si>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</si>
  <si>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</si>
  <si>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</si>
  <si>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</si>
  <si>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</si>
  <si>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</si>
  <si>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</si>
  <si>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</si>
  <si>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</si>
  <si>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</si>
  <si>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</si>
  <si>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</si>
  <si>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</si>
  <si>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</si>
  <si>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</si>
  <si>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</si>
  <si>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</si>
  <si>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</si>
  <si>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</si>
  <si>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</si>
  <si>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</si>
  <si>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</si>
  <si>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</si>
  <si>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</si>
  <si>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</si>
  <si>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</si>
  <si>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</si>
  <si>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</si>
  <si>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</si>
  <si>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</si>
  <si>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</si>
  <si>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</si>
  <si>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</si>
  <si>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</si>
  <si>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</si>
  <si>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</si>
  <si>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</si>
  <si>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</si>
  <si>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</si>
  <si>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</si>
  <si>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</si>
  <si>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</si>
  <si>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</si>
  <si>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</si>
  <si>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</si>
  <si>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</si>
  <si>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</si>
  <si>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</si>
  <si>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</si>
  <si>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</si>
  <si>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</si>
  <si>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</si>
  <si>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</si>
  <si>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</si>
  <si>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</si>
  <si>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</si>
  <si>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</si>
  <si>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</si>
  <si>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</si>
  <si>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</si>
  <si>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</si>
  <si>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</si>
  <si>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</si>
  <si>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</si>
  <si>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</si>
  <si>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</si>
  <si>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</si>
  <si>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</si>
  <si>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</si>
  <si>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</si>
  <si>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</si>
  <si>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</si>
  <si>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</si>
  <si>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</si>
  <si>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</si>
  <si>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</si>
  <si>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</si>
  <si>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</si>
  <si>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</si>
  <si>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</si>
  <si>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</si>
  <si>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</si>
  <si>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</si>
  <si>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</si>
  <si>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</si>
  <si>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</si>
  <si>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</si>
  <si>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</si>
  <si>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</si>
  <si>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</si>
  <si>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</si>
  <si>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</si>
  <si>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</si>
  <si>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</si>
  <si>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</si>
  <si>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</si>
  <si>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</si>
  <si>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</si>
  <si>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</si>
  <si>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</si>
  <si>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</si>
  <si>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</si>
  <si>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</si>
  <si>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</si>
  <si>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</si>
  <si>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</si>
  <si>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</si>
  <si>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</si>
  <si>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</si>
  <si>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</si>
  <si>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</si>
  <si>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</si>
  <si>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</si>
  <si>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</si>
  <si>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</si>
  <si>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</si>
  <si>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</si>
  <si>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</si>
  <si>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</si>
  <si>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</si>
  <si>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</si>
  <si>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</si>
  <si>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</si>
  <si>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</si>
  <si>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</si>
  <si>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</si>
  <si>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</si>
  <si>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</si>
  <si>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</si>
  <si>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</si>
  <si>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</si>
  <si>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</si>
  <si>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</si>
  <si>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</si>
  <si>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</si>
  <si>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</si>
  <si>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</si>
  <si>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</si>
  <si>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</si>
  <si>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</si>
  <si>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</si>
  <si>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</si>
  <si>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</si>
  <si>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</si>
  <si>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</si>
  <si>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</si>
  <si>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</si>
  <si>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</si>
  <si>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</si>
  <si>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</si>
  <si>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</si>
  <si>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</si>
  <si>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</si>
  <si>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</si>
  <si>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</si>
  <si>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</si>
  <si>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</si>
  <si>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</si>
  <si>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</si>
  <si>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</si>
  <si>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</si>
  <si>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</si>
  <si>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</si>
  <si>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</si>
  <si>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</si>
  <si>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</si>
  <si>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</si>
  <si>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</si>
  <si>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</si>
  <si>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</si>
  <si>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</si>
  <si>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</si>
  <si>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</si>
  <si>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</si>
  <si>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</si>
  <si>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</si>
  <si>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</si>
  <si>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</si>
  <si>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</si>
  <si>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</si>
  <si>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</si>
  <si>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</si>
  <si>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</si>
  <si>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</si>
  <si>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</si>
  <si>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</si>
  <si>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</si>
  <si>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</si>
  <si>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</si>
  <si>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</si>
  <si>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</si>
  <si>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</si>
  <si>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</si>
  <si>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</si>
  <si>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</si>
  <si>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</si>
  <si>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</si>
  <si>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</si>
  <si>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</si>
  <si>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</si>
  <si>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</si>
  <si>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</si>
  <si>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</si>
  <si>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</si>
  <si>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</si>
  <si>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</si>
  <si>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</si>
  <si>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</si>
  <si>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</si>
  <si>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</si>
  <si>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</si>
  <si>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</si>
  <si>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</si>
  <si>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</si>
  <si>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</si>
  <si>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</si>
  <si>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</si>
  <si>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</si>
  <si>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</si>
  <si>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</si>
  <si>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</si>
  <si>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</si>
  <si>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</si>
  <si>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</si>
  <si>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</si>
  <si>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</si>
  <si>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</si>
  <si>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</si>
  <si>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</si>
  <si>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</si>
  <si>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</si>
  <si>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</si>
  <si>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</si>
  <si>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</si>
  <si>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</si>
  <si>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</si>
  <si>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</si>
  <si>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</si>
  <si>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</si>
  <si>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</si>
  <si>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</si>
  <si>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</si>
  <si>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</si>
  <si>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</si>
  <si>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</si>
  <si>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</si>
  <si>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</si>
  <si>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</si>
  <si>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</si>
  <si>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</si>
  <si>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</si>
  <si>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</si>
  <si>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</si>
  <si>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</si>
  <si>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</si>
  <si>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</si>
  <si>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</si>
  <si>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</si>
  <si>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</si>
  <si>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</si>
  <si>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</si>
  <si>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</si>
  <si>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</si>
  <si>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</si>
  <si>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</si>
  <si>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</si>
  <si>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</si>
  <si>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</si>
  <si>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</si>
  <si>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</si>
  <si>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</si>
  <si>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</si>
  <si>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</si>
  <si>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</si>
  <si>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</si>
  <si>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</si>
  <si>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</si>
  <si>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</si>
  <si>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</si>
  <si>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</si>
  <si>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</si>
  <si>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</si>
  <si>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</si>
  <si>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</si>
  <si>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</si>
  <si>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</si>
  <si>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</si>
  <si>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</si>
  <si>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</si>
  <si>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</si>
  <si>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</si>
  <si>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</si>
  <si>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</si>
  <si>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</si>
  <si>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</si>
  <si>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</si>
  <si>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</si>
  <si>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</si>
  <si>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</si>
  <si>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</si>
  <si>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</si>
  <si>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</si>
  <si>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</si>
  <si>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</si>
  <si>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</si>
  <si>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</si>
  <si>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</si>
  <si>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</si>
  <si>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</si>
  <si>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</si>
  <si>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</si>
  <si>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</si>
  <si>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</si>
  <si>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</si>
  <si>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</si>
  <si>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</si>
  <si>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</si>
  <si>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</si>
  <si>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</si>
  <si>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</si>
  <si>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</si>
  <si>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</si>
  <si>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</si>
  <si>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</si>
  <si>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</si>
  <si>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</si>
  <si>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</si>
  <si>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</si>
  <si>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</si>
  <si>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</si>
  <si>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</si>
  <si>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</si>
  <si>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</si>
  <si>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</si>
  <si>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</si>
  <si>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</si>
  <si>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</si>
  <si>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</si>
  <si>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</si>
  <si>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</si>
  <si>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</si>
  <si>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</si>
  <si>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</si>
  <si>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</si>
  <si>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</si>
  <si>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</si>
  <si>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</si>
  <si>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</si>
  <si>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</si>
  <si>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</si>
  <si>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</si>
  <si>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</si>
  <si>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</si>
  <si>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</si>
  <si>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</si>
  <si>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</si>
  <si>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</si>
  <si>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</si>
  <si>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</si>
  <si>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</si>
  <si>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</si>
  <si>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</si>
  <si>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</si>
  <si>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</si>
  <si>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</si>
  <si>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</si>
  <si>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</si>
  <si>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</si>
  <si>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</si>
  <si>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</si>
  <si>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</si>
  <si>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</si>
  <si>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</si>
  <si>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</si>
  <si>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</si>
  <si>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</si>
  <si>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</si>
  <si>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</si>
  <si>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</si>
  <si>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</si>
  <si>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</si>
  <si>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</si>
  <si>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</si>
  <si>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</si>
  <si>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</si>
  <si>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</si>
  <si>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</si>
  <si>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</si>
  <si>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</si>
  <si>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</si>
  <si>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</si>
  <si>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</si>
  <si>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</si>
  <si>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</si>
  <si>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</si>
  <si>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</si>
  <si>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</si>
  <si>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</si>
  <si>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</si>
  <si>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</si>
  <si>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</si>
  <si>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</si>
  <si>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</si>
  <si>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</si>
  <si>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</si>
  <si>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</si>
  <si>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</si>
  <si>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</si>
  <si>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</si>
  <si>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</si>
  <si>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</si>
  <si>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</si>
  <si>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</si>
  <si>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</si>
  <si>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</si>
  <si>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</si>
  <si>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</si>
  <si>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</si>
  <si>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</si>
  <si>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</si>
  <si>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</si>
  <si>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</si>
  <si>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</si>
  <si>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</si>
  <si>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</si>
  <si>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</si>
  <si>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</si>
  <si>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</si>
  <si>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</si>
  <si>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</si>
  <si>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</si>
  <si>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</si>
  <si>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</si>
  <si>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</si>
  <si>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</si>
  <si>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</si>
  <si>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</si>
  <si>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</si>
  <si>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</si>
  <si>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</si>
  <si>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</si>
  <si>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</si>
  <si>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</si>
  <si>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</si>
  <si>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</si>
  <si>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</si>
  <si>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</si>
  <si>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</si>
  <si>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</si>
  <si>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</si>
  <si>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</si>
  <si>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</si>
  <si>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</si>
  <si>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</si>
  <si>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</si>
  <si>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</si>
  <si>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</si>
  <si>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</si>
  <si>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</si>
  <si>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</si>
  <si>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</si>
  <si>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</si>
  <si>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</si>
  <si>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</si>
  <si>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</si>
  <si>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</si>
  <si>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</si>
  <si>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</si>
  <si>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</si>
  <si>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</si>
  <si>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</si>
  <si>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</si>
  <si>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</si>
  <si>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</si>
  <si>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</si>
  <si>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</si>
  <si>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</si>
  <si>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</si>
  <si>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</si>
  <si>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</si>
  <si>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</si>
  <si>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</si>
  <si>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</si>
  <si>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</si>
  <si>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</si>
  <si>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</si>
  <si>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</si>
  <si>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</si>
  <si>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</si>
  <si>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</si>
  <si>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</si>
  <si>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</si>
  <si>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</si>
  <si>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</si>
  <si>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</si>
  <si>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</si>
  <si>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</si>
  <si>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</si>
  <si>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</si>
  <si>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</si>
  <si>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</si>
  <si>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</si>
  <si>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</si>
  <si>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</si>
  <si>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</si>
  <si>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</si>
  <si>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</si>
  <si>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</si>
  <si>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</si>
  <si>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</si>
  <si>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</si>
  <si>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</si>
  <si>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</si>
  <si>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</si>
  <si>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</si>
  <si>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</si>
  <si>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</si>
  <si>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</si>
  <si>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</si>
  <si>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</si>
  <si>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</si>
  <si>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</si>
  <si>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</si>
  <si>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</si>
  <si>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</si>
  <si>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</si>
  <si>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</si>
  <si>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</si>
  <si>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</si>
  <si>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</si>
  <si>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</si>
  <si>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</si>
  <si>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</si>
  <si>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</si>
  <si>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</si>
  <si>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</si>
  <si>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</si>
  <si>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</si>
  <si>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</si>
  <si>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</si>
  <si>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</si>
  <si>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</si>
  <si>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</si>
  <si>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</si>
  <si>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</si>
  <si>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</si>
  <si>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</si>
  <si>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</si>
  <si>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</si>
  <si>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</si>
  <si>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</si>
  <si>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</si>
  <si>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</si>
  <si>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</si>
  <si>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</si>
  <si>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</si>
  <si>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</si>
  <si>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</si>
  <si>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</si>
  <si>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</si>
  <si>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</si>
  <si>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</si>
  <si>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</si>
  <si>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</si>
  <si>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</si>
  <si>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</si>
  <si>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</si>
  <si>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</si>
  <si>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</si>
  <si>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</si>
  <si>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</si>
  <si>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</si>
  <si>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</si>
  <si>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</si>
  <si>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</si>
  <si>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</si>
  <si>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</si>
  <si>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</si>
  <si>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</si>
  <si>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</si>
  <si>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</si>
  <si>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</si>
  <si>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</si>
  <si>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</si>
  <si>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</si>
  <si>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</si>
  <si>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</si>
  <si>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</si>
  <si>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</si>
  <si>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</si>
  <si>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</si>
  <si>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</si>
  <si>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</si>
  <si>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</si>
  <si>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</si>
  <si>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</si>
  <si>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</si>
  <si>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</si>
  <si>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</si>
  <si>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</si>
  <si>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</si>
  <si>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</si>
  <si>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</si>
  <si>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</si>
  <si>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</si>
  <si>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</si>
  <si>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</si>
  <si>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</si>
  <si>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</si>
  <si>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</si>
  <si>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</si>
  <si>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</si>
  <si>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</si>
  <si>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</si>
  <si>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</si>
  <si>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</si>
  <si>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</si>
  <si>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</si>
  <si>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</si>
  <si>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</si>
  <si>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</si>
  <si>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</si>
  <si>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</si>
  <si>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</si>
  <si>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</si>
  <si>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</si>
  <si>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</si>
  <si>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</si>
  <si>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</si>
  <si>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</si>
  <si>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</si>
  <si>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</si>
  <si>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</si>
  <si>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</si>
  <si>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</si>
  <si>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</si>
  <si>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</si>
  <si>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</si>
  <si>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</si>
  <si>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</si>
  <si>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</si>
  <si>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</si>
  <si>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</si>
  <si>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</si>
  <si>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</si>
  <si>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</si>
  <si>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</si>
  <si>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</si>
  <si>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</si>
  <si>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</si>
  <si>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</si>
  <si>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</si>
  <si>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</si>
  <si>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</si>
  <si>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</si>
  <si>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</si>
  <si>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</si>
  <si>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</si>
  <si>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</si>
  <si>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</si>
  <si>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</si>
  <si>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</si>
  <si>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</si>
  <si>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</si>
  <si>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</si>
  <si>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</si>
  <si>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</si>
  <si>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</si>
  <si>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</si>
  <si>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</si>
  <si>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</si>
  <si>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</si>
  <si>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</si>
  <si>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</si>
  <si>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</si>
  <si>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</si>
  <si>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</si>
  <si>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</si>
  <si>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</si>
  <si>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</si>
  <si>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</si>
  <si>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</si>
  <si>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</si>
  <si>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</si>
  <si>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</si>
  <si>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</si>
  <si>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</si>
  <si>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</si>
  <si>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</si>
  <si>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</si>
  <si>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</si>
  <si>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</si>
  <si>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</si>
  <si>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</si>
  <si>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</si>
  <si>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</si>
  <si>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</si>
  <si>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</si>
  <si>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</si>
  <si>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</si>
  <si>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</si>
  <si>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</si>
  <si>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</si>
  <si>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</si>
  <si>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</si>
  <si>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</si>
  <si>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</si>
  <si>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</si>
  <si>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</si>
  <si>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</si>
  <si>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</si>
  <si>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</si>
  <si>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</si>
  <si>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</si>
  <si>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</si>
  <si>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</si>
  <si>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</si>
  <si>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</si>
  <si>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</si>
  <si>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</si>
  <si>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</si>
  <si>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</si>
  <si>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</si>
  <si>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</si>
  <si>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</si>
  <si>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</si>
  <si>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</si>
  <si>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</si>
  <si>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</si>
  <si>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</si>
  <si>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</si>
  <si>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</si>
  <si>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</si>
  <si>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</si>
  <si>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</si>
  <si>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</si>
  <si>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</si>
  <si>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</si>
  <si>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</si>
  <si>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</si>
  <si>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</si>
  <si>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</si>
  <si>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</si>
  <si>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</si>
  <si>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</si>
  <si>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</si>
  <si>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</si>
  <si>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</si>
  <si>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</si>
  <si>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</si>
  <si>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</si>
  <si>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</si>
  <si>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</si>
  <si>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</si>
  <si>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</si>
  <si>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</si>
  <si>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</si>
  <si>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</si>
  <si>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</si>
  <si>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</si>
  <si>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</si>
  <si>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</si>
  <si>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</si>
  <si>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</si>
  <si>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</si>
  <si>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</si>
  <si>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</si>
  <si>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</si>
  <si>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</si>
  <si>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</si>
  <si>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</si>
  <si>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</si>
  <si>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</si>
  <si>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</si>
  <si>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</si>
  <si>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</si>
  <si>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</si>
  <si>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</si>
  <si>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</si>
  <si>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</si>
  <si>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</si>
  <si>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</si>
  <si>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</si>
  <si>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</si>
  <si>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</si>
  <si>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</si>
  <si>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</si>
  <si>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</si>
  <si>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</si>
  <si>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</si>
  <si>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</si>
  <si>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</si>
  <si>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</si>
  <si>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</si>
  <si>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</si>
  <si>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</si>
  <si>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</si>
  <si>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</si>
  <si>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</si>
  <si>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</si>
  <si>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</si>
  <si>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</si>
  <si>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</si>
  <si>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</si>
  <si>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</si>
  <si>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</si>
  <si>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</si>
  <si>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</si>
  <si>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</si>
  <si>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</si>
  <si>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</si>
  <si>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</si>
  <si>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</si>
  <si>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</si>
  <si>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</si>
  <si>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</si>
  <si>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</si>
  <si>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</si>
  <si>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</si>
  <si>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</si>
  <si>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</si>
  <si>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</si>
  <si>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</si>
  <si>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</si>
  <si>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</si>
  <si>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</si>
  <si>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</si>
  <si>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</si>
  <si>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</si>
  <si>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</si>
  <si>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</si>
  <si>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</si>
  <si>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</si>
  <si>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</si>
  <si>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</si>
  <si>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</si>
  <si>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</si>
  <si>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</si>
  <si>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</si>
  <si>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</si>
  <si>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</si>
  <si>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</si>
  <si>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</si>
  <si>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</si>
  <si>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</si>
  <si>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</si>
  <si>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</si>
  <si>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</si>
  <si>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</si>
  <si>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</si>
  <si>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</si>
  <si>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</si>
  <si>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</si>
  <si>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</si>
  <si>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</si>
  <si>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</si>
  <si>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</si>
  <si>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</si>
  <si>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</si>
  <si>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</si>
  <si>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</si>
  <si>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</si>
  <si>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</si>
  <si>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</si>
  <si>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</si>
  <si>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</si>
  <si>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</si>
  <si>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</si>
  <si>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</si>
  <si>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</si>
  <si>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</si>
  <si>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</si>
  <si>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</si>
  <si>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</si>
  <si>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</si>
  <si>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</si>
  <si>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</si>
  <si>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</si>
  <si>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</si>
  <si>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</si>
  <si>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</si>
  <si>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</si>
  <si>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</si>
  <si>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</si>
  <si>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</si>
  <si>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</si>
  <si>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</si>
  <si>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</si>
  <si>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</si>
  <si>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</si>
  <si>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</si>
  <si>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</si>
  <si>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</si>
  <si>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</si>
  <si>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</si>
  <si>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</si>
  <si>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</si>
  <si>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</si>
  <si>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</si>
  <si>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</si>
  <si>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</si>
  <si>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</si>
  <si>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</si>
  <si>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</si>
  <si>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</si>
  <si>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</si>
  <si>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</si>
  <si>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</si>
  <si>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</si>
  <si>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</si>
  <si>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</si>
  <si>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</si>
  <si>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</si>
  <si>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</si>
  <si>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</si>
  <si>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</si>
  <si>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</si>
  <si>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</si>
  <si>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</si>
  <si>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</si>
  <si>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</si>
  <si>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</si>
  <si>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</si>
  <si>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</si>
  <si>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</si>
  <si>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</si>
  <si>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</si>
  <si>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</si>
  <si>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</si>
  <si>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</si>
  <si>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</si>
  <si>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</si>
  <si>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</si>
  <si>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</si>
  <si>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</si>
  <si>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</si>
  <si>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</si>
  <si>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</si>
  <si>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</si>
  <si>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</si>
  <si>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</si>
  <si>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</si>
  <si>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</si>
  <si>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</si>
  <si>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</si>
  <si>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</si>
  <si>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</si>
  <si>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</si>
  <si>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</si>
  <si>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</si>
  <si>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</si>
  <si>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</si>
  <si>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</si>
  <si>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</si>
  <si>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</si>
  <si>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</si>
  <si>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</si>
  <si>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</si>
  <si>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</si>
  <si>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</si>
  <si>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</si>
  <si>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</si>
  <si>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</si>
  <si>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</si>
  <si>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</si>
  <si>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</si>
  <si>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</si>
  <si>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</si>
  <si>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</si>
  <si>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</si>
  <si>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</si>
  <si>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</si>
  <si>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</si>
  <si>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</si>
  <si>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</si>
  <si>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</si>
  <si>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</si>
  <si>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</si>
  <si>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</si>
  <si>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</si>
  <si>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</si>
  <si>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</si>
  <si>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</si>
  <si>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</si>
  <si>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</si>
  <si>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</si>
  <si>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</si>
  <si>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</si>
  <si>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</si>
  <si>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</si>
  <si>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</si>
  <si>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</si>
  <si>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</si>
  <si>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</si>
  <si>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</si>
  <si>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</si>
  <si>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</si>
  <si>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</si>
  <si>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</si>
  <si>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</si>
  <si>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</si>
  <si>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</si>
  <si>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</si>
  <si>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</si>
  <si>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</si>
  <si>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</si>
  <si>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</si>
  <si>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</si>
  <si>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</si>
  <si>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</si>
  <si>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</si>
  <si>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</si>
  <si>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</si>
  <si>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</si>
  <si>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</si>
  <si>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</si>
  <si>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</si>
  <si>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</si>
  <si>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</si>
  <si>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</si>
  <si>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</si>
  <si>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</si>
  <si>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</si>
  <si>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</si>
  <si>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</si>
  <si>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</si>
  <si>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</si>
  <si>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</si>
  <si>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</si>
  <si>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</si>
  <si>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</si>
  <si>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</si>
  <si>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</si>
  <si>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</si>
  <si>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</si>
  <si>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</si>
  <si>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</si>
  <si>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</si>
  <si>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</si>
  <si>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</si>
  <si>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</si>
  <si>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</si>
  <si>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</si>
  <si>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</si>
  <si>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</si>
  <si>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</si>
  <si>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</si>
  <si>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</si>
  <si>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</si>
  <si>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</si>
  <si>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</si>
  <si>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</si>
  <si>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</si>
  <si>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</si>
  <si>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</si>
  <si>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</si>
  <si>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</si>
  <si>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</si>
  <si>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</si>
  <si>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</si>
  <si>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</si>
  <si>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</si>
  <si>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</si>
  <si>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</si>
  <si>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</si>
  <si>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</si>
  <si>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</si>
  <si>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</si>
  <si>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</si>
  <si>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</si>
  <si>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</si>
  <si>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</si>
  <si>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</si>
  <si>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</si>
  <si>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</si>
  <si>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</si>
  <si>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</si>
  <si>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</si>
  <si>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</si>
  <si>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</si>
  <si>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</si>
  <si>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</si>
  <si>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</si>
  <si>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</si>
  <si>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</si>
  <si>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</si>
  <si>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</si>
  <si>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</si>
  <si>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</si>
  <si>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</si>
  <si>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</si>
  <si>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</si>
  <si>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</si>
  <si>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</si>
  <si>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</si>
  <si>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</si>
  <si>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</si>
  <si>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</si>
  <si>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</si>
  <si>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</si>
  <si>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</si>
  <si>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</si>
  <si>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</si>
  <si>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</si>
  <si>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</si>
  <si>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</si>
  <si>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</si>
  <si>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</si>
  <si>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</si>
  <si>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</si>
  <si>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</si>
  <si>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</si>
  <si>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</si>
  <si>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</si>
  <si>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</si>
  <si>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</si>
  <si>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</si>
  <si>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</si>
  <si>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</si>
  <si>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</si>
  <si>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</si>
  <si>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</si>
  <si>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</si>
  <si>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</si>
  <si>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</si>
  <si>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</si>
  <si>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</si>
  <si>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</si>
  <si>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</si>
  <si>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</si>
  <si>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</si>
  <si>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</si>
  <si>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</si>
  <si>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</si>
  <si>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</si>
  <si>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</si>
  <si>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</si>
  <si>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</si>
  <si>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</si>
  <si>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</si>
  <si>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</si>
  <si>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</si>
  <si>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</si>
  <si>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</si>
  <si>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</si>
  <si>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</si>
  <si>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</si>
  <si>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</si>
  <si>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</si>
  <si>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</si>
  <si>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</si>
  <si>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</si>
  <si>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</si>
  <si>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</si>
  <si>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</si>
  <si>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</si>
  <si>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</si>
  <si>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</si>
  <si>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</si>
  <si>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</si>
  <si>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</si>
  <si>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</si>
  <si>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</si>
  <si>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</si>
  <si>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</si>
  <si>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</si>
  <si>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</si>
  <si>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</si>
  <si>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</si>
  <si>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</si>
  <si>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</si>
  <si>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</si>
  <si>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</si>
  <si>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</si>
  <si>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</si>
  <si>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</si>
  <si>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</si>
  <si>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</si>
  <si>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</si>
  <si>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</si>
  <si>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</si>
  <si>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</si>
  <si>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</si>
  <si>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</si>
  <si>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</si>
  <si>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</si>
  <si>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</si>
  <si>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</si>
  <si>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</si>
  <si>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</si>
  <si>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</si>
  <si>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</si>
  <si>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</si>
  <si>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</si>
  <si>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</si>
  <si>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</si>
  <si>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</si>
  <si>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</si>
  <si>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</si>
  <si>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</si>
  <si>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</si>
  <si>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</si>
  <si>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</si>
  <si>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</si>
  <si>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</si>
  <si>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</si>
  <si>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</si>
  <si>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</si>
  <si>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</si>
  <si>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</si>
  <si>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</si>
  <si>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</si>
  <si>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</si>
  <si>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</si>
  <si>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</si>
  <si>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</si>
  <si>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</si>
  <si>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</si>
  <si>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</si>
  <si>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Delivered</t>
  </si>
  <si>
    <t>Shipped</t>
  </si>
  <si>
    <t>Pen</t>
  </si>
  <si>
    <t>Pending</t>
  </si>
  <si>
    <t>Rejected</t>
  </si>
  <si>
    <t>Total price</t>
  </si>
  <si>
    <t>Row Labels</t>
  </si>
  <si>
    <t>Grand Total</t>
  </si>
  <si>
    <t>Sum of list_price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</si>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</sst>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" refreshedDate="46281.731386805557" createdVersion="8" refreshedVersion="8" minRefreshableVersion="3" recordCount="321" xr:uid="{9CFA31CE-C256-4795-95FD-EC0302204B73}">
  <cacheSource type="worksheet">
    <worksheetSource name="products___products"/>
  </cacheSource>
  <cacheFields count="7">
    <cacheField name="product_id" numFmtId="0">
      <sharedItems containsSemiMixedTypes="0" containsString="0" containsNumber="1" containsInteger="1" minValue="1" maxValue="321"/>
    </cacheField>
    <cacheField name="product_name" numFmtId="0">
      <sharedItems count="291">
        <s v="Trek 820 - 2016"/>
        <s v="Ritchey Timberwolf Frameset - 2016"/>
        <s v="Surly Wednesday Frameset - 2016"/>
        <s v="Trek Fuel EX 8 29 - 2016"/>
        <s v="Heller Shagamaw Frame - 2016"/>
        <s v="Surly Ice Cream Truck Frameset - 2016"/>
        <s v="Trek Slash 8 27.5 - 2016"/>
        <s v="Trek Remedy 29 Carbon Frameset - 2016"/>
        <s v="Trek Conduit+ - 2016"/>
        <s v="Surly Straggler - 2016"/>
        <s v="Surly Straggler 650b - 2016"/>
        <s v="Electra Townie Original 21D - 2016"/>
        <s v="Electra Cruiser 1 (24-Inch) - 2016"/>
        <s v="Electra Girl's Hawaii 1 (16-inch) - 2015/2016"/>
        <s v="Electra Moto 1 - 2016"/>
        <s v="Electra Townie Original 7D EQ - 2016"/>
        <s v="Pure Cycles Vine 8-Speed - 2016"/>
        <s v="Pure Cycles Western 3-Speed - Women's - 2015/2016"/>
        <s v="Pure Cycles William 3-Speed - 2016"/>
        <s v="Electra Townie Original 7D EQ - Women's - 2016"/>
        <s v="Electra Girl's Hawaii 1 (20-inch) - 2015/2016"/>
        <s v="Electra Townie Original 7D - 2015/2016"/>
        <s v="Surly Big Dummy Frameset - 2017"/>
        <s v="Surly Karate Monkey 27.5+ Frameset - 2017"/>
        <s v="Trek X-Caliber 8 - 2017"/>
        <s v="Surly Ice Cream Truck Frameset - 2017"/>
        <s v="Surly Wednesday - 2017"/>
        <s v="Trek Farley Alloy Frameset - 2017"/>
        <s v="Surly Wednesday Frameset - 2017"/>
        <s v="Trek Session DH 27.5 Carbon Frameset - 2017"/>
        <s v="Sun Bicycles Spider 3i - 2017"/>
        <s v="Surly Troll Frameset - 2017"/>
        <s v="Haro Flightline One ST - 2017"/>
        <s v="Haro Flightline Two 26 Plus - 2017"/>
        <s v="Trek Stache 5 - 2017"/>
        <s v="Trek Fuel EX 9.8 29 - 2017"/>
        <s v="Haro Shift R3 - 2017"/>
        <s v="Trek Fuel EX 5 27.5 Plus - 2017"/>
        <s v="Trek Fuel EX 9.8 27.5 Plus - 2017"/>
        <s v="Haro SR 1.1 - 2017"/>
        <s v="Haro SR 1.2 - 2017"/>
        <s v="Haro SR 1.3 - 2017"/>
        <s v="Trek Remedy 9.8 - 2017"/>
        <s v="Trek Emonda S 4 - 2017"/>
        <s v="Trek Domane SL 6 - 2017"/>
        <s v="Trek Silque SLR 7 Women's - 2017"/>
        <s v="Trek Silque SLR 8 Women's - 2017"/>
        <s v="Surly Steamroller - 2017"/>
        <s v="Surly Ogre Frameset - 2017"/>
        <s v="Trek Domane SL Disc Frameset - 2017"/>
        <s v="Trek Domane S 6 - 2017"/>
        <s v="Trek Domane SLR 6 Disc - 2017"/>
        <s v="Trek Emonda S 5 - 2017"/>
        <s v="Trek Madone 9.2 - 2017"/>
        <s v="Trek Domane S 5 Disc - 2017"/>
        <s v="Sun Bicycles ElectroLite - 2017"/>
        <s v="Trek Powerfly 8 FS Plus - 2017"/>
        <s v="Trek Boone 7 - 2017"/>
        <s v="Trek Boone Race Shop Limited - 2017"/>
        <s v="Electra Townie Original 7D - 2017"/>
        <s v="Sun Bicycles Lil Bolt Type-R - 2017"/>
        <s v="Sun Bicycles Revolutions 24 - 2017"/>
        <s v="Sun Bicycles Revolutions 24 - Girl's - 2017"/>
        <s v="Sun Bicycles Cruz 3 - 2017"/>
        <s v="Sun Bicycles Cruz 7 - 2017"/>
        <s v="Electra Amsterdam Original 3i - 2015/2017"/>
        <s v="Sun Bicycles Atlas X-Type - 2017"/>
        <s v="Sun Bicycles Biscayne Tandem 7 - 2017"/>
        <s v="Sun Bicycles Brickell Tandem 7 - 2017"/>
        <s v="Electra Cruiser Lux 1 - 2017"/>
        <s v="Electra Cruiser Lux Fat Tire 1 Ladies - 2017"/>
        <s v="Electra Girl's Hawaii 1 16&quot; - 2017"/>
        <s v="Electra Glam Punk 3i Ladies' - 2017"/>
        <s v="Sun Bicycles Biscayne Tandem CB - 2017"/>
        <s v="Sun Bicycles Boardwalk (24-inch Wheels) - 2017"/>
        <s v="Sun Bicycles Brickell Tandem CB - 2017"/>
        <s v="Electra Amsterdam Fashion 7i Ladies' - 2017"/>
        <s v="Electra Amsterdam Original 3i Ladies' - 2017"/>
        <s v="Trek Boy's Kickster - 2015/2017"/>
        <s v="Sun Bicycles Lil Kitt'n - 2017"/>
        <s v="Haro Downtown 16 - 2017"/>
        <s v="Trek Girl's Kickster - 2017"/>
        <s v="Trek Precaliber 12 Boys - 2017"/>
        <s v="Trek Precaliber 12 Girls - 2017"/>
        <s v="Trek Precaliber 16 Boys - 2017"/>
        <s v="Trek Precaliber 16 Girls - 2017"/>
        <s v="Trek Precaliber 24 (21-Speed) - Girls - 2017"/>
        <s v="Haro Shredder 20 - 2017"/>
        <s v="Haro Shredder 20 Girls - 2017"/>
        <s v="Haro Shredder Pro 20 - 2017"/>
        <s v="Electra Moto 3i (20-inch) - Boy's - 2017"/>
        <s v="Electra Savannah 3i (20-inch) - Girl's - 2017"/>
        <s v="Electra Straight 8 3i (20-inch) - Boy's - 2017"/>
        <s v="Electra Sugar Skulls 1 (20-inch) - Girl's - 2017"/>
        <s v="Electra Townie 3i EQ (20-inch) - Boys' - 2017"/>
        <s v="Electra Townie 7D (20-inch) - Boys' - 2017"/>
        <s v="Sun Bicycles Streamway 3 - 2017"/>
        <s v="Sun Bicycles Streamway - 2017"/>
        <s v="Sun Bicycles Streamway 7 - 2017"/>
        <s v="Sun Bicycles Cruz 3 - Women's - 2017"/>
        <s v="Sun Bicycles Cruz 7 - Women's - 2017"/>
        <s v="Sun Bicycles Drifter 7 - 2017"/>
        <s v="Sun Bicycles Drifter 7 - Women's - 2017"/>
        <s v="Trek 820 - 2018"/>
        <s v="Trek Marlin 5 - 2018"/>
        <s v="Trek Marlin 6 - 2018"/>
        <s v="Trek Fuel EX 8 29 - 2018"/>
        <s v="Trek Marlin 7 - 2017/2018"/>
        <s v="Trek Ticket S Frame - 2018"/>
        <s v="Trek X-Caliber 8 - 2018"/>
        <s v="Trek Kids' Neko - 2018"/>
        <s v="Trek Fuel EX 7 29 - 2018"/>
        <s v="Surly Krampus Frameset - 2018"/>
        <s v="Surly Troll Frameset - 2018"/>
        <s v="Trek Farley Carbon Frameset - 2018"/>
        <s v="Surly Krampus - 2018"/>
        <s v="Trek Kids' Dual Sport - 2018"/>
        <s v="Surly Big Fat Dummy Frameset - 2018"/>
        <s v="Surly Pack Rat Frameset - 2018"/>
        <s v="Surly ECR 27.5 - 2018"/>
        <s v="Trek X-Caliber 7 - 2018"/>
        <s v="Trek Stache Carbon Frameset - 2018"/>
        <s v="Heller Bloodhound Trail - 2018"/>
        <s v="Trek Procal AL Frameset - 2018"/>
        <s v="Trek Procaliber Frameset - 2018"/>
        <s v="Trek Remedy 27.5 C Frameset - 2018"/>
        <s v="Trek X-Caliber Frameset - 2018"/>
        <s v="Trek Procaliber 6 - 2018"/>
        <s v="Heller Shagamaw GX1 - 2018"/>
        <s v="Trek Fuel EX 5 Plus - 2018"/>
        <s v="Trek Remedy 7 27.5 - 2018"/>
        <s v="Trek Remedy 9.8 27.5 - 2018"/>
        <s v="Trek Stache 5 - 2018"/>
        <s v="Trek Fuel EX 8 29 XT - 2018"/>
        <s v="Trek Domane ALR 3 - 2018"/>
        <s v="Trek Domane ALR 4 Disc - 2018"/>
        <s v="Trek Domane ALR 5 Disc - 2018"/>
        <s v="Trek Domane SLR 6 - 2018"/>
        <s v="Trek Domane ALR 5 Gravel - 2018"/>
        <s v="Trek Domane SL 8 Disc - 2018"/>
        <s v="Trek Domane SLR 8 Disc - 2018"/>
        <s v="Trek Emonda SL 7 - 2018"/>
        <s v="Trek Domane ALR 4 Disc Women's - 2018"/>
        <s v="Trek Domane SL 5 Disc Women's - 2018"/>
        <s v="Trek Domane SL 7 Women's - 2018"/>
        <s v="Trek Domane SLR 6 Disc Women's - 2018"/>
        <s v="Trek Domane SLR 9 Disc - 2018"/>
        <s v="Trek Domane SL Frameset - 2018"/>
        <s v="Trek Domane SL Frameset Women's - 2018"/>
        <s v="Trek CrossRip 1 - 2018"/>
        <s v="Trek Emonda ALR 6 - 2018"/>
        <s v="Trek Emonda SLR 6 - 2018"/>
        <s v="Surly ECR - 2018"/>
        <s v="Trek Emonda SL 6 Disc - 2018"/>
        <s v="Surly Pack Rat - 2018"/>
        <s v="Surly Straggler 650b - 2018"/>
        <s v="Trek 1120 - 2018"/>
        <s v="Trek Domane AL 2 Women's - 2018"/>
        <s v="Surly ECR Frameset - 2018"/>
        <s v="Surly Straggler - 2018"/>
        <s v="Trek Emonda SLR 8 - 2018"/>
        <s v="Trek CrossRip 2 - 2018"/>
        <s v="Trek Domane SL 6 - 2018"/>
        <s v="Trek Domane ALR Disc Frameset - 2018"/>
        <s v="Trek Domane ALR Frameset - 2018"/>
        <s v="Trek Domane SLR Disc Frameset - 2018"/>
        <s v="Trek Domane SLR Frameset - 2018"/>
        <s v="Trek Madone 9 Frameset - 2018"/>
        <s v="Trek Domane SLR 6 Disc - 2018"/>
        <s v="Trek Domane AL 2 - 2018"/>
        <s v="Trek Domane AL 3 - 2018"/>
        <s v="Trek Domane AL 3 Women's - 2018"/>
        <s v="Trek Domane SL 5 - 2018"/>
        <s v="Trek Domane SL 5 Disc - 2018"/>
        <s v="Trek Domane SL 5 Women's - 2018"/>
        <s v="Trek Domane SL 6 Disc - 2018"/>
        <s v="Trek Conduit+ - 2018"/>
        <s v="Trek CrossRip+ - 2018"/>
        <s v="Trek Neko+ - 2018"/>
        <s v="Trek XM700+ Lowstep - 2018"/>
        <s v="Trek Lift+ Lowstep - 2018"/>
        <s v="Trek Dual Sport+ - 2018"/>
        <s v="Electra Loft Go! 8i - 2018"/>
        <s v="Electra Townie Go! 8i - 2017/2018"/>
        <s v="Trek Lift+ - 2018"/>
        <s v="Trek XM700+ - 2018"/>
        <s v="Electra Townie Go! 8i Ladies' - 2018"/>
        <s v="Trek Verve+ - 2018"/>
        <s v="Trek Verve+ Lowstep - 2018"/>
        <s v="Electra Townie Commute Go! - 2018"/>
        <s v="Electra Townie Commute Go! Ladies' - 2018"/>
        <s v="Trek Powerfly 5 - 2018"/>
        <s v="Trek Powerfly 5 FS - 2018"/>
        <s v="Trek Powerfly 5 Women's - 2018"/>
        <s v="Trek Powerfly 7 FS - 2018"/>
        <s v="Trek Super Commuter+ 7 - 2018"/>
        <s v="Trek Super Commuter+ 8S - 2018"/>
        <s v="Trek Boone 5 Disc - 2018"/>
        <s v="Trek Boone 7 Disc - 2018"/>
        <s v="Trek Crockett 5 Disc - 2018"/>
        <s v="Trek Crockett 7 Disc - 2018"/>
        <s v="Electra Townie Original 21D - 2018"/>
        <s v="Electra Cruiser 1 - 2016/2017/2018"/>
        <s v="Electra Tiger Shark 3i - 2018"/>
        <s v="Electra Queen of Hearts 3i - 2018"/>
        <s v="Electra Super Moto 8i - 2018"/>
        <s v="Electra Straight 8 3i - 2018"/>
        <s v="Electra Cruiser 7D - 2016/2017/2018"/>
        <s v="Electra Moto 3i - 2018"/>
        <s v="Electra Cruiser 1 Ladies' - 2018"/>
        <s v="Electra Cruiser 7D Ladies' - 2016/2018"/>
        <s v="Electra Cruiser 1 Tall - 2016/2018"/>
        <s v="Electra Cruiser Lux 3i - 2018"/>
        <s v="Electra Cruiser Lux 7D - 2018"/>
        <s v="Electra Delivery 3i - 2016/2017/2018"/>
        <s v="Electra Townie Original 21D EQ - 2017/2018"/>
        <s v="Electra Cruiser 7D (24-Inch) Ladies' - 2016/2018"/>
        <s v="Electra Cruiser 7D Tall - 2016/2018"/>
        <s v="Electra Cruiser Lux 1 - 2016/2018"/>
        <s v="Electra Cruiser Lux 1 Ladies' - 2018"/>
        <s v="Electra Cruiser Lux 3i Ladies' - 2018"/>
        <s v="Electra Cruiser Lux 7D Ladies' - 2018"/>
        <s v="Electra Cruiser Lux Fat Tire 7D - 2018"/>
        <s v="Electra Daydreamer 3i Ladies' - 2018"/>
        <s v="Electra Koa 3i Ladies' - 2018"/>
        <s v="Electra Morningstar 3i Ladies' - 2018"/>
        <s v="Electra Relic 3i - 2018"/>
        <s v="Electra Townie Balloon 8D EQ - 2016/2017/2018"/>
        <s v="Electra Townie Balloon 8D EQ Ladies' - 2016/2017/2018"/>
        <s v="Electra Townie Commute 27D Ladies - 2018"/>
        <s v="Electra Townie Commute 8D - 2018"/>
        <s v="Electra Townie Commute 8D Ladies' - 2018"/>
        <s v="Electra Townie Original 21D EQ Ladies' - 2018"/>
        <s v="Electra Townie Original 21D Ladies' - 2018"/>
        <s v="Electra Townie Original 3i EQ - 2017/2018"/>
        <s v="Electra Townie Original 3i EQ Ladies' - 2018"/>
        <s v="Electra Townie Original 7D EQ - 2018"/>
        <s v="Electra Townie Original 7D EQ Ladies' - 2017/2018"/>
        <s v="Electra White Water 3i - 2018"/>
        <s v="Electra Townie Balloon 3i EQ - 2017/2018"/>
        <s v="Electra Townie Balloon 7i EQ Ladies' - 2017/2018"/>
        <s v="Electra Townie Commute 27D - 2018"/>
        <s v="Electra Amsterdam Fashion 3i Ladies' - 2017/2018"/>
        <s v="Electra Amsterdam Royal 8i - 2017/2018"/>
        <s v="Electra Amsterdam Royal 8i Ladies - 2018"/>
        <s v="Electra Townie Balloon 3i EQ Ladies' - 2018"/>
        <s v="Electra Townie Balloon 7i EQ - 2018"/>
        <s v="Trek MT 201 - 2018"/>
        <s v="Strider Classic 12 Balance Bike - 2018"/>
        <s v="Strider Sport 16 - 2018"/>
        <s v="Strider Strider 20 Sport - 2018"/>
        <s v="Trek Superfly 20 - 2018"/>
        <s v="Trek Precaliber 12 Girl's - 2018"/>
        <s v="Trek Kickster - 2018"/>
        <s v="Trek Precaliber 12 Boy's - 2018"/>
        <s v="Trek Precaliber 16 Boy's - 2018"/>
        <s v="Trek Precaliber 16 Girl's - 2018"/>
        <s v="Trek Precaliber 20 6-speed Boy's - 2018"/>
        <s v="Trek Precaliber 20 6-speed Girl's - 2018"/>
        <s v="Trek Precaliber 20 Boy's - 2018"/>
        <s v="Trek Precaliber 20 Girl's - 2018"/>
        <s v="Trek Precaliber 24 (7-Speed) - Boys - 2018"/>
        <s v="Trek Precaliber 24 21-speed Boy's - 2018"/>
        <s v="Trek Precaliber 24 21-speed Girl's - 2018"/>
        <s v="Trek Precaliber 24 7-speed Girl's - 2018"/>
        <s v="Trek Superfly 24 - 2017/2018"/>
        <s v="Electra Cyclosaurus 1 (16-inch) - Boy's - 2018"/>
        <s v="Electra Heartchya 1 (20-inch) - Girl's - 2018"/>
        <s v="Electra Savannah 1 (20-inch) - Girl's - 2018"/>
        <s v="Electra Soft Serve 1 (16-inch) - Girl's - 2018"/>
        <s v="Electra Starship 1 16&quot; - 2018"/>
        <s v="Electra Straight 8 1 (16-inch) - Boy's - 2018"/>
        <s v="Electra Straight 8 1 (20-inch) - Boy's - 2018"/>
        <s v="Electra Superbolt 1 20&quot; - 2018"/>
        <s v="Electra Superbolt 3i 20&quot; - 2018"/>
        <s v="Electra Sweet Ride 1 (20-inch) - Girl's - 2018"/>
        <s v="Electra Sweet Ride 3i (20-inch) - Girls' - 2018"/>
        <s v="Electra Tiger Shark 1 (20-inch) - Boys' - 2018"/>
        <s v="Electra Tiger Shark 3i (20-inch) - Boys' - 2018"/>
        <s v="Electra Treasure 1 20&quot; - 2018"/>
        <s v="Electra Treasure 3i 20&quot; - 2018"/>
        <s v="Electra Under-The-Sea 1 16&quot; - 2018"/>
        <s v="Electra Water Lily 1 (16-inch) - Girl's - 2018"/>
        <s v="Electra Townie Original 1 - 2018"/>
        <s v="Electra Townie Original 1 Ladies' - 2018"/>
        <s v="Trek Checkpoint ALR 4 Women's - 2019"/>
        <s v="Trek Checkpoint ALR 5 - 2019"/>
        <s v="Trek Checkpoint ALR 5 Women's - 2019"/>
        <s v="Trek Checkpoint SL 5 Women's - 2019"/>
        <s v="Trek Checkpoint SL 6 - 2019"/>
        <s v="Trek Checkpoint ALR Frameset - 2019"/>
      </sharedItems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category_name" numFmtId="0">
      <sharedItems count="7">
        <s v="Mountain Bikes"/>
        <s v="Electric Bikes"/>
        <s v="Cyclocross Bicycles"/>
        <s v="Cruisers Bicycles"/>
        <s v="Children Bicycles"/>
        <s v="Comfort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x v="0"/>
    <n v="9"/>
    <n v="6"/>
    <n v="2016"/>
    <n v="379.99"/>
    <x v="0"/>
  </r>
  <r>
    <n v="2"/>
    <x v="1"/>
    <n v="5"/>
    <n v="6"/>
    <n v="2016"/>
    <n v="749.99"/>
    <x v="0"/>
  </r>
  <r>
    <n v="3"/>
    <x v="2"/>
    <n v="8"/>
    <n v="6"/>
    <n v="2016"/>
    <n v="999.99"/>
    <x v="0"/>
  </r>
  <r>
    <n v="4"/>
    <x v="3"/>
    <n v="9"/>
    <n v="6"/>
    <n v="2016"/>
    <n v="2899.99"/>
    <x v="0"/>
  </r>
  <r>
    <n v="5"/>
    <x v="4"/>
    <n v="3"/>
    <n v="6"/>
    <n v="2016"/>
    <n v="1320.99"/>
    <x v="0"/>
  </r>
  <r>
    <n v="6"/>
    <x v="5"/>
    <n v="8"/>
    <n v="6"/>
    <n v="2016"/>
    <n v="469.99"/>
    <x v="0"/>
  </r>
  <r>
    <n v="7"/>
    <x v="6"/>
    <n v="9"/>
    <n v="6"/>
    <n v="2016"/>
    <n v="3999.99"/>
    <x v="0"/>
  </r>
  <r>
    <n v="8"/>
    <x v="7"/>
    <n v="9"/>
    <n v="6"/>
    <n v="2016"/>
    <n v="1799.99"/>
    <x v="0"/>
  </r>
  <r>
    <n v="9"/>
    <x v="8"/>
    <n v="9"/>
    <n v="5"/>
    <n v="2016"/>
    <n v="2999.99"/>
    <x v="1"/>
  </r>
  <r>
    <n v="10"/>
    <x v="9"/>
    <n v="8"/>
    <n v="4"/>
    <n v="2016"/>
    <n v="1549"/>
    <x v="2"/>
  </r>
  <r>
    <n v="11"/>
    <x v="10"/>
    <n v="8"/>
    <n v="4"/>
    <n v="2016"/>
    <n v="1680.99"/>
    <x v="2"/>
  </r>
  <r>
    <n v="12"/>
    <x v="11"/>
    <n v="1"/>
    <n v="3"/>
    <n v="2016"/>
    <n v="549.99"/>
    <x v="3"/>
  </r>
  <r>
    <n v="13"/>
    <x v="12"/>
    <n v="1"/>
    <n v="3"/>
    <n v="2016"/>
    <n v="269.99"/>
    <x v="3"/>
  </r>
  <r>
    <n v="14"/>
    <x v="13"/>
    <n v="1"/>
    <n v="3"/>
    <n v="2016"/>
    <n v="269.99"/>
    <x v="3"/>
  </r>
  <r>
    <n v="15"/>
    <x v="14"/>
    <n v="1"/>
    <n v="3"/>
    <n v="2016"/>
    <n v="529.99"/>
    <x v="3"/>
  </r>
  <r>
    <n v="16"/>
    <x v="15"/>
    <n v="1"/>
    <n v="3"/>
    <n v="2016"/>
    <n v="599.99"/>
    <x v="3"/>
  </r>
  <r>
    <n v="17"/>
    <x v="16"/>
    <n v="4"/>
    <n v="3"/>
    <n v="2016"/>
    <n v="429"/>
    <x v="3"/>
  </r>
  <r>
    <n v="18"/>
    <x v="17"/>
    <n v="4"/>
    <n v="3"/>
    <n v="2016"/>
    <n v="449"/>
    <x v="3"/>
  </r>
  <r>
    <n v="19"/>
    <x v="18"/>
    <n v="4"/>
    <n v="3"/>
    <n v="2016"/>
    <n v="449"/>
    <x v="3"/>
  </r>
  <r>
    <n v="20"/>
    <x v="19"/>
    <n v="1"/>
    <n v="3"/>
    <n v="2016"/>
    <n v="599.99"/>
    <x v="3"/>
  </r>
  <r>
    <n v="21"/>
    <x v="12"/>
    <n v="1"/>
    <n v="1"/>
    <n v="2016"/>
    <n v="269.99"/>
    <x v="4"/>
  </r>
  <r>
    <n v="22"/>
    <x v="13"/>
    <n v="1"/>
    <n v="1"/>
    <n v="2016"/>
    <n v="269.99"/>
    <x v="4"/>
  </r>
  <r>
    <n v="23"/>
    <x v="20"/>
    <n v="1"/>
    <n v="1"/>
    <n v="2016"/>
    <n v="299.99"/>
    <x v="4"/>
  </r>
  <r>
    <n v="24"/>
    <x v="11"/>
    <n v="1"/>
    <n v="2"/>
    <n v="2016"/>
    <n v="549.99"/>
    <x v="5"/>
  </r>
  <r>
    <n v="25"/>
    <x v="21"/>
    <n v="1"/>
    <n v="2"/>
    <n v="2016"/>
    <n v="499.99"/>
    <x v="5"/>
  </r>
  <r>
    <n v="26"/>
    <x v="15"/>
    <n v="1"/>
    <n v="2"/>
    <n v="2016"/>
    <n v="599.99"/>
    <x v="5"/>
  </r>
  <r>
    <n v="27"/>
    <x v="22"/>
    <n v="8"/>
    <n v="6"/>
    <n v="2017"/>
    <n v="999.99"/>
    <x v="0"/>
  </r>
  <r>
    <n v="28"/>
    <x v="23"/>
    <n v="8"/>
    <n v="6"/>
    <n v="2017"/>
    <n v="2499.9899999999998"/>
    <x v="0"/>
  </r>
  <r>
    <n v="29"/>
    <x v="24"/>
    <n v="9"/>
    <n v="6"/>
    <n v="2017"/>
    <n v="999.99"/>
    <x v="0"/>
  </r>
  <r>
    <n v="30"/>
    <x v="25"/>
    <n v="8"/>
    <n v="6"/>
    <n v="2017"/>
    <n v="999.99"/>
    <x v="0"/>
  </r>
  <r>
    <n v="31"/>
    <x v="26"/>
    <n v="8"/>
    <n v="6"/>
    <n v="2017"/>
    <n v="1632.99"/>
    <x v="0"/>
  </r>
  <r>
    <n v="32"/>
    <x v="27"/>
    <n v="9"/>
    <n v="6"/>
    <n v="2017"/>
    <n v="469.99"/>
    <x v="0"/>
  </r>
  <r>
    <n v="33"/>
    <x v="28"/>
    <n v="8"/>
    <n v="6"/>
    <n v="2017"/>
    <n v="469.99"/>
    <x v="0"/>
  </r>
  <r>
    <n v="34"/>
    <x v="29"/>
    <n v="9"/>
    <n v="6"/>
    <n v="2017"/>
    <n v="469.99"/>
    <x v="0"/>
  </r>
  <r>
    <n v="35"/>
    <x v="30"/>
    <n v="7"/>
    <n v="6"/>
    <n v="2017"/>
    <n v="832.99"/>
    <x v="0"/>
  </r>
  <r>
    <n v="36"/>
    <x v="31"/>
    <n v="8"/>
    <n v="6"/>
    <n v="2017"/>
    <n v="832.99"/>
    <x v="0"/>
  </r>
  <r>
    <n v="37"/>
    <x v="32"/>
    <n v="2"/>
    <n v="6"/>
    <n v="2017"/>
    <n v="379.99"/>
    <x v="0"/>
  </r>
  <r>
    <n v="38"/>
    <x v="33"/>
    <n v="2"/>
    <n v="6"/>
    <n v="2017"/>
    <n v="549.99"/>
    <x v="0"/>
  </r>
  <r>
    <n v="39"/>
    <x v="34"/>
    <n v="9"/>
    <n v="6"/>
    <n v="2017"/>
    <n v="1499.99"/>
    <x v="0"/>
  </r>
  <r>
    <n v="40"/>
    <x v="35"/>
    <n v="9"/>
    <n v="6"/>
    <n v="2017"/>
    <n v="4999.99"/>
    <x v="0"/>
  </r>
  <r>
    <n v="41"/>
    <x v="36"/>
    <n v="2"/>
    <n v="6"/>
    <n v="2017"/>
    <n v="1469.99"/>
    <x v="0"/>
  </r>
  <r>
    <n v="42"/>
    <x v="37"/>
    <n v="9"/>
    <n v="6"/>
    <n v="2017"/>
    <n v="2299.9899999999998"/>
    <x v="0"/>
  </r>
  <r>
    <n v="43"/>
    <x v="38"/>
    <n v="9"/>
    <n v="6"/>
    <n v="2017"/>
    <n v="5299.99"/>
    <x v="0"/>
  </r>
  <r>
    <n v="44"/>
    <x v="39"/>
    <n v="2"/>
    <n v="6"/>
    <n v="2017"/>
    <n v="539.99"/>
    <x v="0"/>
  </r>
  <r>
    <n v="45"/>
    <x v="40"/>
    <n v="2"/>
    <n v="6"/>
    <n v="2017"/>
    <n v="869.99"/>
    <x v="0"/>
  </r>
  <r>
    <n v="46"/>
    <x v="41"/>
    <n v="2"/>
    <n v="6"/>
    <n v="2017"/>
    <n v="1409.99"/>
    <x v="0"/>
  </r>
  <r>
    <n v="47"/>
    <x v="42"/>
    <n v="9"/>
    <n v="6"/>
    <n v="2017"/>
    <n v="5299.99"/>
    <x v="0"/>
  </r>
  <r>
    <n v="48"/>
    <x v="43"/>
    <n v="9"/>
    <n v="7"/>
    <n v="2017"/>
    <n v="1499.99"/>
    <x v="6"/>
  </r>
  <r>
    <n v="49"/>
    <x v="44"/>
    <n v="9"/>
    <n v="7"/>
    <n v="2017"/>
    <n v="3499.99"/>
    <x v="6"/>
  </r>
  <r>
    <n v="50"/>
    <x v="45"/>
    <n v="9"/>
    <n v="7"/>
    <n v="2017"/>
    <n v="5999.99"/>
    <x v="6"/>
  </r>
  <r>
    <n v="51"/>
    <x v="46"/>
    <n v="9"/>
    <n v="7"/>
    <n v="2017"/>
    <n v="6499.99"/>
    <x v="6"/>
  </r>
  <r>
    <n v="52"/>
    <x v="47"/>
    <n v="8"/>
    <n v="7"/>
    <n v="2017"/>
    <n v="875.99"/>
    <x v="6"/>
  </r>
  <r>
    <n v="53"/>
    <x v="48"/>
    <n v="8"/>
    <n v="7"/>
    <n v="2017"/>
    <n v="749.99"/>
    <x v="6"/>
  </r>
  <r>
    <n v="54"/>
    <x v="49"/>
    <n v="9"/>
    <n v="7"/>
    <n v="2017"/>
    <n v="3199.99"/>
    <x v="6"/>
  </r>
  <r>
    <n v="55"/>
    <x v="50"/>
    <n v="9"/>
    <n v="7"/>
    <n v="2017"/>
    <n v="2699.99"/>
    <x v="6"/>
  </r>
  <r>
    <n v="56"/>
    <x v="51"/>
    <n v="9"/>
    <n v="7"/>
    <n v="2017"/>
    <n v="5499.99"/>
    <x v="6"/>
  </r>
  <r>
    <n v="57"/>
    <x v="52"/>
    <n v="9"/>
    <n v="7"/>
    <n v="2017"/>
    <n v="1999.99"/>
    <x v="6"/>
  </r>
  <r>
    <n v="58"/>
    <x v="53"/>
    <n v="9"/>
    <n v="7"/>
    <n v="2017"/>
    <n v="4999.99"/>
    <x v="6"/>
  </r>
  <r>
    <n v="59"/>
    <x v="54"/>
    <n v="9"/>
    <n v="7"/>
    <n v="2017"/>
    <n v="2599.9899999999998"/>
    <x v="6"/>
  </r>
  <r>
    <n v="60"/>
    <x v="55"/>
    <n v="7"/>
    <n v="5"/>
    <n v="2017"/>
    <n v="1559.99"/>
    <x v="1"/>
  </r>
  <r>
    <n v="61"/>
    <x v="56"/>
    <n v="9"/>
    <n v="5"/>
    <n v="2017"/>
    <n v="4999.99"/>
    <x v="1"/>
  </r>
  <r>
    <n v="62"/>
    <x v="57"/>
    <n v="9"/>
    <n v="4"/>
    <n v="2017"/>
    <n v="3499.99"/>
    <x v="2"/>
  </r>
  <r>
    <n v="63"/>
    <x v="58"/>
    <n v="9"/>
    <n v="4"/>
    <n v="2017"/>
    <n v="3499.99"/>
    <x v="2"/>
  </r>
  <r>
    <n v="64"/>
    <x v="59"/>
    <n v="1"/>
    <n v="3"/>
    <n v="2017"/>
    <n v="489.99"/>
    <x v="3"/>
  </r>
  <r>
    <n v="65"/>
    <x v="60"/>
    <n v="7"/>
    <n v="3"/>
    <n v="2017"/>
    <n v="346.99"/>
    <x v="3"/>
  </r>
  <r>
    <n v="66"/>
    <x v="61"/>
    <n v="7"/>
    <n v="3"/>
    <n v="2017"/>
    <n v="250.99"/>
    <x v="3"/>
  </r>
  <r>
    <n v="67"/>
    <x v="62"/>
    <n v="7"/>
    <n v="3"/>
    <n v="2017"/>
    <n v="250.99"/>
    <x v="3"/>
  </r>
  <r>
    <n v="68"/>
    <x v="63"/>
    <n v="7"/>
    <n v="3"/>
    <n v="2017"/>
    <n v="449.99"/>
    <x v="3"/>
  </r>
  <r>
    <n v="69"/>
    <x v="64"/>
    <n v="7"/>
    <n v="3"/>
    <n v="2017"/>
    <n v="416.99"/>
    <x v="3"/>
  </r>
  <r>
    <n v="70"/>
    <x v="65"/>
    <n v="1"/>
    <n v="3"/>
    <n v="2017"/>
    <n v="659.99"/>
    <x v="3"/>
  </r>
  <r>
    <n v="71"/>
    <x v="66"/>
    <n v="7"/>
    <n v="3"/>
    <n v="2017"/>
    <n v="416.99"/>
    <x v="3"/>
  </r>
  <r>
    <n v="72"/>
    <x v="67"/>
    <n v="7"/>
    <n v="3"/>
    <n v="2017"/>
    <n v="619.99"/>
    <x v="3"/>
  </r>
  <r>
    <n v="73"/>
    <x v="68"/>
    <n v="7"/>
    <n v="3"/>
    <n v="2017"/>
    <n v="749.99"/>
    <x v="3"/>
  </r>
  <r>
    <n v="74"/>
    <x v="69"/>
    <n v="1"/>
    <n v="3"/>
    <n v="2017"/>
    <n v="439.99"/>
    <x v="3"/>
  </r>
  <r>
    <n v="75"/>
    <x v="70"/>
    <n v="1"/>
    <n v="3"/>
    <n v="2017"/>
    <n v="599.99"/>
    <x v="3"/>
  </r>
  <r>
    <n v="76"/>
    <x v="71"/>
    <n v="1"/>
    <n v="3"/>
    <n v="2017"/>
    <n v="299.99"/>
    <x v="3"/>
  </r>
  <r>
    <n v="77"/>
    <x v="72"/>
    <n v="1"/>
    <n v="3"/>
    <n v="2017"/>
    <n v="799.99"/>
    <x v="3"/>
  </r>
  <r>
    <n v="78"/>
    <x v="73"/>
    <n v="7"/>
    <n v="3"/>
    <n v="2017"/>
    <n v="647.99"/>
    <x v="3"/>
  </r>
  <r>
    <n v="79"/>
    <x v="74"/>
    <n v="7"/>
    <n v="3"/>
    <n v="2017"/>
    <n v="402.99"/>
    <x v="3"/>
  </r>
  <r>
    <n v="80"/>
    <x v="75"/>
    <n v="7"/>
    <n v="3"/>
    <n v="2017"/>
    <n v="761.99"/>
    <x v="3"/>
  </r>
  <r>
    <n v="81"/>
    <x v="76"/>
    <n v="1"/>
    <n v="3"/>
    <n v="2017"/>
    <n v="1099.99"/>
    <x v="3"/>
  </r>
  <r>
    <n v="82"/>
    <x v="77"/>
    <n v="1"/>
    <n v="3"/>
    <n v="2017"/>
    <n v="659.99"/>
    <x v="3"/>
  </r>
  <r>
    <n v="83"/>
    <x v="78"/>
    <n v="9"/>
    <n v="1"/>
    <n v="2017"/>
    <n v="149.99"/>
    <x v="4"/>
  </r>
  <r>
    <n v="84"/>
    <x v="79"/>
    <n v="7"/>
    <n v="1"/>
    <n v="2017"/>
    <n v="109.99"/>
    <x v="4"/>
  </r>
  <r>
    <n v="85"/>
    <x v="80"/>
    <n v="2"/>
    <n v="1"/>
    <n v="2017"/>
    <n v="329.99"/>
    <x v="4"/>
  </r>
  <r>
    <n v="86"/>
    <x v="81"/>
    <n v="9"/>
    <n v="1"/>
    <n v="2017"/>
    <n v="149.99"/>
    <x v="4"/>
  </r>
  <r>
    <n v="87"/>
    <x v="82"/>
    <n v="9"/>
    <n v="1"/>
    <n v="2017"/>
    <n v="189.99"/>
    <x v="4"/>
  </r>
  <r>
    <n v="88"/>
    <x v="83"/>
    <n v="9"/>
    <n v="1"/>
    <n v="2017"/>
    <n v="189.99"/>
    <x v="4"/>
  </r>
  <r>
    <n v="89"/>
    <x v="84"/>
    <n v="9"/>
    <n v="1"/>
    <n v="2017"/>
    <n v="209.99"/>
    <x v="4"/>
  </r>
  <r>
    <n v="90"/>
    <x v="85"/>
    <n v="9"/>
    <n v="1"/>
    <n v="2017"/>
    <n v="209.99"/>
    <x v="4"/>
  </r>
  <r>
    <n v="91"/>
    <x v="86"/>
    <n v="9"/>
    <n v="1"/>
    <n v="2017"/>
    <n v="349.99"/>
    <x v="4"/>
  </r>
  <r>
    <n v="92"/>
    <x v="87"/>
    <n v="2"/>
    <n v="1"/>
    <n v="2017"/>
    <n v="209.99"/>
    <x v="4"/>
  </r>
  <r>
    <n v="93"/>
    <x v="88"/>
    <n v="2"/>
    <n v="1"/>
    <n v="2017"/>
    <n v="209.99"/>
    <x v="4"/>
  </r>
  <r>
    <n v="94"/>
    <x v="89"/>
    <n v="2"/>
    <n v="1"/>
    <n v="2017"/>
    <n v="249.99"/>
    <x v="4"/>
  </r>
  <r>
    <n v="95"/>
    <x v="71"/>
    <n v="1"/>
    <n v="1"/>
    <n v="2017"/>
    <n v="299.99"/>
    <x v="4"/>
  </r>
  <r>
    <n v="96"/>
    <x v="90"/>
    <n v="1"/>
    <n v="1"/>
    <n v="2017"/>
    <n v="349.99"/>
    <x v="4"/>
  </r>
  <r>
    <n v="97"/>
    <x v="91"/>
    <n v="1"/>
    <n v="1"/>
    <n v="2017"/>
    <n v="349.99"/>
    <x v="4"/>
  </r>
  <r>
    <n v="98"/>
    <x v="92"/>
    <n v="1"/>
    <n v="1"/>
    <n v="2017"/>
    <n v="489.99"/>
    <x v="4"/>
  </r>
  <r>
    <n v="99"/>
    <x v="93"/>
    <n v="1"/>
    <n v="1"/>
    <n v="2017"/>
    <n v="299.99"/>
    <x v="4"/>
  </r>
  <r>
    <n v="100"/>
    <x v="94"/>
    <n v="1"/>
    <n v="1"/>
    <n v="2017"/>
    <n v="489.99"/>
    <x v="4"/>
  </r>
  <r>
    <n v="101"/>
    <x v="95"/>
    <n v="1"/>
    <n v="1"/>
    <n v="2017"/>
    <n v="339.99"/>
    <x v="4"/>
  </r>
  <r>
    <n v="102"/>
    <x v="59"/>
    <n v="1"/>
    <n v="2"/>
    <n v="2017"/>
    <n v="489.99"/>
    <x v="5"/>
  </r>
  <r>
    <n v="103"/>
    <x v="96"/>
    <n v="7"/>
    <n v="2"/>
    <n v="2017"/>
    <n v="551.99"/>
    <x v="5"/>
  </r>
  <r>
    <n v="104"/>
    <x v="97"/>
    <n v="7"/>
    <n v="2"/>
    <n v="2017"/>
    <n v="481.99"/>
    <x v="5"/>
  </r>
  <r>
    <n v="105"/>
    <x v="98"/>
    <n v="7"/>
    <n v="2"/>
    <n v="2017"/>
    <n v="533.99"/>
    <x v="5"/>
  </r>
  <r>
    <n v="106"/>
    <x v="63"/>
    <n v="7"/>
    <n v="2"/>
    <n v="2017"/>
    <n v="449.99"/>
    <x v="5"/>
  </r>
  <r>
    <n v="107"/>
    <x v="64"/>
    <n v="7"/>
    <n v="2"/>
    <n v="2017"/>
    <n v="416.99"/>
    <x v="5"/>
  </r>
  <r>
    <n v="108"/>
    <x v="99"/>
    <n v="7"/>
    <n v="2"/>
    <n v="2017"/>
    <n v="449.99"/>
    <x v="5"/>
  </r>
  <r>
    <n v="109"/>
    <x v="100"/>
    <n v="7"/>
    <n v="2"/>
    <n v="2017"/>
    <n v="416.99"/>
    <x v="5"/>
  </r>
  <r>
    <n v="110"/>
    <x v="101"/>
    <n v="7"/>
    <n v="2"/>
    <n v="2017"/>
    <n v="470.99"/>
    <x v="5"/>
  </r>
  <r>
    <n v="111"/>
    <x v="102"/>
    <n v="7"/>
    <n v="2"/>
    <n v="2017"/>
    <n v="470.99"/>
    <x v="5"/>
  </r>
  <r>
    <n v="112"/>
    <x v="103"/>
    <n v="9"/>
    <n v="6"/>
    <n v="2018"/>
    <n v="379.99"/>
    <x v="0"/>
  </r>
  <r>
    <n v="113"/>
    <x v="104"/>
    <n v="9"/>
    <n v="6"/>
    <n v="2018"/>
    <n v="489.99"/>
    <x v="0"/>
  </r>
  <r>
    <n v="114"/>
    <x v="105"/>
    <n v="9"/>
    <n v="6"/>
    <n v="2018"/>
    <n v="579.99"/>
    <x v="0"/>
  </r>
  <r>
    <n v="115"/>
    <x v="106"/>
    <n v="9"/>
    <n v="6"/>
    <n v="2018"/>
    <n v="3199.99"/>
    <x v="0"/>
  </r>
  <r>
    <n v="116"/>
    <x v="107"/>
    <n v="9"/>
    <n v="6"/>
    <n v="2018"/>
    <n v="749.99"/>
    <x v="0"/>
  </r>
  <r>
    <n v="117"/>
    <x v="108"/>
    <n v="9"/>
    <n v="6"/>
    <n v="2018"/>
    <n v="1469.99"/>
    <x v="0"/>
  </r>
  <r>
    <n v="118"/>
    <x v="109"/>
    <n v="9"/>
    <n v="6"/>
    <n v="2018"/>
    <n v="999.99"/>
    <x v="0"/>
  </r>
  <r>
    <n v="119"/>
    <x v="110"/>
    <n v="9"/>
    <n v="6"/>
    <n v="2018"/>
    <n v="469.99"/>
    <x v="0"/>
  </r>
  <r>
    <n v="120"/>
    <x v="111"/>
    <n v="9"/>
    <n v="6"/>
    <n v="2018"/>
    <n v="2499.9899999999998"/>
    <x v="0"/>
  </r>
  <r>
    <n v="121"/>
    <x v="112"/>
    <n v="8"/>
    <n v="6"/>
    <n v="2018"/>
    <n v="2499.9899999999998"/>
    <x v="0"/>
  </r>
  <r>
    <n v="122"/>
    <x v="113"/>
    <n v="8"/>
    <n v="6"/>
    <n v="2018"/>
    <n v="2499.9899999999998"/>
    <x v="0"/>
  </r>
  <r>
    <n v="123"/>
    <x v="114"/>
    <n v="9"/>
    <n v="6"/>
    <n v="2018"/>
    <n v="999.99"/>
    <x v="0"/>
  </r>
  <r>
    <n v="124"/>
    <x v="115"/>
    <n v="8"/>
    <n v="6"/>
    <n v="2018"/>
    <n v="1499"/>
    <x v="0"/>
  </r>
  <r>
    <n v="125"/>
    <x v="116"/>
    <n v="9"/>
    <n v="6"/>
    <n v="2018"/>
    <n v="469.99"/>
    <x v="0"/>
  </r>
  <r>
    <n v="126"/>
    <x v="117"/>
    <n v="8"/>
    <n v="6"/>
    <n v="2018"/>
    <n v="469.99"/>
    <x v="0"/>
  </r>
  <r>
    <n v="127"/>
    <x v="118"/>
    <n v="8"/>
    <n v="6"/>
    <n v="2018"/>
    <n v="469.99"/>
    <x v="0"/>
  </r>
  <r>
    <n v="128"/>
    <x v="119"/>
    <n v="8"/>
    <n v="6"/>
    <n v="2018"/>
    <n v="1899"/>
    <x v="0"/>
  </r>
  <r>
    <n v="129"/>
    <x v="120"/>
    <n v="9"/>
    <n v="6"/>
    <n v="2018"/>
    <n v="919.99"/>
    <x v="0"/>
  </r>
  <r>
    <n v="130"/>
    <x v="121"/>
    <n v="9"/>
    <n v="6"/>
    <n v="2018"/>
    <n v="919.99"/>
    <x v="0"/>
  </r>
  <r>
    <n v="131"/>
    <x v="122"/>
    <n v="3"/>
    <n v="6"/>
    <n v="2018"/>
    <n v="2599"/>
    <x v="0"/>
  </r>
  <r>
    <n v="132"/>
    <x v="123"/>
    <n v="9"/>
    <n v="6"/>
    <n v="2018"/>
    <n v="1499.99"/>
    <x v="0"/>
  </r>
  <r>
    <n v="133"/>
    <x v="124"/>
    <n v="9"/>
    <n v="6"/>
    <n v="2018"/>
    <n v="1499.99"/>
    <x v="0"/>
  </r>
  <r>
    <n v="134"/>
    <x v="125"/>
    <n v="9"/>
    <n v="6"/>
    <n v="2018"/>
    <n v="1499.99"/>
    <x v="0"/>
  </r>
  <r>
    <n v="135"/>
    <x v="126"/>
    <n v="9"/>
    <n v="6"/>
    <n v="2018"/>
    <n v="1499.99"/>
    <x v="0"/>
  </r>
  <r>
    <n v="136"/>
    <x v="127"/>
    <n v="9"/>
    <n v="6"/>
    <n v="2018"/>
    <n v="1799.99"/>
    <x v="0"/>
  </r>
  <r>
    <n v="137"/>
    <x v="128"/>
    <n v="3"/>
    <n v="6"/>
    <n v="2018"/>
    <n v="2599"/>
    <x v="0"/>
  </r>
  <r>
    <n v="138"/>
    <x v="129"/>
    <n v="9"/>
    <n v="6"/>
    <n v="2018"/>
    <n v="2249.9899999999998"/>
    <x v="0"/>
  </r>
  <r>
    <n v="139"/>
    <x v="130"/>
    <n v="9"/>
    <n v="6"/>
    <n v="2018"/>
    <n v="2999.99"/>
    <x v="0"/>
  </r>
  <r>
    <n v="140"/>
    <x v="131"/>
    <n v="9"/>
    <n v="6"/>
    <n v="2018"/>
    <n v="4999.99"/>
    <x v="0"/>
  </r>
  <r>
    <n v="141"/>
    <x v="132"/>
    <n v="9"/>
    <n v="6"/>
    <n v="2018"/>
    <n v="1599.99"/>
    <x v="0"/>
  </r>
  <r>
    <n v="142"/>
    <x v="133"/>
    <n v="9"/>
    <n v="6"/>
    <n v="2018"/>
    <n v="3199.99"/>
    <x v="0"/>
  </r>
  <r>
    <n v="143"/>
    <x v="134"/>
    <n v="9"/>
    <n v="7"/>
    <n v="2018"/>
    <n v="1099.99"/>
    <x v="6"/>
  </r>
  <r>
    <n v="144"/>
    <x v="135"/>
    <n v="9"/>
    <n v="7"/>
    <n v="2018"/>
    <n v="1549.99"/>
    <x v="6"/>
  </r>
  <r>
    <n v="145"/>
    <x v="136"/>
    <n v="9"/>
    <n v="7"/>
    <n v="2018"/>
    <n v="1799.99"/>
    <x v="6"/>
  </r>
  <r>
    <n v="146"/>
    <x v="137"/>
    <n v="9"/>
    <n v="7"/>
    <n v="2018"/>
    <n v="4999.99"/>
    <x v="6"/>
  </r>
  <r>
    <n v="147"/>
    <x v="138"/>
    <n v="9"/>
    <n v="7"/>
    <n v="2018"/>
    <n v="1799.99"/>
    <x v="6"/>
  </r>
  <r>
    <n v="148"/>
    <x v="139"/>
    <n v="9"/>
    <n v="7"/>
    <n v="2018"/>
    <n v="5499.99"/>
    <x v="6"/>
  </r>
  <r>
    <n v="149"/>
    <x v="140"/>
    <n v="9"/>
    <n v="7"/>
    <n v="2018"/>
    <n v="7499.99"/>
    <x v="6"/>
  </r>
  <r>
    <n v="150"/>
    <x v="141"/>
    <n v="9"/>
    <n v="7"/>
    <n v="2018"/>
    <n v="4499.99"/>
    <x v="6"/>
  </r>
  <r>
    <n v="151"/>
    <x v="142"/>
    <n v="9"/>
    <n v="7"/>
    <n v="2018"/>
    <n v="1549.99"/>
    <x v="6"/>
  </r>
  <r>
    <n v="152"/>
    <x v="143"/>
    <n v="9"/>
    <n v="7"/>
    <n v="2018"/>
    <n v="2499.9899999999998"/>
    <x v="6"/>
  </r>
  <r>
    <n v="153"/>
    <x v="144"/>
    <n v="9"/>
    <n v="7"/>
    <n v="2018"/>
    <n v="4999.99"/>
    <x v="6"/>
  </r>
  <r>
    <n v="154"/>
    <x v="145"/>
    <n v="9"/>
    <n v="7"/>
    <n v="2018"/>
    <n v="5499.99"/>
    <x v="6"/>
  </r>
  <r>
    <n v="155"/>
    <x v="146"/>
    <n v="9"/>
    <n v="7"/>
    <n v="2018"/>
    <n v="11999.99"/>
    <x v="6"/>
  </r>
  <r>
    <n v="156"/>
    <x v="147"/>
    <n v="9"/>
    <n v="7"/>
    <n v="2018"/>
    <n v="6499.99"/>
    <x v="6"/>
  </r>
  <r>
    <n v="157"/>
    <x v="148"/>
    <n v="9"/>
    <n v="7"/>
    <n v="2018"/>
    <n v="6499.99"/>
    <x v="6"/>
  </r>
  <r>
    <n v="158"/>
    <x v="149"/>
    <n v="9"/>
    <n v="7"/>
    <n v="2018"/>
    <n v="959.99"/>
    <x v="6"/>
  </r>
  <r>
    <n v="159"/>
    <x v="150"/>
    <n v="9"/>
    <n v="7"/>
    <n v="2018"/>
    <n v="2299.9899999999998"/>
    <x v="6"/>
  </r>
  <r>
    <n v="160"/>
    <x v="151"/>
    <n v="9"/>
    <n v="7"/>
    <n v="2018"/>
    <n v="4499.99"/>
    <x v="6"/>
  </r>
  <r>
    <n v="161"/>
    <x v="152"/>
    <n v="8"/>
    <n v="7"/>
    <n v="2018"/>
    <n v="1899"/>
    <x v="6"/>
  </r>
  <r>
    <n v="162"/>
    <x v="153"/>
    <n v="9"/>
    <n v="7"/>
    <n v="2018"/>
    <n v="2999.99"/>
    <x v="6"/>
  </r>
  <r>
    <n v="163"/>
    <x v="154"/>
    <n v="8"/>
    <n v="7"/>
    <n v="2018"/>
    <n v="1349"/>
    <x v="6"/>
  </r>
  <r>
    <n v="164"/>
    <x v="155"/>
    <n v="8"/>
    <n v="7"/>
    <n v="2018"/>
    <n v="1549"/>
    <x v="6"/>
  </r>
  <r>
    <n v="165"/>
    <x v="156"/>
    <n v="9"/>
    <n v="7"/>
    <n v="2018"/>
    <n v="2499.9899999999998"/>
    <x v="6"/>
  </r>
  <r>
    <n v="166"/>
    <x v="157"/>
    <n v="9"/>
    <n v="7"/>
    <n v="2018"/>
    <n v="749.99"/>
    <x v="6"/>
  </r>
  <r>
    <n v="167"/>
    <x v="158"/>
    <n v="8"/>
    <n v="7"/>
    <n v="2018"/>
    <n v="749.99"/>
    <x v="6"/>
  </r>
  <r>
    <n v="168"/>
    <x v="159"/>
    <n v="8"/>
    <n v="7"/>
    <n v="2018"/>
    <n v="1549"/>
    <x v="6"/>
  </r>
  <r>
    <n v="169"/>
    <x v="160"/>
    <n v="9"/>
    <n v="7"/>
    <n v="2018"/>
    <n v="6499.99"/>
    <x v="6"/>
  </r>
  <r>
    <n v="170"/>
    <x v="161"/>
    <n v="9"/>
    <n v="7"/>
    <n v="2018"/>
    <n v="1299.99"/>
    <x v="6"/>
  </r>
  <r>
    <n v="171"/>
    <x v="162"/>
    <n v="9"/>
    <n v="7"/>
    <n v="2018"/>
    <n v="3199.99"/>
    <x v="6"/>
  </r>
  <r>
    <n v="172"/>
    <x v="163"/>
    <n v="9"/>
    <n v="7"/>
    <n v="2018"/>
    <n v="3199.99"/>
    <x v="6"/>
  </r>
  <r>
    <n v="173"/>
    <x v="164"/>
    <n v="9"/>
    <n v="7"/>
    <n v="2018"/>
    <n v="3199.99"/>
    <x v="6"/>
  </r>
  <r>
    <n v="174"/>
    <x v="165"/>
    <n v="9"/>
    <n v="7"/>
    <n v="2018"/>
    <n v="3199.99"/>
    <x v="6"/>
  </r>
  <r>
    <n v="175"/>
    <x v="166"/>
    <n v="9"/>
    <n v="7"/>
    <n v="2018"/>
    <n v="3199.99"/>
    <x v="6"/>
  </r>
  <r>
    <n v="176"/>
    <x v="167"/>
    <n v="9"/>
    <n v="7"/>
    <n v="2018"/>
    <n v="3199.99"/>
    <x v="6"/>
  </r>
  <r>
    <n v="177"/>
    <x v="168"/>
    <n v="9"/>
    <n v="7"/>
    <n v="2018"/>
    <n v="5499.99"/>
    <x v="6"/>
  </r>
  <r>
    <n v="178"/>
    <x v="169"/>
    <n v="9"/>
    <n v="7"/>
    <n v="2018"/>
    <n v="749.99"/>
    <x v="6"/>
  </r>
  <r>
    <n v="179"/>
    <x v="170"/>
    <n v="9"/>
    <n v="7"/>
    <n v="2018"/>
    <n v="919.99"/>
    <x v="6"/>
  </r>
  <r>
    <n v="180"/>
    <x v="171"/>
    <n v="9"/>
    <n v="7"/>
    <n v="2018"/>
    <n v="919.99"/>
    <x v="6"/>
  </r>
  <r>
    <n v="181"/>
    <x v="172"/>
    <n v="9"/>
    <n v="7"/>
    <n v="2018"/>
    <n v="2199.9899999999998"/>
    <x v="6"/>
  </r>
  <r>
    <n v="182"/>
    <x v="173"/>
    <n v="9"/>
    <n v="7"/>
    <n v="2018"/>
    <n v="2499.9899999999998"/>
    <x v="6"/>
  </r>
  <r>
    <n v="183"/>
    <x v="174"/>
    <n v="9"/>
    <n v="7"/>
    <n v="2018"/>
    <n v="2199.9899999999998"/>
    <x v="6"/>
  </r>
  <r>
    <n v="184"/>
    <x v="175"/>
    <n v="9"/>
    <n v="7"/>
    <n v="2018"/>
    <n v="3499.99"/>
    <x v="6"/>
  </r>
  <r>
    <n v="185"/>
    <x v="176"/>
    <n v="9"/>
    <n v="5"/>
    <n v="2018"/>
    <n v="2799.99"/>
    <x v="1"/>
  </r>
  <r>
    <n v="186"/>
    <x v="177"/>
    <n v="9"/>
    <n v="5"/>
    <n v="2018"/>
    <n v="4499.99"/>
    <x v="1"/>
  </r>
  <r>
    <n v="187"/>
    <x v="178"/>
    <n v="9"/>
    <n v="5"/>
    <n v="2018"/>
    <n v="2799.99"/>
    <x v="1"/>
  </r>
  <r>
    <n v="188"/>
    <x v="179"/>
    <n v="9"/>
    <n v="5"/>
    <n v="2018"/>
    <n v="3499.99"/>
    <x v="1"/>
  </r>
  <r>
    <n v="189"/>
    <x v="180"/>
    <n v="9"/>
    <n v="5"/>
    <n v="2018"/>
    <n v="2799.99"/>
    <x v="1"/>
  </r>
  <r>
    <n v="190"/>
    <x v="181"/>
    <n v="9"/>
    <n v="5"/>
    <n v="2018"/>
    <n v="2799.99"/>
    <x v="1"/>
  </r>
  <r>
    <n v="191"/>
    <x v="182"/>
    <n v="1"/>
    <n v="5"/>
    <n v="2018"/>
    <n v="2799.99"/>
    <x v="1"/>
  </r>
  <r>
    <n v="192"/>
    <x v="183"/>
    <n v="1"/>
    <n v="5"/>
    <n v="2018"/>
    <n v="2599.9899999999998"/>
    <x v="1"/>
  </r>
  <r>
    <n v="193"/>
    <x v="184"/>
    <n v="9"/>
    <n v="5"/>
    <n v="2018"/>
    <n v="2799.99"/>
    <x v="1"/>
  </r>
  <r>
    <n v="194"/>
    <x v="185"/>
    <n v="9"/>
    <n v="5"/>
    <n v="2018"/>
    <n v="3499.99"/>
    <x v="1"/>
  </r>
  <r>
    <n v="195"/>
    <x v="186"/>
    <n v="1"/>
    <n v="5"/>
    <n v="2018"/>
    <n v="2599.9899999999998"/>
    <x v="1"/>
  </r>
  <r>
    <n v="196"/>
    <x v="187"/>
    <n v="9"/>
    <n v="5"/>
    <n v="2018"/>
    <n v="2299.9899999999998"/>
    <x v="1"/>
  </r>
  <r>
    <n v="197"/>
    <x v="188"/>
    <n v="9"/>
    <n v="5"/>
    <n v="2018"/>
    <n v="2299.9899999999998"/>
    <x v="1"/>
  </r>
  <r>
    <n v="198"/>
    <x v="189"/>
    <n v="1"/>
    <n v="5"/>
    <n v="2018"/>
    <n v="2999.99"/>
    <x v="1"/>
  </r>
  <r>
    <n v="199"/>
    <x v="190"/>
    <n v="1"/>
    <n v="5"/>
    <n v="2018"/>
    <n v="2999.99"/>
    <x v="1"/>
  </r>
  <r>
    <n v="200"/>
    <x v="191"/>
    <n v="9"/>
    <n v="5"/>
    <n v="2018"/>
    <n v="3499.99"/>
    <x v="1"/>
  </r>
  <r>
    <n v="201"/>
    <x v="192"/>
    <n v="9"/>
    <n v="5"/>
    <n v="2018"/>
    <n v="4499.99"/>
    <x v="1"/>
  </r>
  <r>
    <n v="202"/>
    <x v="193"/>
    <n v="9"/>
    <n v="5"/>
    <n v="2018"/>
    <n v="3499.99"/>
    <x v="1"/>
  </r>
  <r>
    <n v="203"/>
    <x v="194"/>
    <n v="9"/>
    <n v="5"/>
    <n v="2018"/>
    <n v="4999.99"/>
    <x v="1"/>
  </r>
  <r>
    <n v="204"/>
    <x v="195"/>
    <n v="9"/>
    <n v="5"/>
    <n v="2018"/>
    <n v="3599.99"/>
    <x v="1"/>
  </r>
  <r>
    <n v="205"/>
    <x v="196"/>
    <n v="9"/>
    <n v="5"/>
    <n v="2018"/>
    <n v="4999.99"/>
    <x v="1"/>
  </r>
  <r>
    <n v="206"/>
    <x v="197"/>
    <n v="9"/>
    <n v="4"/>
    <n v="2018"/>
    <n v="3299.99"/>
    <x v="2"/>
  </r>
  <r>
    <n v="207"/>
    <x v="198"/>
    <n v="9"/>
    <n v="4"/>
    <n v="2018"/>
    <n v="3999.99"/>
    <x v="2"/>
  </r>
  <r>
    <n v="208"/>
    <x v="199"/>
    <n v="9"/>
    <n v="4"/>
    <n v="2018"/>
    <n v="1799.99"/>
    <x v="2"/>
  </r>
  <r>
    <n v="209"/>
    <x v="200"/>
    <n v="9"/>
    <n v="4"/>
    <n v="2018"/>
    <n v="2999.99"/>
    <x v="2"/>
  </r>
  <r>
    <n v="210"/>
    <x v="159"/>
    <n v="8"/>
    <n v="4"/>
    <n v="2018"/>
    <n v="1549"/>
    <x v="2"/>
  </r>
  <r>
    <n v="211"/>
    <x v="155"/>
    <n v="8"/>
    <n v="4"/>
    <n v="2018"/>
    <n v="1549"/>
    <x v="2"/>
  </r>
  <r>
    <n v="212"/>
    <x v="201"/>
    <n v="1"/>
    <n v="3"/>
    <n v="2018"/>
    <n v="559.99"/>
    <x v="3"/>
  </r>
  <r>
    <n v="213"/>
    <x v="202"/>
    <n v="1"/>
    <n v="3"/>
    <n v="2018"/>
    <n v="269.99"/>
    <x v="3"/>
  </r>
  <r>
    <n v="214"/>
    <x v="203"/>
    <n v="1"/>
    <n v="3"/>
    <n v="2018"/>
    <n v="899.99"/>
    <x v="3"/>
  </r>
  <r>
    <n v="215"/>
    <x v="204"/>
    <n v="1"/>
    <n v="3"/>
    <n v="2018"/>
    <n v="749.99"/>
    <x v="3"/>
  </r>
  <r>
    <n v="216"/>
    <x v="205"/>
    <n v="1"/>
    <n v="3"/>
    <n v="2018"/>
    <n v="899.99"/>
    <x v="3"/>
  </r>
  <r>
    <n v="217"/>
    <x v="206"/>
    <n v="1"/>
    <n v="3"/>
    <n v="2018"/>
    <n v="909.99"/>
    <x v="3"/>
  </r>
  <r>
    <n v="218"/>
    <x v="207"/>
    <n v="1"/>
    <n v="3"/>
    <n v="2018"/>
    <n v="319.99"/>
    <x v="3"/>
  </r>
  <r>
    <n v="219"/>
    <x v="208"/>
    <n v="1"/>
    <n v="3"/>
    <n v="2018"/>
    <n v="639.99"/>
    <x v="3"/>
  </r>
  <r>
    <n v="220"/>
    <x v="209"/>
    <n v="1"/>
    <n v="3"/>
    <n v="2018"/>
    <n v="269.99"/>
    <x v="3"/>
  </r>
  <r>
    <n v="221"/>
    <x v="210"/>
    <n v="1"/>
    <n v="3"/>
    <n v="2018"/>
    <n v="319.99"/>
    <x v="3"/>
  </r>
  <r>
    <n v="222"/>
    <x v="211"/>
    <n v="1"/>
    <n v="3"/>
    <n v="2018"/>
    <n v="269.99"/>
    <x v="3"/>
  </r>
  <r>
    <n v="223"/>
    <x v="212"/>
    <n v="1"/>
    <n v="3"/>
    <n v="2018"/>
    <n v="529.99"/>
    <x v="3"/>
  </r>
  <r>
    <n v="224"/>
    <x v="213"/>
    <n v="1"/>
    <n v="3"/>
    <n v="2018"/>
    <n v="479.99"/>
    <x v="3"/>
  </r>
  <r>
    <n v="225"/>
    <x v="214"/>
    <n v="1"/>
    <n v="3"/>
    <n v="2018"/>
    <n v="959.99"/>
    <x v="3"/>
  </r>
  <r>
    <n v="226"/>
    <x v="215"/>
    <n v="1"/>
    <n v="3"/>
    <n v="2018"/>
    <n v="679.99"/>
    <x v="3"/>
  </r>
  <r>
    <n v="227"/>
    <x v="216"/>
    <n v="1"/>
    <n v="3"/>
    <n v="2018"/>
    <n v="319.99"/>
    <x v="3"/>
  </r>
  <r>
    <n v="228"/>
    <x v="217"/>
    <n v="1"/>
    <n v="3"/>
    <n v="2018"/>
    <n v="319.99"/>
    <x v="3"/>
  </r>
  <r>
    <n v="229"/>
    <x v="218"/>
    <n v="1"/>
    <n v="3"/>
    <n v="2018"/>
    <n v="429.99"/>
    <x v="3"/>
  </r>
  <r>
    <n v="230"/>
    <x v="219"/>
    <n v="1"/>
    <n v="3"/>
    <n v="2018"/>
    <n v="429.99"/>
    <x v="3"/>
  </r>
  <r>
    <n v="231"/>
    <x v="220"/>
    <n v="1"/>
    <n v="3"/>
    <n v="2018"/>
    <n v="529.99"/>
    <x v="3"/>
  </r>
  <r>
    <n v="232"/>
    <x v="221"/>
    <n v="1"/>
    <n v="3"/>
    <n v="2018"/>
    <n v="479.99"/>
    <x v="3"/>
  </r>
  <r>
    <n v="233"/>
    <x v="222"/>
    <n v="1"/>
    <n v="3"/>
    <n v="2018"/>
    <n v="639.99"/>
    <x v="3"/>
  </r>
  <r>
    <n v="234"/>
    <x v="223"/>
    <n v="1"/>
    <n v="3"/>
    <n v="2018"/>
    <n v="899.99"/>
    <x v="3"/>
  </r>
  <r>
    <n v="235"/>
    <x v="224"/>
    <n v="1"/>
    <n v="3"/>
    <n v="2018"/>
    <n v="899.99"/>
    <x v="3"/>
  </r>
  <r>
    <n v="236"/>
    <x v="225"/>
    <n v="1"/>
    <n v="3"/>
    <n v="2018"/>
    <n v="749.99"/>
    <x v="3"/>
  </r>
  <r>
    <n v="237"/>
    <x v="226"/>
    <n v="1"/>
    <n v="3"/>
    <n v="2018"/>
    <n v="849.99"/>
    <x v="3"/>
  </r>
  <r>
    <n v="238"/>
    <x v="227"/>
    <n v="1"/>
    <n v="3"/>
    <n v="2018"/>
    <n v="749.99"/>
    <x v="3"/>
  </r>
  <r>
    <n v="239"/>
    <x v="228"/>
    <n v="1"/>
    <n v="3"/>
    <n v="2018"/>
    <n v="749.99"/>
    <x v="3"/>
  </r>
  <r>
    <n v="240"/>
    <x v="229"/>
    <n v="1"/>
    <n v="3"/>
    <n v="2018"/>
    <n v="899.99"/>
    <x v="3"/>
  </r>
  <r>
    <n v="241"/>
    <x v="230"/>
    <n v="1"/>
    <n v="3"/>
    <n v="2018"/>
    <n v="749.99"/>
    <x v="3"/>
  </r>
  <r>
    <n v="242"/>
    <x v="231"/>
    <n v="1"/>
    <n v="3"/>
    <n v="2018"/>
    <n v="699.99"/>
    <x v="3"/>
  </r>
  <r>
    <n v="243"/>
    <x v="232"/>
    <n v="1"/>
    <n v="3"/>
    <n v="2018"/>
    <n v="679.99"/>
    <x v="3"/>
  </r>
  <r>
    <n v="244"/>
    <x v="233"/>
    <n v="1"/>
    <n v="3"/>
    <n v="2018"/>
    <n v="559.99"/>
    <x v="3"/>
  </r>
  <r>
    <n v="245"/>
    <x v="234"/>
    <n v="1"/>
    <n v="3"/>
    <n v="2018"/>
    <n v="659.99"/>
    <x v="3"/>
  </r>
  <r>
    <n v="246"/>
    <x v="235"/>
    <n v="1"/>
    <n v="3"/>
    <n v="2018"/>
    <n v="639.99"/>
    <x v="3"/>
  </r>
  <r>
    <n v="247"/>
    <x v="236"/>
    <n v="1"/>
    <n v="3"/>
    <n v="2018"/>
    <n v="599.99"/>
    <x v="3"/>
  </r>
  <r>
    <n v="248"/>
    <x v="237"/>
    <n v="1"/>
    <n v="3"/>
    <n v="2018"/>
    <n v="599.99"/>
    <x v="3"/>
  </r>
  <r>
    <n v="249"/>
    <x v="238"/>
    <n v="1"/>
    <n v="3"/>
    <n v="2018"/>
    <n v="749.99"/>
    <x v="3"/>
  </r>
  <r>
    <n v="250"/>
    <x v="183"/>
    <n v="1"/>
    <n v="3"/>
    <n v="2018"/>
    <n v="2599.9899999999998"/>
    <x v="3"/>
  </r>
  <r>
    <n v="251"/>
    <x v="189"/>
    <n v="1"/>
    <n v="3"/>
    <n v="2018"/>
    <n v="2999.99"/>
    <x v="3"/>
  </r>
  <r>
    <n v="252"/>
    <x v="190"/>
    <n v="1"/>
    <n v="3"/>
    <n v="2018"/>
    <n v="2999.99"/>
    <x v="3"/>
  </r>
  <r>
    <n v="253"/>
    <x v="186"/>
    <n v="1"/>
    <n v="3"/>
    <n v="2018"/>
    <n v="2599.9899999999998"/>
    <x v="3"/>
  </r>
  <r>
    <n v="254"/>
    <x v="239"/>
    <n v="1"/>
    <n v="3"/>
    <n v="2018"/>
    <n v="749.99"/>
    <x v="3"/>
  </r>
  <r>
    <n v="255"/>
    <x v="240"/>
    <n v="1"/>
    <n v="3"/>
    <n v="2018"/>
    <n v="899.99"/>
    <x v="3"/>
  </r>
  <r>
    <n v="256"/>
    <x v="241"/>
    <n v="1"/>
    <n v="3"/>
    <n v="2018"/>
    <n v="899.99"/>
    <x v="3"/>
  </r>
  <r>
    <n v="257"/>
    <x v="242"/>
    <n v="1"/>
    <n v="3"/>
    <n v="2018"/>
    <n v="899.99"/>
    <x v="3"/>
  </r>
  <r>
    <n v="258"/>
    <x v="243"/>
    <n v="1"/>
    <n v="3"/>
    <n v="2018"/>
    <n v="1259.9000000000001"/>
    <x v="3"/>
  </r>
  <r>
    <n v="259"/>
    <x v="244"/>
    <n v="1"/>
    <n v="3"/>
    <n v="2018"/>
    <n v="1199.99"/>
    <x v="3"/>
  </r>
  <r>
    <n v="260"/>
    <x v="245"/>
    <n v="1"/>
    <n v="3"/>
    <n v="2018"/>
    <n v="799.99"/>
    <x v="3"/>
  </r>
  <r>
    <n v="261"/>
    <x v="246"/>
    <n v="1"/>
    <n v="3"/>
    <n v="2018"/>
    <n v="899.99"/>
    <x v="3"/>
  </r>
  <r>
    <n v="262"/>
    <x v="247"/>
    <n v="9"/>
    <n v="1"/>
    <n v="2018"/>
    <n v="249.99"/>
    <x v="4"/>
  </r>
  <r>
    <n v="263"/>
    <x v="248"/>
    <n v="6"/>
    <n v="1"/>
    <n v="2018"/>
    <n v="89.99"/>
    <x v="4"/>
  </r>
  <r>
    <n v="264"/>
    <x v="249"/>
    <n v="6"/>
    <n v="1"/>
    <n v="2018"/>
    <n v="249.99"/>
    <x v="4"/>
  </r>
  <r>
    <n v="265"/>
    <x v="250"/>
    <n v="6"/>
    <n v="1"/>
    <n v="2018"/>
    <n v="289.99"/>
    <x v="4"/>
  </r>
  <r>
    <n v="266"/>
    <x v="251"/>
    <n v="9"/>
    <n v="1"/>
    <n v="2018"/>
    <n v="399.99"/>
    <x v="4"/>
  </r>
  <r>
    <n v="267"/>
    <x v="252"/>
    <n v="9"/>
    <n v="1"/>
    <n v="2018"/>
    <n v="199.99"/>
    <x v="4"/>
  </r>
  <r>
    <n v="268"/>
    <x v="253"/>
    <n v="9"/>
    <n v="1"/>
    <n v="2018"/>
    <n v="159.99"/>
    <x v="4"/>
  </r>
  <r>
    <n v="269"/>
    <x v="254"/>
    <n v="9"/>
    <n v="1"/>
    <n v="2018"/>
    <n v="199.99"/>
    <x v="4"/>
  </r>
  <r>
    <n v="270"/>
    <x v="255"/>
    <n v="9"/>
    <n v="1"/>
    <n v="2018"/>
    <n v="209.99"/>
    <x v="4"/>
  </r>
  <r>
    <n v="271"/>
    <x v="256"/>
    <n v="9"/>
    <n v="1"/>
    <n v="2018"/>
    <n v="209.99"/>
    <x v="4"/>
  </r>
  <r>
    <n v="272"/>
    <x v="257"/>
    <n v="9"/>
    <n v="1"/>
    <n v="2018"/>
    <n v="289.99"/>
    <x v="4"/>
  </r>
  <r>
    <n v="273"/>
    <x v="258"/>
    <n v="9"/>
    <n v="1"/>
    <n v="2018"/>
    <n v="289.99"/>
    <x v="4"/>
  </r>
  <r>
    <n v="274"/>
    <x v="259"/>
    <n v="9"/>
    <n v="1"/>
    <n v="2018"/>
    <n v="229.99"/>
    <x v="4"/>
  </r>
  <r>
    <n v="275"/>
    <x v="260"/>
    <n v="9"/>
    <n v="1"/>
    <n v="2018"/>
    <n v="229.99"/>
    <x v="4"/>
  </r>
  <r>
    <n v="276"/>
    <x v="261"/>
    <n v="9"/>
    <n v="1"/>
    <n v="2018"/>
    <n v="319.99"/>
    <x v="4"/>
  </r>
  <r>
    <n v="277"/>
    <x v="262"/>
    <n v="9"/>
    <n v="1"/>
    <n v="2018"/>
    <n v="369.99"/>
    <x v="4"/>
  </r>
  <r>
    <n v="278"/>
    <x v="263"/>
    <n v="9"/>
    <n v="1"/>
    <n v="2018"/>
    <n v="369.99"/>
    <x v="4"/>
  </r>
  <r>
    <n v="279"/>
    <x v="264"/>
    <n v="9"/>
    <n v="1"/>
    <n v="2018"/>
    <n v="319.99"/>
    <x v="4"/>
  </r>
  <r>
    <n v="280"/>
    <x v="265"/>
    <n v="9"/>
    <n v="1"/>
    <n v="2018"/>
    <n v="489.99"/>
    <x v="4"/>
  </r>
  <r>
    <n v="281"/>
    <x v="216"/>
    <n v="1"/>
    <n v="1"/>
    <n v="2018"/>
    <n v="319.99"/>
    <x v="4"/>
  </r>
  <r>
    <n v="282"/>
    <x v="266"/>
    <n v="1"/>
    <n v="1"/>
    <n v="2018"/>
    <n v="279.99"/>
    <x v="4"/>
  </r>
  <r>
    <n v="283"/>
    <x v="267"/>
    <n v="1"/>
    <n v="1"/>
    <n v="2018"/>
    <n v="319.99"/>
    <x v="4"/>
  </r>
  <r>
    <n v="284"/>
    <x v="268"/>
    <n v="1"/>
    <n v="1"/>
    <n v="2018"/>
    <n v="319.99"/>
    <x v="4"/>
  </r>
  <r>
    <n v="285"/>
    <x v="269"/>
    <n v="1"/>
    <n v="1"/>
    <n v="2018"/>
    <n v="279.99"/>
    <x v="4"/>
  </r>
  <r>
    <n v="286"/>
    <x v="270"/>
    <n v="1"/>
    <n v="1"/>
    <n v="2018"/>
    <n v="279.99"/>
    <x v="4"/>
  </r>
  <r>
    <n v="287"/>
    <x v="271"/>
    <n v="1"/>
    <n v="1"/>
    <n v="2018"/>
    <n v="279.99"/>
    <x v="4"/>
  </r>
  <r>
    <n v="288"/>
    <x v="272"/>
    <n v="1"/>
    <n v="1"/>
    <n v="2018"/>
    <n v="389.99"/>
    <x v="4"/>
  </r>
  <r>
    <n v="289"/>
    <x v="273"/>
    <n v="1"/>
    <n v="1"/>
    <n v="2018"/>
    <n v="319.99"/>
    <x v="4"/>
  </r>
  <r>
    <n v="290"/>
    <x v="274"/>
    <n v="1"/>
    <n v="1"/>
    <n v="2018"/>
    <n v="369.99"/>
    <x v="4"/>
  </r>
  <r>
    <n v="291"/>
    <x v="275"/>
    <n v="1"/>
    <n v="1"/>
    <n v="2018"/>
    <n v="319.99"/>
    <x v="4"/>
  </r>
  <r>
    <n v="292"/>
    <x v="276"/>
    <n v="1"/>
    <n v="1"/>
    <n v="2018"/>
    <n v="369.99"/>
    <x v="4"/>
  </r>
  <r>
    <n v="293"/>
    <x v="277"/>
    <n v="1"/>
    <n v="1"/>
    <n v="2018"/>
    <n v="319.99"/>
    <x v="4"/>
  </r>
  <r>
    <n v="294"/>
    <x v="278"/>
    <n v="1"/>
    <n v="1"/>
    <n v="2018"/>
    <n v="369.99"/>
    <x v="4"/>
  </r>
  <r>
    <n v="295"/>
    <x v="279"/>
    <n v="1"/>
    <n v="1"/>
    <n v="2018"/>
    <n v="319.99"/>
    <x v="4"/>
  </r>
  <r>
    <n v="296"/>
    <x v="280"/>
    <n v="1"/>
    <n v="1"/>
    <n v="2018"/>
    <n v="369.99"/>
    <x v="4"/>
  </r>
  <r>
    <n v="297"/>
    <x v="281"/>
    <n v="1"/>
    <n v="1"/>
    <n v="2018"/>
    <n v="279.99"/>
    <x v="4"/>
  </r>
  <r>
    <n v="298"/>
    <x v="282"/>
    <n v="1"/>
    <n v="1"/>
    <n v="2018"/>
    <n v="279.99"/>
    <x v="4"/>
  </r>
  <r>
    <n v="299"/>
    <x v="201"/>
    <n v="1"/>
    <n v="2"/>
    <n v="2018"/>
    <n v="559.99"/>
    <x v="5"/>
  </r>
  <r>
    <n v="300"/>
    <x v="245"/>
    <n v="1"/>
    <n v="2"/>
    <n v="2018"/>
    <n v="799.99"/>
    <x v="5"/>
  </r>
  <r>
    <n v="301"/>
    <x v="246"/>
    <n v="1"/>
    <n v="2"/>
    <n v="2018"/>
    <n v="899.99"/>
    <x v="5"/>
  </r>
  <r>
    <n v="302"/>
    <x v="283"/>
    <n v="1"/>
    <n v="2"/>
    <n v="2018"/>
    <n v="449.99"/>
    <x v="5"/>
  </r>
  <r>
    <n v="303"/>
    <x v="183"/>
    <n v="1"/>
    <n v="2"/>
    <n v="2018"/>
    <n v="2599.9899999999998"/>
    <x v="5"/>
  </r>
  <r>
    <n v="304"/>
    <x v="215"/>
    <n v="1"/>
    <n v="2"/>
    <n v="2018"/>
    <n v="679.99"/>
    <x v="5"/>
  </r>
  <r>
    <n v="305"/>
    <x v="239"/>
    <n v="1"/>
    <n v="2"/>
    <n v="2018"/>
    <n v="749.99"/>
    <x v="5"/>
  </r>
  <r>
    <n v="306"/>
    <x v="240"/>
    <n v="1"/>
    <n v="2"/>
    <n v="2018"/>
    <n v="899.99"/>
    <x v="5"/>
  </r>
  <r>
    <n v="307"/>
    <x v="227"/>
    <n v="1"/>
    <n v="2"/>
    <n v="2018"/>
    <n v="749.99"/>
    <x v="5"/>
  </r>
  <r>
    <n v="308"/>
    <x v="228"/>
    <n v="1"/>
    <n v="2"/>
    <n v="2018"/>
    <n v="749.99"/>
    <x v="5"/>
  </r>
  <r>
    <n v="309"/>
    <x v="241"/>
    <n v="1"/>
    <n v="2"/>
    <n v="2018"/>
    <n v="899.99"/>
    <x v="5"/>
  </r>
  <r>
    <n v="310"/>
    <x v="229"/>
    <n v="1"/>
    <n v="2"/>
    <n v="2018"/>
    <n v="899.99"/>
    <x v="5"/>
  </r>
  <r>
    <n v="311"/>
    <x v="230"/>
    <n v="1"/>
    <n v="2"/>
    <n v="2018"/>
    <n v="749.99"/>
    <x v="5"/>
  </r>
  <r>
    <n v="312"/>
    <x v="231"/>
    <n v="1"/>
    <n v="2"/>
    <n v="2018"/>
    <n v="699.99"/>
    <x v="5"/>
  </r>
  <r>
    <n v="313"/>
    <x v="284"/>
    <n v="1"/>
    <n v="2"/>
    <n v="2018"/>
    <n v="449.99"/>
    <x v="5"/>
  </r>
  <r>
    <n v="314"/>
    <x v="232"/>
    <n v="1"/>
    <n v="2"/>
    <n v="2018"/>
    <n v="679.99"/>
    <x v="5"/>
  </r>
  <r>
    <n v="315"/>
    <x v="233"/>
    <n v="1"/>
    <n v="2"/>
    <n v="2018"/>
    <n v="559.99"/>
    <x v="5"/>
  </r>
  <r>
    <n v="316"/>
    <x v="285"/>
    <n v="9"/>
    <n v="7"/>
    <n v="2019"/>
    <n v="1699.99"/>
    <x v="6"/>
  </r>
  <r>
    <n v="317"/>
    <x v="286"/>
    <n v="9"/>
    <n v="7"/>
    <n v="2019"/>
    <n v="1999.99"/>
    <x v="6"/>
  </r>
  <r>
    <n v="318"/>
    <x v="287"/>
    <n v="9"/>
    <n v="7"/>
    <n v="2019"/>
    <n v="1999.99"/>
    <x v="6"/>
  </r>
  <r>
    <n v="319"/>
    <x v="288"/>
    <n v="9"/>
    <n v="7"/>
    <n v="2019"/>
    <n v="2799.99"/>
    <x v="6"/>
  </r>
  <r>
    <n v="320"/>
    <x v="289"/>
    <n v="9"/>
    <n v="7"/>
    <n v="2019"/>
    <n v="3799.99"/>
    <x v="6"/>
  </r>
  <r>
    <n v="321"/>
    <x v="290"/>
    <n v="9"/>
    <n v="7"/>
    <n v="2019"/>
    <n v="3199.9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EA5D2-7125-473A-8594-8D54A5B052F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>
      <items count="292">
        <item x="242"/>
        <item x="76"/>
        <item x="65"/>
        <item x="77"/>
        <item x="243"/>
        <item x="244"/>
        <item x="202"/>
        <item x="12"/>
        <item x="209"/>
        <item x="211"/>
        <item x="207"/>
        <item x="216"/>
        <item x="210"/>
        <item x="217"/>
        <item x="218"/>
        <item x="69"/>
        <item x="219"/>
        <item x="212"/>
        <item x="220"/>
        <item x="213"/>
        <item x="221"/>
        <item x="70"/>
        <item x="222"/>
        <item x="266"/>
        <item x="223"/>
        <item x="214"/>
        <item x="13"/>
        <item x="20"/>
        <item x="71"/>
        <item x="72"/>
        <item x="267"/>
        <item x="224"/>
        <item x="182"/>
        <item x="225"/>
        <item x="14"/>
        <item x="208"/>
        <item x="90"/>
        <item x="204"/>
        <item x="226"/>
        <item x="268"/>
        <item x="91"/>
        <item x="269"/>
        <item x="270"/>
        <item x="271"/>
        <item x="272"/>
        <item x="206"/>
        <item x="92"/>
        <item x="93"/>
        <item x="205"/>
        <item x="273"/>
        <item x="274"/>
        <item x="275"/>
        <item x="276"/>
        <item x="277"/>
        <item x="203"/>
        <item x="278"/>
        <item x="94"/>
        <item x="95"/>
        <item x="239"/>
        <item x="245"/>
        <item x="246"/>
        <item x="240"/>
        <item x="227"/>
        <item x="228"/>
        <item x="241"/>
        <item x="229"/>
        <item x="230"/>
        <item x="231"/>
        <item x="189"/>
        <item x="190"/>
        <item x="183"/>
        <item x="186"/>
        <item x="283"/>
        <item x="284"/>
        <item x="11"/>
        <item x="201"/>
        <item x="215"/>
        <item x="232"/>
        <item x="233"/>
        <item x="234"/>
        <item x="235"/>
        <item x="21"/>
        <item x="59"/>
        <item x="15"/>
        <item x="236"/>
        <item x="19"/>
        <item x="237"/>
        <item x="279"/>
        <item x="280"/>
        <item x="281"/>
        <item x="282"/>
        <item x="238"/>
        <item x="80"/>
        <item x="32"/>
        <item x="33"/>
        <item x="36"/>
        <item x="87"/>
        <item x="88"/>
        <item x="89"/>
        <item x="39"/>
        <item x="40"/>
        <item x="41"/>
        <item x="122"/>
        <item x="4"/>
        <item x="128"/>
        <item x="16"/>
        <item x="17"/>
        <item x="18"/>
        <item x="1"/>
        <item x="248"/>
        <item x="249"/>
        <item x="250"/>
        <item x="66"/>
        <item x="67"/>
        <item x="73"/>
        <item x="74"/>
        <item x="68"/>
        <item x="75"/>
        <item x="63"/>
        <item x="99"/>
        <item x="64"/>
        <item x="100"/>
        <item x="101"/>
        <item x="102"/>
        <item x="55"/>
        <item x="60"/>
        <item x="79"/>
        <item x="61"/>
        <item x="62"/>
        <item x="30"/>
        <item x="97"/>
        <item x="96"/>
        <item x="98"/>
        <item x="22"/>
        <item x="117"/>
        <item x="152"/>
        <item x="119"/>
        <item x="158"/>
        <item x="5"/>
        <item x="25"/>
        <item x="23"/>
        <item x="115"/>
        <item x="112"/>
        <item x="48"/>
        <item x="154"/>
        <item x="118"/>
        <item x="47"/>
        <item x="9"/>
        <item x="159"/>
        <item x="10"/>
        <item x="155"/>
        <item x="31"/>
        <item x="113"/>
        <item x="26"/>
        <item x="2"/>
        <item x="28"/>
        <item x="156"/>
        <item x="0"/>
        <item x="103"/>
        <item x="197"/>
        <item x="57"/>
        <item x="198"/>
        <item x="58"/>
        <item x="78"/>
        <item x="285"/>
        <item x="286"/>
        <item x="287"/>
        <item x="290"/>
        <item x="288"/>
        <item x="289"/>
        <item x="8"/>
        <item x="176"/>
        <item x="199"/>
        <item x="200"/>
        <item x="149"/>
        <item x="161"/>
        <item x="177"/>
        <item x="169"/>
        <item x="157"/>
        <item x="170"/>
        <item x="171"/>
        <item x="134"/>
        <item x="135"/>
        <item x="142"/>
        <item x="136"/>
        <item x="138"/>
        <item x="163"/>
        <item x="164"/>
        <item x="54"/>
        <item x="50"/>
        <item x="172"/>
        <item x="173"/>
        <item x="143"/>
        <item x="174"/>
        <item x="44"/>
        <item x="162"/>
        <item x="175"/>
        <item x="144"/>
        <item x="139"/>
        <item x="49"/>
        <item x="147"/>
        <item x="148"/>
        <item x="137"/>
        <item x="51"/>
        <item x="168"/>
        <item x="145"/>
        <item x="140"/>
        <item x="146"/>
        <item x="165"/>
        <item x="166"/>
        <item x="181"/>
        <item x="150"/>
        <item x="43"/>
        <item x="52"/>
        <item x="153"/>
        <item x="141"/>
        <item x="151"/>
        <item x="160"/>
        <item x="27"/>
        <item x="114"/>
        <item x="37"/>
        <item x="129"/>
        <item x="111"/>
        <item x="3"/>
        <item x="106"/>
        <item x="133"/>
        <item x="38"/>
        <item x="35"/>
        <item x="81"/>
        <item x="253"/>
        <item x="116"/>
        <item x="110"/>
        <item x="184"/>
        <item x="180"/>
        <item x="167"/>
        <item x="53"/>
        <item x="104"/>
        <item x="105"/>
        <item x="107"/>
        <item x="247"/>
        <item x="178"/>
        <item x="191"/>
        <item x="192"/>
        <item x="193"/>
        <item x="194"/>
        <item x="56"/>
        <item x="82"/>
        <item x="254"/>
        <item x="83"/>
        <item x="252"/>
        <item x="84"/>
        <item x="255"/>
        <item x="85"/>
        <item x="256"/>
        <item x="257"/>
        <item x="258"/>
        <item x="259"/>
        <item x="260"/>
        <item x="86"/>
        <item x="261"/>
        <item x="262"/>
        <item x="263"/>
        <item x="264"/>
        <item x="123"/>
        <item x="127"/>
        <item x="124"/>
        <item x="125"/>
        <item x="7"/>
        <item x="130"/>
        <item x="42"/>
        <item x="131"/>
        <item x="29"/>
        <item x="45"/>
        <item x="46"/>
        <item x="6"/>
        <item x="34"/>
        <item x="132"/>
        <item x="121"/>
        <item x="195"/>
        <item x="196"/>
        <item x="251"/>
        <item x="265"/>
        <item x="108"/>
        <item x="187"/>
        <item x="188"/>
        <item x="120"/>
        <item x="24"/>
        <item x="109"/>
        <item x="126"/>
        <item x="185"/>
        <item x="179"/>
        <item t="default"/>
      </items>
    </pivotField>
    <pivotField showAll="0"/>
    <pivotField showAll="0"/>
    <pivotField showAll="0"/>
    <pivotField dataField="1"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is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5B7B3B-9B2F-48E5-A4AD-4559A2C212D3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47DDCF7-CF48-42C1-936A-8FAF07FAC638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18D47BA-CFE7-4759-B1D6-C87A4A37AB81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A6F60CF-31D4-452B-9587-302F8AD5595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1AE8E32-E942-4B39-A569-D2A3287AE0A6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07A3924-783B-4AA5-948B-3967A18AA504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F74141-16D4-40D8-99C0-1A2D61934973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2F96C79-4927-4A5B-A8AE-A138A0A1BC55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7DE8FE7-6E63-4B46-BB67-09144F1D7602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62C558-DFF2-4F2B-A034-DF70A846B548}" name="brands___brands" displayName="brands___brands" ref="A1:B10" tableType="queryTable" totalsRowShown="0">
  <autoFilter ref="A1:B10" xr:uid="{8B62C558-DFF2-4F2B-A034-DF70A846B548}"/>
  <tableColumns count="2">
    <tableColumn id="1" xr3:uid="{39681B74-687D-4ADF-9589-F4F2E07FCF81}" uniqueName="1" name="brand_id" queryTableFieldId="1"/>
    <tableColumn id="2" xr3:uid="{270905C8-BD33-4FC9-A95D-25CD9B3FFFB1}" uniqueName="2" name="brand_name" queryTableFieldId="2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90143-A27A-47EA-B30B-1467A7A63C32}" name="order_items___order_items" displayName="order_items___order_items" ref="A1:H1616" tableType="queryTable" totalsRowShown="0">
  <autoFilter ref="A1:H1616" xr:uid="{6E690143-A27A-47EA-B30B-1467A7A63C32}"/>
  <tableColumns count="8">
    <tableColumn id="1" xr3:uid="{A468B1EB-84FB-4697-A64D-BF25AD13F6B1}" uniqueName="1" name="order_id" queryTableFieldId="1"/>
    <tableColumn id="2" xr3:uid="{F0B8F10B-4503-4ED3-86F1-DB60B02D3C49}" uniqueName="2" name="item_id" queryTableFieldId="2"/>
    <tableColumn id="3" xr3:uid="{5DF32010-AE58-4353-94EA-D4488EE328BC}" uniqueName="3" name="product_id" queryTableFieldId="3"/>
    <tableColumn id="4" xr3:uid="{BEA76CCA-BB22-41BC-9A5C-5FA11C05952F}" uniqueName="4" name="quantity" queryTableFieldId="4" dataDxfId="27"/>
    <tableColumn id="5" xr3:uid="{64E2659B-A54F-4834-950B-0BFBD5695F72}" uniqueName="5" name="list_price" queryTableFieldId="5" dataDxfId="26"/>
    <tableColumn id="6" xr3:uid="{26EB3895-3663-4D76-9891-00C7DCBBBAB8}" uniqueName="6" name="discount" queryTableFieldId="6"/>
    <tableColumn id="7" xr3:uid="{E12E6A6E-403D-40DF-AD96-8623F080ED26}" uniqueName="7" name="Total price" queryTableFieldId="7" dataDxfId="25">
      <calculatedColumnFormula>E2*D2-F2</calculatedColumnFormula>
    </tableColumn>
    <tableColumn id="8" xr3:uid="{1323669E-5D5B-425D-93DE-38C8C047DF74}" uniqueName="8" name="product_name" queryTableFieldId="8" dataDxfId="24">
      <calculatedColumnFormula>VLOOKUP(C2,'products '!$A$1:$G$322,2,FALSE)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753FB-2BD3-468A-AB95-DFD4B3F99571}" name="stocks___stocks" displayName="stocks___stocks" ref="A1:C940" tableType="queryTable" totalsRowShown="0">
  <autoFilter ref="A1:C940" xr:uid="{115753FB-2BD3-468A-AB95-DFD4B3F99571}"/>
  <tableColumns count="3">
    <tableColumn id="1" xr3:uid="{C53F1CD6-D2DF-4BA8-8705-DC29191836F8}" uniqueName="1" name="store_id" queryTableFieldId="1"/>
    <tableColumn id="2" xr3:uid="{7FA2F0F7-5096-4EB8-92DF-3B17506AB921}" uniqueName="2" name="product_id" queryTableFieldId="2"/>
    <tableColumn id="3" xr3:uid="{32B100FD-5580-4136-8E90-860BE55EC848}" uniqueName="3" name="quantity" queryTableFieldId="3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ACD81-550C-4B66-899B-52F1C92FE986}" name="products___products" displayName="products___products" ref="A1:G322" tableType="queryTable" totalsRowShown="0">
  <autoFilter ref="A1:G322" xr:uid="{4EAACD81-550C-4B66-899B-52F1C92FE986}"/>
  <sortState xmlns:xlrd2="http://schemas.microsoft.com/office/spreadsheetml/2017/richdata2" ref="A2:G322">
    <sortCondition descending="1" ref="F1:F322"/>
  </sortState>
  <tableColumns count="7">
    <tableColumn id="1" xr3:uid="{7162E776-B7A4-4CC4-A756-FC8B618FBD2A}" uniqueName="1" name="product_id" queryTableFieldId="1"/>
    <tableColumn id="2" xr3:uid="{76D0BC2F-B0F3-42DB-9060-09C76F7425B9}" uniqueName="2" name="product_name" queryTableFieldId="2" dataDxfId="23"/>
    <tableColumn id="3" xr3:uid="{B0C0DB46-7B02-48D1-BB63-12B85CDC2391}" uniqueName="3" name="brand_id" queryTableFieldId="3"/>
    <tableColumn id="4" xr3:uid="{F853FE2B-CB9F-4E28-8C83-AE833E4F26F2}" uniqueName="4" name="category_id" queryTableFieldId="4"/>
    <tableColumn id="5" xr3:uid="{65ED3B6D-BF76-4286-9E0E-085B85E1C881}" uniqueName="5" name="model_year" queryTableFieldId="5"/>
    <tableColumn id="6" xr3:uid="{B29EE240-D9C2-4909-BB4F-98D2859FC266}" uniqueName="6" name="list_price" queryTableFieldId="6"/>
    <tableColumn id="7" xr3:uid="{8C67F5C5-3DDB-46C9-BDB2-FF0BF6229F63}" uniqueName="7" name="category_name" queryTableFieldId="7" dataDxfId="22">
      <calculatedColumnFormula>VLOOKUP(D2,categories!$A$1:$B$8,2,FALSE)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DF08C4-AFBF-4177-9CA2-A9E47281AA30}" name="stores___stores" displayName="stores___stores" ref="A1:H4" tableType="queryTable" totalsRowShown="0">
  <autoFilter ref="A1:H4" xr:uid="{D2DF08C4-AFBF-4177-9CA2-A9E47281AA30}"/>
  <tableColumns count="8">
    <tableColumn id="1" xr3:uid="{F44D2860-0040-43E1-8F98-D1D072AE285D}" uniqueName="1" name="store_id" queryTableFieldId="1"/>
    <tableColumn id="2" xr3:uid="{41AC2039-CBBF-415A-AFD7-4DF840E3C7A7}" uniqueName="2" name="store_name" queryTableFieldId="2" dataDxfId="21"/>
    <tableColumn id="3" xr3:uid="{D019991E-69F1-4055-95D4-0A40949882F4}" uniqueName="3" name="phone" queryTableFieldId="3" dataDxfId="20"/>
    <tableColumn id="4" xr3:uid="{6C065881-0BD5-415D-9E60-084C2D6D935B}" uniqueName="4" name="email" queryTableFieldId="4" dataDxfId="19"/>
    <tableColumn id="5" xr3:uid="{59BF4D9D-8CB5-4B45-BAC0-77DD3C8BBE3B}" uniqueName="5" name="street" queryTableFieldId="5" dataDxfId="18"/>
    <tableColumn id="6" xr3:uid="{D0DE13E0-FF08-411B-BB60-ED831F36C6A8}" uniqueName="6" name="city" queryTableFieldId="6" dataDxfId="17"/>
    <tableColumn id="7" xr3:uid="{CCF35A3F-2F29-4AA4-8527-7680E4A046E5}" uniqueName="7" name="state" queryTableFieldId="7" dataDxfId="16"/>
    <tableColumn id="8" xr3:uid="{2BE7A66D-B413-4DEB-83FC-B36CB620D9CA}" uniqueName="8" name="zip_code" queryTableFieldId="8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581195-F1BA-4AC5-931B-E5E2E373BED7}" name="staffs___staffs" displayName="staffs___staffs" ref="A1:H11" tableType="queryTable" totalsRowShown="0">
  <autoFilter ref="A1:H11" xr:uid="{97581195-F1BA-4AC5-931B-E5E2E373BED7}"/>
  <tableColumns count="8">
    <tableColumn id="1" xr3:uid="{FC602F1F-7CF5-46FD-9259-C87F2760A16A}" uniqueName="1" name="staff_id" queryTableFieldId="1"/>
    <tableColumn id="2" xr3:uid="{E92133CF-333B-4820-AFE0-505343035CE0}" uniqueName="2" name="first_name" queryTableFieldId="2" dataDxfId="15"/>
    <tableColumn id="3" xr3:uid="{CEA37FEA-BE22-4C39-9FA3-49939523230B}" uniqueName="3" name="last_name" queryTableFieldId="3" dataDxfId="14"/>
    <tableColumn id="4" xr3:uid="{4FC61A3E-D468-481C-A4A1-8BC5B34FDF3B}" uniqueName="4" name="email" queryTableFieldId="4" dataDxfId="13"/>
    <tableColumn id="5" xr3:uid="{0CBA3C5E-1A6D-442F-BA23-EA8199F259C6}" uniqueName="5" name="phone" queryTableFieldId="5" dataDxfId="12"/>
    <tableColumn id="6" xr3:uid="{033F29A3-0EF8-4C7E-B573-A9C31C25ECA5}" uniqueName="6" name="active" queryTableFieldId="6"/>
    <tableColumn id="7" xr3:uid="{09190C15-CFEA-4D92-AEBF-ADFD719642E4}" uniqueName="7" name="store_id" queryTableFieldId="7"/>
    <tableColumn id="8" xr3:uid="{CDA470F3-B420-42DF-850E-3D13C04DD425}" uniqueName="8" name="manager_id" queryTableFieldId="8" dataDxfId="11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299919-CE9F-4263-BDC7-C976FBECB3CF}" name="customers___customers" displayName="customers___customers" ref="A1:I1446" tableType="queryTable" totalsRowShown="0">
  <autoFilter ref="A1:I1446" xr:uid="{5C299919-CE9F-4263-BDC7-C976FBECB3CF}"/>
  <tableColumns count="9">
    <tableColumn id="1" xr3:uid="{101DC84B-20C9-4669-832A-BA3E204D86B3}" uniqueName="1" name="customer_id" queryTableFieldId="1"/>
    <tableColumn id="2" xr3:uid="{1108A251-EFA2-4B2C-878F-5DFB09311724}" uniqueName="2" name="first_name" queryTableFieldId="2" dataDxfId="10"/>
    <tableColumn id="3" xr3:uid="{35B09E0C-57B8-42F6-A6E0-3846813E7B5B}" uniqueName="3" name="last_name" queryTableFieldId="3" dataDxfId="9"/>
    <tableColumn id="4" xr3:uid="{FA427727-E421-41ED-9B6F-9692623962A5}" uniqueName="4" name="phone" queryTableFieldId="4" dataDxfId="8"/>
    <tableColumn id="5" xr3:uid="{E98B4DC7-51E2-4EE5-B723-A416409EF68F}" uniqueName="5" name="email" queryTableFieldId="5" dataDxfId="7"/>
    <tableColumn id="6" xr3:uid="{91C2E0F9-489A-499C-8D8D-1F8E4BFCE0A4}" uniqueName="6" name="street" queryTableFieldId="6" dataDxfId="6"/>
    <tableColumn id="7" xr3:uid="{E92D6669-DD0B-4F9D-85CD-DC690FDED57A}" uniqueName="7" name="city" queryTableFieldId="7" dataDxfId="5"/>
    <tableColumn id="8" xr3:uid="{6444063D-6AC5-41B6-AAEC-FBF29B6BFB57}" uniqueName="8" name="state" queryTableFieldId="8" dataDxfId="4"/>
    <tableColumn id="9" xr3:uid="{C36025A8-525A-4FD2-BA8B-FAFBAAA9CDE5}" uniqueName="9" name="zip_code" queryTableFieldId="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22209B-36D2-4BAD-86FD-E68354B7F402}" name="orders___orders" displayName="orders___orders" ref="A1:H1616" tableType="queryTable" totalsRowShown="0">
  <autoFilter ref="A1:H1616" xr:uid="{4322209B-36D2-4BAD-86FD-E68354B7F402}"/>
  <tableColumns count="8">
    <tableColumn id="1" xr3:uid="{997B1589-EAA6-4DE9-A221-AC4236E5305E}" uniqueName="1" name="order_id" queryTableFieldId="1"/>
    <tableColumn id="2" xr3:uid="{9E296FE4-A604-4F54-80CB-652F848A6EEE}" uniqueName="2" name="customer_id" queryTableFieldId="2"/>
    <tableColumn id="3" xr3:uid="{0F863D42-6FD8-4AC2-9C6E-D405ED3ED0D5}" uniqueName="3" name="order_status" queryTableFieldId="3"/>
    <tableColumn id="4" xr3:uid="{36D547B7-55CB-4FB7-895D-C61CEC258FB7}" uniqueName="4" name="order_date" queryTableFieldId="4" dataDxfId="31"/>
    <tableColumn id="5" xr3:uid="{51AC05FF-FAC0-4CBE-B56A-205026EDFB2A}" uniqueName="5" name="required_date" queryTableFieldId="5" dataDxfId="30"/>
    <tableColumn id="6" xr3:uid="{A19BC291-486A-4852-9AE9-57E04967A128}" uniqueName="6" name="shipped_date" queryTableFieldId="6" dataDxfId="29"/>
    <tableColumn id="7" xr3:uid="{65A1AB6C-E190-4B36-84DD-1249DE9A8E0E}" uniqueName="7" name="store_id" queryTableFieldId="7"/>
    <tableColumn id="8" xr3:uid="{A823C710-A83A-493E-A20C-5622061259D5}" uniqueName="8" name="staff_id" queryTableFieldId="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F643B4-CE5D-46D4-B736-F8E68BECA0DD}" name="categories___categories" displayName="categories___categories" ref="A1:B8" tableType="queryTable" totalsRowShown="0">
  <autoFilter ref="A1:B8" xr:uid="{67F643B4-CE5D-46D4-B736-F8E68BECA0DD}"/>
  <tableColumns count="2">
    <tableColumn id="1" xr3:uid="{6FF2F7BD-2C89-488C-B96E-0454DE2E972F}" uniqueName="1" name="category_id" queryTableFieldId="1"/>
    <tableColumn id="2" xr3:uid="{51DE850A-C943-4DA2-B620-78CE11C1D8BF}" uniqueName="2" name="category_name" queryTableFieldId="2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5FD1-0ECC-47BB-863F-594E06F3D0CB}">
  <dimension ref="A1:B10"/>
  <sheetViews>
    <sheetView workbookViewId="0"/>
  </sheetViews>
  <sheetFormatPr defaultRowHeight="14.4" x14ac:dyDescent="0.3"/>
  <cols>
    <col min="1" max="1" width="10.5546875" bestFit="1" customWidth="1"/>
    <col min="2" max="2" width="13.5546875" bestFit="1" customWidth="1"/>
  </cols>
  <sheetData>
    <row r="1" spans="1:2" x14ac:dyDescent="0.3">
      <c r="A1" t="s">
        <v>4</v>
      </c>
      <c r="B1" t="s">
        <v>6272</v>
      </c>
    </row>
    <row r="2" spans="1:2" x14ac:dyDescent="0.3">
      <c r="A2">
        <v>1</v>
      </c>
      <c r="B2" t="s">
        <v>6273</v>
      </c>
    </row>
    <row r="3" spans="1:2" x14ac:dyDescent="0.3">
      <c r="A3">
        <v>2</v>
      </c>
      <c r="B3" t="s">
        <v>6274</v>
      </c>
    </row>
    <row r="4" spans="1:2" x14ac:dyDescent="0.3">
      <c r="A4">
        <v>3</v>
      </c>
      <c r="B4" t="s">
        <v>6275</v>
      </c>
    </row>
    <row r="5" spans="1:2" x14ac:dyDescent="0.3">
      <c r="A5">
        <v>4</v>
      </c>
      <c r="B5" t="s">
        <v>6276</v>
      </c>
    </row>
    <row r="6" spans="1:2" x14ac:dyDescent="0.3">
      <c r="A6">
        <v>5</v>
      </c>
      <c r="B6" t="s">
        <v>6277</v>
      </c>
    </row>
    <row r="7" spans="1:2" x14ac:dyDescent="0.3">
      <c r="A7">
        <v>6</v>
      </c>
      <c r="B7" t="s">
        <v>6278</v>
      </c>
    </row>
    <row r="8" spans="1:2" x14ac:dyDescent="0.3">
      <c r="A8">
        <v>7</v>
      </c>
      <c r="B8" t="s">
        <v>6279</v>
      </c>
    </row>
    <row r="9" spans="1:2" x14ac:dyDescent="0.3">
      <c r="A9">
        <v>8</v>
      </c>
      <c r="B9" t="s">
        <v>6280</v>
      </c>
    </row>
    <row r="10" spans="1:2" x14ac:dyDescent="0.3">
      <c r="A10">
        <v>9</v>
      </c>
      <c r="B10" t="s">
        <v>6281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667B-0E47-4012-BFD5-8D420E05B2B5}">
  <dimension ref="A1:H1616"/>
  <sheetViews>
    <sheetView workbookViewId="0">
      <selection activeCell="L22" sqref="L22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12.21875" bestFit="1" customWidth="1"/>
    <col min="4" max="4" width="10.109375" bestFit="1" customWidth="1"/>
    <col min="5" max="5" width="11" bestFit="1" customWidth="1"/>
    <col min="6" max="6" width="10.44140625" bestFit="1" customWidth="1"/>
    <col min="7" max="7" width="14.5546875" customWidth="1"/>
    <col min="8" max="8" width="48.109375" customWidth="1"/>
  </cols>
  <sheetData>
    <row r="1" spans="1:8" x14ac:dyDescent="0.3">
      <c r="A1" t="s">
        <v>299</v>
      </c>
      <c r="B1" t="s">
        <v>300</v>
      </c>
      <c r="C1" t="s">
        <v>1</v>
      </c>
      <c r="D1" t="s">
        <v>2</v>
      </c>
      <c r="E1" t="s">
        <v>7</v>
      </c>
      <c r="F1" t="s">
        <v>301</v>
      </c>
      <c r="G1" t="s">
        <v>6295</v>
      </c>
      <c r="H1" t="s">
        <v>3</v>
      </c>
    </row>
    <row r="2" spans="1:8" x14ac:dyDescent="0.3">
      <c r="A2">
        <v>1</v>
      </c>
      <c r="B2">
        <v>1</v>
      </c>
      <c r="C2">
        <v>20</v>
      </c>
      <c r="D2" s="2">
        <v>1</v>
      </c>
      <c r="E2" s="2">
        <v>599.99</v>
      </c>
      <c r="F2">
        <v>0.2</v>
      </c>
      <c r="G2">
        <f>E2*D2-F2</f>
        <v>599.79</v>
      </c>
      <c r="H2" t="str">
        <f>VLOOKUP(C2,'products '!$A$1:$G$322,2,FALSE)</f>
        <v>Electra Townie Original 7D EQ - Women's - 2016</v>
      </c>
    </row>
    <row r="3" spans="1:8" x14ac:dyDescent="0.3">
      <c r="A3">
        <v>2</v>
      </c>
      <c r="B3">
        <v>1</v>
      </c>
      <c r="C3">
        <v>20</v>
      </c>
      <c r="D3" s="2">
        <v>1</v>
      </c>
      <c r="E3" s="2">
        <v>599.99</v>
      </c>
      <c r="F3">
        <v>7.0000000000000007E-2</v>
      </c>
      <c r="G3">
        <f t="shared" ref="G3:G66" si="0">E3*D3-F3</f>
        <v>599.91999999999996</v>
      </c>
      <c r="H3" t="str">
        <f>VLOOKUP(C3,'products '!$A$1:$G$322,2,FALSE)</f>
        <v>Electra Townie Original 7D EQ - Women's - 2016</v>
      </c>
    </row>
    <row r="4" spans="1:8" x14ac:dyDescent="0.3">
      <c r="A4">
        <v>3</v>
      </c>
      <c r="B4">
        <v>1</v>
      </c>
      <c r="C4">
        <v>3</v>
      </c>
      <c r="D4" s="2">
        <v>1</v>
      </c>
      <c r="E4" s="2">
        <v>999.99</v>
      </c>
      <c r="F4">
        <v>0.05</v>
      </c>
      <c r="G4">
        <f t="shared" si="0"/>
        <v>999.94</v>
      </c>
      <c r="H4" t="str">
        <f>VLOOKUP(C4,'products '!$A$1:$G$322,2,FALSE)</f>
        <v>Surly Wednesday Frameset - 2016</v>
      </c>
    </row>
    <row r="5" spans="1:8" x14ac:dyDescent="0.3">
      <c r="A5">
        <v>4</v>
      </c>
      <c r="B5">
        <v>1</v>
      </c>
      <c r="C5">
        <v>2</v>
      </c>
      <c r="D5" s="2">
        <v>2</v>
      </c>
      <c r="E5" s="2">
        <v>749.99</v>
      </c>
      <c r="F5">
        <v>0.1</v>
      </c>
      <c r="G5">
        <f t="shared" si="0"/>
        <v>1499.88</v>
      </c>
      <c r="H5" t="str">
        <f>VLOOKUP(C5,'products '!$A$1:$G$322,2,FALSE)</f>
        <v>Ritchey Timberwolf Frameset - 2016</v>
      </c>
    </row>
    <row r="6" spans="1:8" x14ac:dyDescent="0.3">
      <c r="A6">
        <v>5</v>
      </c>
      <c r="B6">
        <v>1</v>
      </c>
      <c r="C6">
        <v>10</v>
      </c>
      <c r="D6" s="2">
        <v>2</v>
      </c>
      <c r="E6" s="2">
        <v>1549</v>
      </c>
      <c r="F6">
        <v>0.05</v>
      </c>
      <c r="G6">
        <f t="shared" si="0"/>
        <v>3097.95</v>
      </c>
      <c r="H6" t="str">
        <f>VLOOKUP(C6,'products '!$A$1:$G$322,2,FALSE)</f>
        <v>Surly Straggler - 2016</v>
      </c>
    </row>
    <row r="7" spans="1:8" x14ac:dyDescent="0.3">
      <c r="A7">
        <v>6</v>
      </c>
      <c r="B7">
        <v>1</v>
      </c>
      <c r="C7">
        <v>18</v>
      </c>
      <c r="D7" s="2">
        <v>1</v>
      </c>
      <c r="E7" s="2">
        <v>449</v>
      </c>
      <c r="F7">
        <v>7.0000000000000007E-2</v>
      </c>
      <c r="G7">
        <f t="shared" si="0"/>
        <v>448.93</v>
      </c>
      <c r="H7" t="str">
        <f>VLOOKUP(C7,'products '!$A$1:$G$322,2,FALSE)</f>
        <v>Pure Cycles Western 3-Speed - Women's - 2015/2016</v>
      </c>
    </row>
    <row r="8" spans="1:8" x14ac:dyDescent="0.3">
      <c r="A8">
        <v>7</v>
      </c>
      <c r="B8">
        <v>1</v>
      </c>
      <c r="C8">
        <v>15</v>
      </c>
      <c r="D8" s="2">
        <v>1</v>
      </c>
      <c r="E8" s="2">
        <v>529.99</v>
      </c>
      <c r="F8">
        <v>7.0000000000000007E-2</v>
      </c>
      <c r="G8">
        <f t="shared" si="0"/>
        <v>529.91999999999996</v>
      </c>
      <c r="H8" t="str">
        <f>VLOOKUP(C8,'products '!$A$1:$G$322,2,FALSE)</f>
        <v>Electra Moto 1 - 2016</v>
      </c>
    </row>
    <row r="9" spans="1:8" x14ac:dyDescent="0.3">
      <c r="A9">
        <v>8</v>
      </c>
      <c r="B9">
        <v>1</v>
      </c>
      <c r="C9">
        <v>22</v>
      </c>
      <c r="D9" s="2">
        <v>1</v>
      </c>
      <c r="E9" s="2">
        <v>269.99</v>
      </c>
      <c r="F9">
        <v>0.05</v>
      </c>
      <c r="G9">
        <f t="shared" si="0"/>
        <v>269.94</v>
      </c>
      <c r="H9" t="str">
        <f>VLOOKUP(C9,'products '!$A$1:$G$322,2,FALSE)</f>
        <v>Electra Girl's Hawaii 1 (16-inch) - 2015/2016</v>
      </c>
    </row>
    <row r="10" spans="1:8" x14ac:dyDescent="0.3">
      <c r="A10">
        <v>9</v>
      </c>
      <c r="B10">
        <v>1</v>
      </c>
      <c r="C10">
        <v>7</v>
      </c>
      <c r="D10" s="2">
        <v>2</v>
      </c>
      <c r="E10" s="2">
        <v>3999.99</v>
      </c>
      <c r="F10">
        <v>0.1</v>
      </c>
      <c r="G10">
        <f t="shared" si="0"/>
        <v>7999.8799999999992</v>
      </c>
      <c r="H10" t="str">
        <f>VLOOKUP(C10,'products '!$A$1:$G$322,2,FALSE)</f>
        <v>Trek Slash 8 27.5 - 2016</v>
      </c>
    </row>
    <row r="11" spans="1:8" x14ac:dyDescent="0.3">
      <c r="A11">
        <v>10</v>
      </c>
      <c r="B11">
        <v>1</v>
      </c>
      <c r="C11">
        <v>14</v>
      </c>
      <c r="D11" s="2">
        <v>1</v>
      </c>
      <c r="E11" s="2">
        <v>269.99</v>
      </c>
      <c r="F11">
        <v>0.1</v>
      </c>
      <c r="G11">
        <f t="shared" si="0"/>
        <v>269.89</v>
      </c>
      <c r="H11" t="str">
        <f>VLOOKUP(C11,'products '!$A$1:$G$322,2,FALSE)</f>
        <v>Electra Girl's Hawaii 1 (16-inch) - 2015/2016</v>
      </c>
    </row>
    <row r="12" spans="1:8" x14ac:dyDescent="0.3">
      <c r="A12">
        <v>11</v>
      </c>
      <c r="B12">
        <v>1</v>
      </c>
      <c r="C12">
        <v>8</v>
      </c>
      <c r="D12" s="2">
        <v>1</v>
      </c>
      <c r="E12" s="2">
        <v>1799.99</v>
      </c>
      <c r="F12">
        <v>0.05</v>
      </c>
      <c r="G12">
        <f t="shared" si="0"/>
        <v>1799.94</v>
      </c>
      <c r="H12" t="str">
        <f>VLOOKUP(C12,'products '!$A$1:$G$322,2,FALSE)</f>
        <v>Trek Remedy 29 Carbon Frameset - 2016</v>
      </c>
    </row>
    <row r="13" spans="1:8" x14ac:dyDescent="0.3">
      <c r="A13">
        <v>12</v>
      </c>
      <c r="B13">
        <v>1</v>
      </c>
      <c r="C13">
        <v>4</v>
      </c>
      <c r="D13" s="2">
        <v>2</v>
      </c>
      <c r="E13" s="2">
        <v>2899.99</v>
      </c>
      <c r="F13">
        <v>0.1</v>
      </c>
      <c r="G13">
        <f t="shared" si="0"/>
        <v>5799.8799999999992</v>
      </c>
      <c r="H13" t="str">
        <f>VLOOKUP(C13,'products '!$A$1:$G$322,2,FALSE)</f>
        <v>Trek Fuel EX 8 29 - 2016</v>
      </c>
    </row>
    <row r="14" spans="1:8" x14ac:dyDescent="0.3">
      <c r="A14">
        <v>13</v>
      </c>
      <c r="B14">
        <v>1</v>
      </c>
      <c r="C14">
        <v>13</v>
      </c>
      <c r="D14" s="2">
        <v>1</v>
      </c>
      <c r="E14" s="2">
        <v>269.99</v>
      </c>
      <c r="F14">
        <v>0.1</v>
      </c>
      <c r="G14">
        <f t="shared" si="0"/>
        <v>269.89</v>
      </c>
      <c r="H14" t="str">
        <f>VLOOKUP(C14,'products '!$A$1:$G$322,2,FALSE)</f>
        <v>Electra Cruiser 1 (24-Inch) - 2016</v>
      </c>
    </row>
    <row r="15" spans="1:8" x14ac:dyDescent="0.3">
      <c r="A15">
        <v>14</v>
      </c>
      <c r="B15">
        <v>1</v>
      </c>
      <c r="C15">
        <v>6</v>
      </c>
      <c r="D15" s="2">
        <v>1</v>
      </c>
      <c r="E15" s="2">
        <v>469.99</v>
      </c>
      <c r="F15">
        <v>7.0000000000000007E-2</v>
      </c>
      <c r="G15">
        <f t="shared" si="0"/>
        <v>469.92</v>
      </c>
      <c r="H15" t="str">
        <f>VLOOKUP(C15,'products '!$A$1:$G$322,2,FALSE)</f>
        <v>Surly Ice Cream Truck Frameset - 2016</v>
      </c>
    </row>
    <row r="16" spans="1:8" x14ac:dyDescent="0.3">
      <c r="A16">
        <v>15</v>
      </c>
      <c r="B16">
        <v>1</v>
      </c>
      <c r="C16">
        <v>12</v>
      </c>
      <c r="D16" s="2">
        <v>2</v>
      </c>
      <c r="E16" s="2">
        <v>549.99</v>
      </c>
      <c r="F16">
        <v>7.0000000000000007E-2</v>
      </c>
      <c r="G16">
        <f t="shared" si="0"/>
        <v>1099.9100000000001</v>
      </c>
      <c r="H16" t="str">
        <f>VLOOKUP(C16,'products '!$A$1:$G$322,2,FALSE)</f>
        <v>Electra Townie Original 21D - 2016</v>
      </c>
    </row>
    <row r="17" spans="1:8" x14ac:dyDescent="0.3">
      <c r="A17">
        <v>16</v>
      </c>
      <c r="B17">
        <v>1</v>
      </c>
      <c r="C17">
        <v>8</v>
      </c>
      <c r="D17" s="2">
        <v>1</v>
      </c>
      <c r="E17" s="2">
        <v>1799.99</v>
      </c>
      <c r="F17">
        <v>0.2</v>
      </c>
      <c r="G17">
        <f t="shared" si="0"/>
        <v>1799.79</v>
      </c>
      <c r="H17" t="str">
        <f>VLOOKUP(C17,'products '!$A$1:$G$322,2,FALSE)</f>
        <v>Trek Remedy 29 Carbon Frameset - 2016</v>
      </c>
    </row>
    <row r="18" spans="1:8" x14ac:dyDescent="0.3">
      <c r="A18">
        <v>17</v>
      </c>
      <c r="B18">
        <v>1</v>
      </c>
      <c r="C18">
        <v>8</v>
      </c>
      <c r="D18" s="2">
        <v>1</v>
      </c>
      <c r="E18" s="2">
        <v>1799.99</v>
      </c>
      <c r="F18">
        <v>7.0000000000000007E-2</v>
      </c>
      <c r="G18">
        <f t="shared" si="0"/>
        <v>1799.92</v>
      </c>
      <c r="H18" t="str">
        <f>VLOOKUP(C18,'products '!$A$1:$G$322,2,FALSE)</f>
        <v>Trek Remedy 29 Carbon Frameset - 2016</v>
      </c>
    </row>
    <row r="19" spans="1:8" x14ac:dyDescent="0.3">
      <c r="A19">
        <v>18</v>
      </c>
      <c r="B19">
        <v>1</v>
      </c>
      <c r="C19">
        <v>2</v>
      </c>
      <c r="D19" s="2">
        <v>2</v>
      </c>
      <c r="E19" s="2">
        <v>749.99</v>
      </c>
      <c r="F19">
        <v>0.2</v>
      </c>
      <c r="G19">
        <f t="shared" si="0"/>
        <v>1499.78</v>
      </c>
      <c r="H19" t="str">
        <f>VLOOKUP(C19,'products '!$A$1:$G$322,2,FALSE)</f>
        <v>Ritchey Timberwolf Frameset - 2016</v>
      </c>
    </row>
    <row r="20" spans="1:8" x14ac:dyDescent="0.3">
      <c r="A20">
        <v>19</v>
      </c>
      <c r="B20">
        <v>1</v>
      </c>
      <c r="C20">
        <v>10</v>
      </c>
      <c r="D20" s="2">
        <v>1</v>
      </c>
      <c r="E20" s="2">
        <v>1549</v>
      </c>
      <c r="F20">
        <v>7.0000000000000007E-2</v>
      </c>
      <c r="G20">
        <f t="shared" si="0"/>
        <v>1548.93</v>
      </c>
      <c r="H20" t="str">
        <f>VLOOKUP(C20,'products '!$A$1:$G$322,2,FALSE)</f>
        <v>Surly Straggler - 2016</v>
      </c>
    </row>
    <row r="21" spans="1:8" x14ac:dyDescent="0.3">
      <c r="A21">
        <v>20</v>
      </c>
      <c r="B21">
        <v>1</v>
      </c>
      <c r="C21">
        <v>9</v>
      </c>
      <c r="D21" s="2">
        <v>1</v>
      </c>
      <c r="E21" s="2">
        <v>2999.99</v>
      </c>
      <c r="F21">
        <v>7.0000000000000007E-2</v>
      </c>
      <c r="G21">
        <f t="shared" si="0"/>
        <v>2999.9199999999996</v>
      </c>
      <c r="H21" t="str">
        <f>VLOOKUP(C21,'products '!$A$1:$G$322,2,FALSE)</f>
        <v>Trek Conduit+ - 2016</v>
      </c>
    </row>
    <row r="22" spans="1:8" x14ac:dyDescent="0.3">
      <c r="A22">
        <v>21</v>
      </c>
      <c r="B22">
        <v>1</v>
      </c>
      <c r="C22">
        <v>14</v>
      </c>
      <c r="D22" s="2">
        <v>1</v>
      </c>
      <c r="E22" s="2">
        <v>269.99</v>
      </c>
      <c r="F22">
        <v>0.05</v>
      </c>
      <c r="G22">
        <f t="shared" si="0"/>
        <v>269.94</v>
      </c>
      <c r="H22" t="str">
        <f>VLOOKUP(C22,'products '!$A$1:$G$322,2,FALSE)</f>
        <v>Electra Girl's Hawaii 1 (16-inch) - 2015/2016</v>
      </c>
    </row>
    <row r="23" spans="1:8" x14ac:dyDescent="0.3">
      <c r="A23">
        <v>22</v>
      </c>
      <c r="B23">
        <v>1</v>
      </c>
      <c r="C23">
        <v>15</v>
      </c>
      <c r="D23" s="2">
        <v>2</v>
      </c>
      <c r="E23" s="2">
        <v>529.99</v>
      </c>
      <c r="F23">
        <v>0.2</v>
      </c>
      <c r="G23">
        <f t="shared" si="0"/>
        <v>1059.78</v>
      </c>
      <c r="H23" t="str">
        <f>VLOOKUP(C23,'products '!$A$1:$G$322,2,FALSE)</f>
        <v>Electra Moto 1 - 2016</v>
      </c>
    </row>
    <row r="24" spans="1:8" x14ac:dyDescent="0.3">
      <c r="A24">
        <v>23</v>
      </c>
      <c r="B24">
        <v>1</v>
      </c>
      <c r="C24">
        <v>4</v>
      </c>
      <c r="D24" s="2">
        <v>2</v>
      </c>
      <c r="E24" s="2">
        <v>2899.99</v>
      </c>
      <c r="F24">
        <v>0.05</v>
      </c>
      <c r="G24">
        <f t="shared" si="0"/>
        <v>5799.9299999999994</v>
      </c>
      <c r="H24" t="str">
        <f>VLOOKUP(C24,'products '!$A$1:$G$322,2,FALSE)</f>
        <v>Trek Fuel EX 8 29 - 2016</v>
      </c>
    </row>
    <row r="25" spans="1:8" x14ac:dyDescent="0.3">
      <c r="A25">
        <v>24</v>
      </c>
      <c r="B25">
        <v>1</v>
      </c>
      <c r="C25">
        <v>3</v>
      </c>
      <c r="D25" s="2">
        <v>2</v>
      </c>
      <c r="E25" s="2">
        <v>999.99</v>
      </c>
      <c r="F25">
        <v>0.1</v>
      </c>
      <c r="G25">
        <f t="shared" si="0"/>
        <v>1999.88</v>
      </c>
      <c r="H25" t="str">
        <f>VLOOKUP(C25,'products '!$A$1:$G$322,2,FALSE)</f>
        <v>Surly Wednesday Frameset - 2016</v>
      </c>
    </row>
    <row r="26" spans="1:8" x14ac:dyDescent="0.3">
      <c r="A26">
        <v>25</v>
      </c>
      <c r="B26">
        <v>1</v>
      </c>
      <c r="C26">
        <v>23</v>
      </c>
      <c r="D26" s="2">
        <v>2</v>
      </c>
      <c r="E26" s="2">
        <v>299.99</v>
      </c>
      <c r="F26">
        <v>0.2</v>
      </c>
      <c r="G26">
        <f t="shared" si="0"/>
        <v>599.78</v>
      </c>
      <c r="H26" t="str">
        <f>VLOOKUP(C26,'products '!$A$1:$G$322,2,FALSE)</f>
        <v>Electra Girl's Hawaii 1 (20-inch) - 2015/2016</v>
      </c>
    </row>
    <row r="27" spans="1:8" x14ac:dyDescent="0.3">
      <c r="A27">
        <v>26</v>
      </c>
      <c r="B27">
        <v>1</v>
      </c>
      <c r="C27">
        <v>7</v>
      </c>
      <c r="D27" s="2">
        <v>1</v>
      </c>
      <c r="E27" s="2">
        <v>3999.99</v>
      </c>
      <c r="F27">
        <v>0.05</v>
      </c>
      <c r="G27">
        <f t="shared" si="0"/>
        <v>3999.9399999999996</v>
      </c>
      <c r="H27" t="str">
        <f>VLOOKUP(C27,'products '!$A$1:$G$322,2,FALSE)</f>
        <v>Trek Slash 8 27.5 - 2016</v>
      </c>
    </row>
    <row r="28" spans="1:8" x14ac:dyDescent="0.3">
      <c r="A28">
        <v>27</v>
      </c>
      <c r="B28">
        <v>1</v>
      </c>
      <c r="C28">
        <v>5</v>
      </c>
      <c r="D28" s="2">
        <v>1</v>
      </c>
      <c r="E28" s="2">
        <v>1320.99</v>
      </c>
      <c r="F28">
        <v>0.2</v>
      </c>
      <c r="G28">
        <f t="shared" si="0"/>
        <v>1320.79</v>
      </c>
      <c r="H28" t="str">
        <f>VLOOKUP(C28,'products '!$A$1:$G$322,2,FALSE)</f>
        <v>Heller Shagamaw Frame - 2016</v>
      </c>
    </row>
    <row r="29" spans="1:8" x14ac:dyDescent="0.3">
      <c r="A29">
        <v>28</v>
      </c>
      <c r="B29">
        <v>1</v>
      </c>
      <c r="C29">
        <v>5</v>
      </c>
      <c r="D29" s="2">
        <v>1</v>
      </c>
      <c r="E29" s="2">
        <v>1320.99</v>
      </c>
      <c r="F29">
        <v>0.05</v>
      </c>
      <c r="G29">
        <f t="shared" si="0"/>
        <v>1320.94</v>
      </c>
      <c r="H29" t="str">
        <f>VLOOKUP(C29,'products '!$A$1:$G$322,2,FALSE)</f>
        <v>Heller Shagamaw Frame - 2016</v>
      </c>
    </row>
    <row r="30" spans="1:8" x14ac:dyDescent="0.3">
      <c r="A30">
        <v>29</v>
      </c>
      <c r="B30">
        <v>1</v>
      </c>
      <c r="C30">
        <v>24</v>
      </c>
      <c r="D30" s="2">
        <v>2</v>
      </c>
      <c r="E30" s="2">
        <v>549.99</v>
      </c>
      <c r="F30">
        <v>0.05</v>
      </c>
      <c r="G30">
        <f t="shared" si="0"/>
        <v>1099.93</v>
      </c>
      <c r="H30" t="str">
        <f>VLOOKUP(C30,'products '!$A$1:$G$322,2,FALSE)</f>
        <v>Electra Townie Original 21D - 2016</v>
      </c>
    </row>
    <row r="31" spans="1:8" x14ac:dyDescent="0.3">
      <c r="A31">
        <v>30</v>
      </c>
      <c r="B31">
        <v>1</v>
      </c>
      <c r="C31">
        <v>26</v>
      </c>
      <c r="D31" s="2">
        <v>1</v>
      </c>
      <c r="E31" s="2">
        <v>599.99</v>
      </c>
      <c r="F31">
        <v>0.05</v>
      </c>
      <c r="G31">
        <f t="shared" si="0"/>
        <v>599.94000000000005</v>
      </c>
      <c r="H31" t="str">
        <f>VLOOKUP(C31,'products '!$A$1:$G$322,2,FALSE)</f>
        <v>Electra Townie Original 7D EQ - 2016</v>
      </c>
    </row>
    <row r="32" spans="1:8" x14ac:dyDescent="0.3">
      <c r="A32">
        <v>31</v>
      </c>
      <c r="B32">
        <v>1</v>
      </c>
      <c r="C32">
        <v>11</v>
      </c>
      <c r="D32" s="2">
        <v>2</v>
      </c>
      <c r="E32" s="2">
        <v>1680.99</v>
      </c>
      <c r="F32">
        <v>0.05</v>
      </c>
      <c r="G32">
        <f t="shared" si="0"/>
        <v>3361.93</v>
      </c>
      <c r="H32" t="str">
        <f>VLOOKUP(C32,'products '!$A$1:$G$322,2,FALSE)</f>
        <v>Surly Straggler 650b - 2016</v>
      </c>
    </row>
    <row r="33" spans="1:8" x14ac:dyDescent="0.3">
      <c r="A33">
        <v>32</v>
      </c>
      <c r="B33">
        <v>1</v>
      </c>
      <c r="C33">
        <v>8</v>
      </c>
      <c r="D33" s="2">
        <v>2</v>
      </c>
      <c r="E33" s="2">
        <v>1799.99</v>
      </c>
      <c r="F33">
        <v>7.0000000000000007E-2</v>
      </c>
      <c r="G33">
        <f t="shared" si="0"/>
        <v>3599.91</v>
      </c>
      <c r="H33" t="str">
        <f>VLOOKUP(C33,'products '!$A$1:$G$322,2,FALSE)</f>
        <v>Trek Remedy 29 Carbon Frameset - 2016</v>
      </c>
    </row>
    <row r="34" spans="1:8" x14ac:dyDescent="0.3">
      <c r="A34">
        <v>33</v>
      </c>
      <c r="B34">
        <v>1</v>
      </c>
      <c r="C34">
        <v>23</v>
      </c>
      <c r="D34" s="2">
        <v>2</v>
      </c>
      <c r="E34" s="2">
        <v>299.99</v>
      </c>
      <c r="F34">
        <v>7.0000000000000007E-2</v>
      </c>
      <c r="G34">
        <f t="shared" si="0"/>
        <v>599.91</v>
      </c>
      <c r="H34" t="str">
        <f>VLOOKUP(C34,'products '!$A$1:$G$322,2,FALSE)</f>
        <v>Electra Girl's Hawaii 1 (20-inch) - 2015/2016</v>
      </c>
    </row>
    <row r="35" spans="1:8" x14ac:dyDescent="0.3">
      <c r="A35">
        <v>34</v>
      </c>
      <c r="B35">
        <v>1</v>
      </c>
      <c r="C35">
        <v>8</v>
      </c>
      <c r="D35" s="2">
        <v>2</v>
      </c>
      <c r="E35" s="2">
        <v>1799.99</v>
      </c>
      <c r="F35">
        <v>7.0000000000000007E-2</v>
      </c>
      <c r="G35">
        <f t="shared" si="0"/>
        <v>3599.91</v>
      </c>
      <c r="H35" t="str">
        <f>VLOOKUP(C35,'products '!$A$1:$G$322,2,FALSE)</f>
        <v>Trek Remedy 29 Carbon Frameset - 2016</v>
      </c>
    </row>
    <row r="36" spans="1:8" x14ac:dyDescent="0.3">
      <c r="A36">
        <v>35</v>
      </c>
      <c r="B36">
        <v>1</v>
      </c>
      <c r="C36">
        <v>18</v>
      </c>
      <c r="D36" s="2">
        <v>1</v>
      </c>
      <c r="E36" s="2">
        <v>449</v>
      </c>
      <c r="F36">
        <v>0.05</v>
      </c>
      <c r="G36">
        <f t="shared" si="0"/>
        <v>448.95</v>
      </c>
      <c r="H36" t="str">
        <f>VLOOKUP(C36,'products '!$A$1:$G$322,2,FALSE)</f>
        <v>Pure Cycles Western 3-Speed - Women's - 2015/2016</v>
      </c>
    </row>
    <row r="37" spans="1:8" x14ac:dyDescent="0.3">
      <c r="A37">
        <v>36</v>
      </c>
      <c r="B37">
        <v>1</v>
      </c>
      <c r="C37">
        <v>9</v>
      </c>
      <c r="D37" s="2">
        <v>1</v>
      </c>
      <c r="E37" s="2">
        <v>2999.99</v>
      </c>
      <c r="F37">
        <v>7.0000000000000007E-2</v>
      </c>
      <c r="G37">
        <f t="shared" si="0"/>
        <v>2999.9199999999996</v>
      </c>
      <c r="H37" t="str">
        <f>VLOOKUP(C37,'products '!$A$1:$G$322,2,FALSE)</f>
        <v>Trek Conduit+ - 2016</v>
      </c>
    </row>
    <row r="38" spans="1:8" x14ac:dyDescent="0.3">
      <c r="A38">
        <v>37</v>
      </c>
      <c r="B38">
        <v>1</v>
      </c>
      <c r="C38">
        <v>16</v>
      </c>
      <c r="D38" s="2">
        <v>2</v>
      </c>
      <c r="E38" s="2">
        <v>599.99</v>
      </c>
      <c r="F38">
        <v>0.05</v>
      </c>
      <c r="G38">
        <f t="shared" si="0"/>
        <v>1199.93</v>
      </c>
      <c r="H38" t="str">
        <f>VLOOKUP(C38,'products '!$A$1:$G$322,2,FALSE)</f>
        <v>Electra Townie Original 7D EQ - 2016</v>
      </c>
    </row>
    <row r="39" spans="1:8" x14ac:dyDescent="0.3">
      <c r="A39">
        <v>38</v>
      </c>
      <c r="B39">
        <v>1</v>
      </c>
      <c r="C39">
        <v>7</v>
      </c>
      <c r="D39" s="2">
        <v>2</v>
      </c>
      <c r="E39" s="2">
        <v>3999.99</v>
      </c>
      <c r="F39">
        <v>0.05</v>
      </c>
      <c r="G39">
        <f t="shared" si="0"/>
        <v>7999.9299999999994</v>
      </c>
      <c r="H39" t="str">
        <f>VLOOKUP(C39,'products '!$A$1:$G$322,2,FALSE)</f>
        <v>Trek Slash 8 27.5 - 2016</v>
      </c>
    </row>
    <row r="40" spans="1:8" x14ac:dyDescent="0.3">
      <c r="A40">
        <v>39</v>
      </c>
      <c r="B40">
        <v>1</v>
      </c>
      <c r="C40">
        <v>22</v>
      </c>
      <c r="D40" s="2">
        <v>2</v>
      </c>
      <c r="E40" s="2">
        <v>269.99</v>
      </c>
      <c r="F40">
        <v>0.2</v>
      </c>
      <c r="G40">
        <f t="shared" si="0"/>
        <v>539.78</v>
      </c>
      <c r="H40" t="str">
        <f>VLOOKUP(C40,'products '!$A$1:$G$322,2,FALSE)</f>
        <v>Electra Girl's Hawaii 1 (16-inch) - 2015/2016</v>
      </c>
    </row>
    <row r="41" spans="1:8" x14ac:dyDescent="0.3">
      <c r="A41">
        <v>40</v>
      </c>
      <c r="B41">
        <v>1</v>
      </c>
      <c r="C41">
        <v>17</v>
      </c>
      <c r="D41" s="2">
        <v>1</v>
      </c>
      <c r="E41" s="2">
        <v>429</v>
      </c>
      <c r="F41">
        <v>0.2</v>
      </c>
      <c r="G41">
        <f t="shared" si="0"/>
        <v>428.8</v>
      </c>
      <c r="H41" t="str">
        <f>VLOOKUP(C41,'products '!$A$1:$G$322,2,FALSE)</f>
        <v>Pure Cycles Vine 8-Speed - 2016</v>
      </c>
    </row>
    <row r="42" spans="1:8" x14ac:dyDescent="0.3">
      <c r="A42">
        <v>41</v>
      </c>
      <c r="B42">
        <v>1</v>
      </c>
      <c r="C42">
        <v>5</v>
      </c>
      <c r="D42" s="2">
        <v>1</v>
      </c>
      <c r="E42" s="2">
        <v>1320.99</v>
      </c>
      <c r="F42">
        <v>0.1</v>
      </c>
      <c r="G42">
        <f t="shared" si="0"/>
        <v>1320.89</v>
      </c>
      <c r="H42" t="str">
        <f>VLOOKUP(C42,'products '!$A$1:$G$322,2,FALSE)</f>
        <v>Heller Shagamaw Frame - 2016</v>
      </c>
    </row>
    <row r="43" spans="1:8" x14ac:dyDescent="0.3">
      <c r="A43">
        <v>42</v>
      </c>
      <c r="B43">
        <v>1</v>
      </c>
      <c r="C43">
        <v>19</v>
      </c>
      <c r="D43" s="2">
        <v>1</v>
      </c>
      <c r="E43" s="2">
        <v>449</v>
      </c>
      <c r="F43">
        <v>0.05</v>
      </c>
      <c r="G43">
        <f t="shared" si="0"/>
        <v>448.95</v>
      </c>
      <c r="H43" t="str">
        <f>VLOOKUP(C43,'products '!$A$1:$G$322,2,FALSE)</f>
        <v>Pure Cycles William 3-Speed - 2016</v>
      </c>
    </row>
    <row r="44" spans="1:8" x14ac:dyDescent="0.3">
      <c r="A44">
        <v>43</v>
      </c>
      <c r="B44">
        <v>1</v>
      </c>
      <c r="C44">
        <v>13</v>
      </c>
      <c r="D44" s="2">
        <v>2</v>
      </c>
      <c r="E44" s="2">
        <v>269.99</v>
      </c>
      <c r="F44">
        <v>0.1</v>
      </c>
      <c r="G44">
        <f t="shared" si="0"/>
        <v>539.88</v>
      </c>
      <c r="H44" t="str">
        <f>VLOOKUP(C44,'products '!$A$1:$G$322,2,FALSE)</f>
        <v>Electra Cruiser 1 (24-Inch) - 2016</v>
      </c>
    </row>
    <row r="45" spans="1:8" x14ac:dyDescent="0.3">
      <c r="A45">
        <v>44</v>
      </c>
      <c r="B45">
        <v>1</v>
      </c>
      <c r="C45">
        <v>7</v>
      </c>
      <c r="D45" s="2">
        <v>1</v>
      </c>
      <c r="E45" s="2">
        <v>3999.99</v>
      </c>
      <c r="F45">
        <v>0.1</v>
      </c>
      <c r="G45">
        <f t="shared" si="0"/>
        <v>3999.89</v>
      </c>
      <c r="H45" t="str">
        <f>VLOOKUP(C45,'products '!$A$1:$G$322,2,FALSE)</f>
        <v>Trek Slash 8 27.5 - 2016</v>
      </c>
    </row>
    <row r="46" spans="1:8" x14ac:dyDescent="0.3">
      <c r="A46">
        <v>45</v>
      </c>
      <c r="B46">
        <v>1</v>
      </c>
      <c r="C46">
        <v>4</v>
      </c>
      <c r="D46" s="2">
        <v>2</v>
      </c>
      <c r="E46" s="2">
        <v>2899.99</v>
      </c>
      <c r="F46">
        <v>0.2</v>
      </c>
      <c r="G46">
        <f t="shared" si="0"/>
        <v>5799.78</v>
      </c>
      <c r="H46" t="str">
        <f>VLOOKUP(C46,'products '!$A$1:$G$322,2,FALSE)</f>
        <v>Trek Fuel EX 8 29 - 2016</v>
      </c>
    </row>
    <row r="47" spans="1:8" x14ac:dyDescent="0.3">
      <c r="A47">
        <v>46</v>
      </c>
      <c r="B47">
        <v>1</v>
      </c>
      <c r="C47">
        <v>17</v>
      </c>
      <c r="D47" s="2">
        <v>1</v>
      </c>
      <c r="E47" s="2">
        <v>429</v>
      </c>
      <c r="F47">
        <v>0.1</v>
      </c>
      <c r="G47">
        <f t="shared" si="0"/>
        <v>428.9</v>
      </c>
      <c r="H47" t="str">
        <f>VLOOKUP(C47,'products '!$A$1:$G$322,2,FALSE)</f>
        <v>Pure Cycles Vine 8-Speed - 2016</v>
      </c>
    </row>
    <row r="48" spans="1:8" x14ac:dyDescent="0.3">
      <c r="A48">
        <v>47</v>
      </c>
      <c r="B48">
        <v>1</v>
      </c>
      <c r="C48">
        <v>6</v>
      </c>
      <c r="D48" s="2">
        <v>1</v>
      </c>
      <c r="E48" s="2">
        <v>469.99</v>
      </c>
      <c r="F48">
        <v>0.05</v>
      </c>
      <c r="G48">
        <f t="shared" si="0"/>
        <v>469.94</v>
      </c>
      <c r="H48" t="str">
        <f>VLOOKUP(C48,'products '!$A$1:$G$322,2,FALSE)</f>
        <v>Surly Ice Cream Truck Frameset - 2016</v>
      </c>
    </row>
    <row r="49" spans="1:8" x14ac:dyDescent="0.3">
      <c r="A49">
        <v>48</v>
      </c>
      <c r="B49">
        <v>1</v>
      </c>
      <c r="C49">
        <v>11</v>
      </c>
      <c r="D49" s="2">
        <v>1</v>
      </c>
      <c r="E49" s="2">
        <v>1680.99</v>
      </c>
      <c r="F49">
        <v>0.1</v>
      </c>
      <c r="G49">
        <f t="shared" si="0"/>
        <v>1680.89</v>
      </c>
      <c r="H49" t="str">
        <f>VLOOKUP(C49,'products '!$A$1:$G$322,2,FALSE)</f>
        <v>Surly Straggler 650b - 2016</v>
      </c>
    </row>
    <row r="50" spans="1:8" x14ac:dyDescent="0.3">
      <c r="A50">
        <v>49</v>
      </c>
      <c r="B50">
        <v>1</v>
      </c>
      <c r="C50">
        <v>13</v>
      </c>
      <c r="D50" s="2">
        <v>2</v>
      </c>
      <c r="E50" s="2">
        <v>269.99</v>
      </c>
      <c r="F50">
        <v>7.0000000000000007E-2</v>
      </c>
      <c r="G50">
        <f t="shared" si="0"/>
        <v>539.91</v>
      </c>
      <c r="H50" t="str">
        <f>VLOOKUP(C50,'products '!$A$1:$G$322,2,FALSE)</f>
        <v>Electra Cruiser 1 (24-Inch) - 2016</v>
      </c>
    </row>
    <row r="51" spans="1:8" x14ac:dyDescent="0.3">
      <c r="A51">
        <v>50</v>
      </c>
      <c r="B51">
        <v>1</v>
      </c>
      <c r="C51">
        <v>3</v>
      </c>
      <c r="D51" s="2">
        <v>1</v>
      </c>
      <c r="E51" s="2">
        <v>999.99</v>
      </c>
      <c r="F51">
        <v>0.05</v>
      </c>
      <c r="G51">
        <f t="shared" si="0"/>
        <v>999.94</v>
      </c>
      <c r="H51" t="str">
        <f>VLOOKUP(C51,'products '!$A$1:$G$322,2,FALSE)</f>
        <v>Surly Wednesday Frameset - 2016</v>
      </c>
    </row>
    <row r="52" spans="1:8" x14ac:dyDescent="0.3">
      <c r="A52">
        <v>51</v>
      </c>
      <c r="B52">
        <v>1</v>
      </c>
      <c r="C52">
        <v>13</v>
      </c>
      <c r="D52" s="2">
        <v>1</v>
      </c>
      <c r="E52" s="2">
        <v>269.99</v>
      </c>
      <c r="F52">
        <v>0.05</v>
      </c>
      <c r="G52">
        <f t="shared" si="0"/>
        <v>269.94</v>
      </c>
      <c r="H52" t="str">
        <f>VLOOKUP(C52,'products '!$A$1:$G$322,2,FALSE)</f>
        <v>Electra Cruiser 1 (24-Inch) - 2016</v>
      </c>
    </row>
    <row r="53" spans="1:8" x14ac:dyDescent="0.3">
      <c r="A53">
        <v>52</v>
      </c>
      <c r="B53">
        <v>1</v>
      </c>
      <c r="C53">
        <v>25</v>
      </c>
      <c r="D53" s="2">
        <v>1</v>
      </c>
      <c r="E53" s="2">
        <v>499.99</v>
      </c>
      <c r="F53">
        <v>7.0000000000000007E-2</v>
      </c>
      <c r="G53">
        <f t="shared" si="0"/>
        <v>499.92</v>
      </c>
      <c r="H53" t="str">
        <f>VLOOKUP(C53,'products '!$A$1:$G$322,2,FALSE)</f>
        <v>Electra Townie Original 7D - 2015/2016</v>
      </c>
    </row>
    <row r="54" spans="1:8" x14ac:dyDescent="0.3">
      <c r="A54">
        <v>53</v>
      </c>
      <c r="B54">
        <v>1</v>
      </c>
      <c r="C54">
        <v>8</v>
      </c>
      <c r="D54" s="2">
        <v>2</v>
      </c>
      <c r="E54" s="2">
        <v>1799.99</v>
      </c>
      <c r="F54">
        <v>0.2</v>
      </c>
      <c r="G54">
        <f t="shared" si="0"/>
        <v>3599.78</v>
      </c>
      <c r="H54" t="str">
        <f>VLOOKUP(C54,'products '!$A$1:$G$322,2,FALSE)</f>
        <v>Trek Remedy 29 Carbon Frameset - 2016</v>
      </c>
    </row>
    <row r="55" spans="1:8" x14ac:dyDescent="0.3">
      <c r="A55">
        <v>54</v>
      </c>
      <c r="B55">
        <v>1</v>
      </c>
      <c r="C55">
        <v>26</v>
      </c>
      <c r="D55" s="2">
        <v>2</v>
      </c>
      <c r="E55" s="2">
        <v>599.99</v>
      </c>
      <c r="F55">
        <v>0.2</v>
      </c>
      <c r="G55">
        <f t="shared" si="0"/>
        <v>1199.78</v>
      </c>
      <c r="H55" t="str">
        <f>VLOOKUP(C55,'products '!$A$1:$G$322,2,FALSE)</f>
        <v>Electra Townie Original 7D EQ - 2016</v>
      </c>
    </row>
    <row r="56" spans="1:8" x14ac:dyDescent="0.3">
      <c r="A56">
        <v>55</v>
      </c>
      <c r="B56">
        <v>1</v>
      </c>
      <c r="C56">
        <v>21</v>
      </c>
      <c r="D56" s="2">
        <v>1</v>
      </c>
      <c r="E56" s="2">
        <v>269.99</v>
      </c>
      <c r="F56">
        <v>0.05</v>
      </c>
      <c r="G56">
        <f t="shared" si="0"/>
        <v>269.94</v>
      </c>
      <c r="H56" t="str">
        <f>VLOOKUP(C56,'products '!$A$1:$G$322,2,FALSE)</f>
        <v>Electra Cruiser 1 (24-Inch) - 2016</v>
      </c>
    </row>
    <row r="57" spans="1:8" x14ac:dyDescent="0.3">
      <c r="A57">
        <v>56</v>
      </c>
      <c r="B57">
        <v>1</v>
      </c>
      <c r="C57">
        <v>20</v>
      </c>
      <c r="D57" s="2">
        <v>2</v>
      </c>
      <c r="E57" s="2">
        <v>599.99</v>
      </c>
      <c r="F57">
        <v>7.0000000000000007E-2</v>
      </c>
      <c r="G57">
        <f t="shared" si="0"/>
        <v>1199.9100000000001</v>
      </c>
      <c r="H57" t="str">
        <f>VLOOKUP(C57,'products '!$A$1:$G$322,2,FALSE)</f>
        <v>Electra Townie Original 7D EQ - Women's - 2016</v>
      </c>
    </row>
    <row r="58" spans="1:8" x14ac:dyDescent="0.3">
      <c r="A58">
        <v>57</v>
      </c>
      <c r="B58">
        <v>1</v>
      </c>
      <c r="C58">
        <v>23</v>
      </c>
      <c r="D58" s="2">
        <v>2</v>
      </c>
      <c r="E58" s="2">
        <v>299.99</v>
      </c>
      <c r="F58">
        <v>0.1</v>
      </c>
      <c r="G58">
        <f t="shared" si="0"/>
        <v>599.88</v>
      </c>
      <c r="H58" t="str">
        <f>VLOOKUP(C58,'products '!$A$1:$G$322,2,FALSE)</f>
        <v>Electra Girl's Hawaii 1 (20-inch) - 2015/2016</v>
      </c>
    </row>
    <row r="59" spans="1:8" x14ac:dyDescent="0.3">
      <c r="A59">
        <v>58</v>
      </c>
      <c r="B59">
        <v>1</v>
      </c>
      <c r="C59">
        <v>14</v>
      </c>
      <c r="D59" s="2">
        <v>2</v>
      </c>
      <c r="E59" s="2">
        <v>269.99</v>
      </c>
      <c r="F59">
        <v>0.05</v>
      </c>
      <c r="G59">
        <f t="shared" si="0"/>
        <v>539.93000000000006</v>
      </c>
      <c r="H59" t="str">
        <f>VLOOKUP(C59,'products '!$A$1:$G$322,2,FALSE)</f>
        <v>Electra Girl's Hawaii 1 (16-inch) - 2015/2016</v>
      </c>
    </row>
    <row r="60" spans="1:8" x14ac:dyDescent="0.3">
      <c r="A60">
        <v>59</v>
      </c>
      <c r="B60">
        <v>1</v>
      </c>
      <c r="C60">
        <v>21</v>
      </c>
      <c r="D60" s="2">
        <v>1</v>
      </c>
      <c r="E60" s="2">
        <v>269.99</v>
      </c>
      <c r="F60">
        <v>0.05</v>
      </c>
      <c r="G60">
        <f t="shared" si="0"/>
        <v>269.94</v>
      </c>
      <c r="H60" t="str">
        <f>VLOOKUP(C60,'products '!$A$1:$G$322,2,FALSE)</f>
        <v>Electra Cruiser 1 (24-Inch) - 2016</v>
      </c>
    </row>
    <row r="61" spans="1:8" x14ac:dyDescent="0.3">
      <c r="A61">
        <v>60</v>
      </c>
      <c r="B61">
        <v>1</v>
      </c>
      <c r="C61">
        <v>14</v>
      </c>
      <c r="D61" s="2">
        <v>2</v>
      </c>
      <c r="E61" s="2">
        <v>269.99</v>
      </c>
      <c r="F61">
        <v>0.05</v>
      </c>
      <c r="G61">
        <f t="shared" si="0"/>
        <v>539.93000000000006</v>
      </c>
      <c r="H61" t="str">
        <f>VLOOKUP(C61,'products '!$A$1:$G$322,2,FALSE)</f>
        <v>Electra Girl's Hawaii 1 (16-inch) - 2015/2016</v>
      </c>
    </row>
    <row r="62" spans="1:8" x14ac:dyDescent="0.3">
      <c r="A62">
        <v>61</v>
      </c>
      <c r="B62">
        <v>1</v>
      </c>
      <c r="C62">
        <v>25</v>
      </c>
      <c r="D62" s="2">
        <v>1</v>
      </c>
      <c r="E62" s="2">
        <v>499.99</v>
      </c>
      <c r="F62">
        <v>0.1</v>
      </c>
      <c r="G62">
        <f t="shared" si="0"/>
        <v>499.89</v>
      </c>
      <c r="H62" t="str">
        <f>VLOOKUP(C62,'products '!$A$1:$G$322,2,FALSE)</f>
        <v>Electra Townie Original 7D - 2015/2016</v>
      </c>
    </row>
    <row r="63" spans="1:8" x14ac:dyDescent="0.3">
      <c r="A63">
        <v>62</v>
      </c>
      <c r="B63">
        <v>1</v>
      </c>
      <c r="C63">
        <v>14</v>
      </c>
      <c r="D63" s="2">
        <v>1</v>
      </c>
      <c r="E63" s="2">
        <v>269.99</v>
      </c>
      <c r="F63">
        <v>7.0000000000000007E-2</v>
      </c>
      <c r="G63">
        <f t="shared" si="0"/>
        <v>269.92</v>
      </c>
      <c r="H63" t="str">
        <f>VLOOKUP(C63,'products '!$A$1:$G$322,2,FALSE)</f>
        <v>Electra Girl's Hawaii 1 (16-inch) - 2015/2016</v>
      </c>
    </row>
    <row r="64" spans="1:8" x14ac:dyDescent="0.3">
      <c r="A64">
        <v>63</v>
      </c>
      <c r="B64">
        <v>1</v>
      </c>
      <c r="C64">
        <v>25</v>
      </c>
      <c r="D64" s="2">
        <v>2</v>
      </c>
      <c r="E64" s="2">
        <v>499.99</v>
      </c>
      <c r="F64">
        <v>0.1</v>
      </c>
      <c r="G64">
        <f t="shared" si="0"/>
        <v>999.88</v>
      </c>
      <c r="H64" t="str">
        <f>VLOOKUP(C64,'products '!$A$1:$G$322,2,FALSE)</f>
        <v>Electra Townie Original 7D - 2015/2016</v>
      </c>
    </row>
    <row r="65" spans="1:8" x14ac:dyDescent="0.3">
      <c r="A65">
        <v>64</v>
      </c>
      <c r="B65">
        <v>1</v>
      </c>
      <c r="C65">
        <v>25</v>
      </c>
      <c r="D65" s="2">
        <v>2</v>
      </c>
      <c r="E65" s="2">
        <v>499.99</v>
      </c>
      <c r="F65">
        <v>0.1</v>
      </c>
      <c r="G65">
        <f t="shared" si="0"/>
        <v>999.88</v>
      </c>
      <c r="H65" t="str">
        <f>VLOOKUP(C65,'products '!$A$1:$G$322,2,FALSE)</f>
        <v>Electra Townie Original 7D - 2015/2016</v>
      </c>
    </row>
    <row r="66" spans="1:8" x14ac:dyDescent="0.3">
      <c r="A66">
        <v>65</v>
      </c>
      <c r="B66">
        <v>1</v>
      </c>
      <c r="C66">
        <v>12</v>
      </c>
      <c r="D66" s="2">
        <v>1</v>
      </c>
      <c r="E66" s="2">
        <v>549.99</v>
      </c>
      <c r="F66">
        <v>0.1</v>
      </c>
      <c r="G66">
        <f t="shared" si="0"/>
        <v>549.89</v>
      </c>
      <c r="H66" t="str">
        <f>VLOOKUP(C66,'products '!$A$1:$G$322,2,FALSE)</f>
        <v>Electra Townie Original 21D - 2016</v>
      </c>
    </row>
    <row r="67" spans="1:8" x14ac:dyDescent="0.3">
      <c r="A67">
        <v>66</v>
      </c>
      <c r="B67">
        <v>1</v>
      </c>
      <c r="C67">
        <v>2</v>
      </c>
      <c r="D67" s="2">
        <v>1</v>
      </c>
      <c r="E67" s="2">
        <v>749.99</v>
      </c>
      <c r="F67">
        <v>0.2</v>
      </c>
      <c r="G67">
        <f t="shared" ref="G67:G130" si="1">E67*D67-F67</f>
        <v>749.79</v>
      </c>
      <c r="H67" t="str">
        <f>VLOOKUP(C67,'products '!$A$1:$G$322,2,FALSE)</f>
        <v>Ritchey Timberwolf Frameset - 2016</v>
      </c>
    </row>
    <row r="68" spans="1:8" x14ac:dyDescent="0.3">
      <c r="A68">
        <v>67</v>
      </c>
      <c r="B68">
        <v>1</v>
      </c>
      <c r="C68">
        <v>23</v>
      </c>
      <c r="D68" s="2">
        <v>2</v>
      </c>
      <c r="E68" s="2">
        <v>299.99</v>
      </c>
      <c r="F68">
        <v>0.2</v>
      </c>
      <c r="G68">
        <f t="shared" si="1"/>
        <v>599.78</v>
      </c>
      <c r="H68" t="str">
        <f>VLOOKUP(C68,'products '!$A$1:$G$322,2,FALSE)</f>
        <v>Electra Girl's Hawaii 1 (20-inch) - 2015/2016</v>
      </c>
    </row>
    <row r="69" spans="1:8" x14ac:dyDescent="0.3">
      <c r="A69">
        <v>68</v>
      </c>
      <c r="B69">
        <v>1</v>
      </c>
      <c r="C69">
        <v>13</v>
      </c>
      <c r="D69" s="2">
        <v>2</v>
      </c>
      <c r="E69" s="2">
        <v>269.99</v>
      </c>
      <c r="F69">
        <v>7.0000000000000007E-2</v>
      </c>
      <c r="G69">
        <f t="shared" si="1"/>
        <v>539.91</v>
      </c>
      <c r="H69" t="str">
        <f>VLOOKUP(C69,'products '!$A$1:$G$322,2,FALSE)</f>
        <v>Electra Cruiser 1 (24-Inch) - 2016</v>
      </c>
    </row>
    <row r="70" spans="1:8" x14ac:dyDescent="0.3">
      <c r="A70">
        <v>69</v>
      </c>
      <c r="B70">
        <v>1</v>
      </c>
      <c r="C70">
        <v>22</v>
      </c>
      <c r="D70" s="2">
        <v>2</v>
      </c>
      <c r="E70" s="2">
        <v>269.99</v>
      </c>
      <c r="F70">
        <v>0.1</v>
      </c>
      <c r="G70">
        <f t="shared" si="1"/>
        <v>539.88</v>
      </c>
      <c r="H70" t="str">
        <f>VLOOKUP(C70,'products '!$A$1:$G$322,2,FALSE)</f>
        <v>Electra Girl's Hawaii 1 (16-inch) - 2015/2016</v>
      </c>
    </row>
    <row r="71" spans="1:8" x14ac:dyDescent="0.3">
      <c r="A71">
        <v>70</v>
      </c>
      <c r="B71">
        <v>1</v>
      </c>
      <c r="C71">
        <v>3</v>
      </c>
      <c r="D71" s="2">
        <v>2</v>
      </c>
      <c r="E71" s="2">
        <v>999.99</v>
      </c>
      <c r="F71">
        <v>0.05</v>
      </c>
      <c r="G71">
        <f t="shared" si="1"/>
        <v>1999.93</v>
      </c>
      <c r="H71" t="str">
        <f>VLOOKUP(C71,'products '!$A$1:$G$322,2,FALSE)</f>
        <v>Surly Wednesday Frameset - 2016</v>
      </c>
    </row>
    <row r="72" spans="1:8" x14ac:dyDescent="0.3">
      <c r="A72">
        <v>71</v>
      </c>
      <c r="B72">
        <v>1</v>
      </c>
      <c r="C72">
        <v>26</v>
      </c>
      <c r="D72" s="2">
        <v>2</v>
      </c>
      <c r="E72" s="2">
        <v>599.99</v>
      </c>
      <c r="F72">
        <v>0.05</v>
      </c>
      <c r="G72">
        <f t="shared" si="1"/>
        <v>1199.93</v>
      </c>
      <c r="H72" t="str">
        <f>VLOOKUP(C72,'products '!$A$1:$G$322,2,FALSE)</f>
        <v>Electra Townie Original 7D EQ - 2016</v>
      </c>
    </row>
    <row r="73" spans="1:8" x14ac:dyDescent="0.3">
      <c r="A73">
        <v>72</v>
      </c>
      <c r="B73">
        <v>1</v>
      </c>
      <c r="C73">
        <v>17</v>
      </c>
      <c r="D73" s="2">
        <v>2</v>
      </c>
      <c r="E73" s="2">
        <v>429</v>
      </c>
      <c r="F73">
        <v>7.0000000000000007E-2</v>
      </c>
      <c r="G73">
        <f t="shared" si="1"/>
        <v>857.93</v>
      </c>
      <c r="H73" t="str">
        <f>VLOOKUP(C73,'products '!$A$1:$G$322,2,FALSE)</f>
        <v>Pure Cycles Vine 8-Speed - 2016</v>
      </c>
    </row>
    <row r="74" spans="1:8" x14ac:dyDescent="0.3">
      <c r="A74">
        <v>73</v>
      </c>
      <c r="B74">
        <v>1</v>
      </c>
      <c r="C74">
        <v>22</v>
      </c>
      <c r="D74" s="2">
        <v>1</v>
      </c>
      <c r="E74" s="2">
        <v>269.99</v>
      </c>
      <c r="F74">
        <v>7.0000000000000007E-2</v>
      </c>
      <c r="G74">
        <f t="shared" si="1"/>
        <v>269.92</v>
      </c>
      <c r="H74" t="str">
        <f>VLOOKUP(C74,'products '!$A$1:$G$322,2,FALSE)</f>
        <v>Electra Girl's Hawaii 1 (16-inch) - 2015/2016</v>
      </c>
    </row>
    <row r="75" spans="1:8" x14ac:dyDescent="0.3">
      <c r="A75">
        <v>74</v>
      </c>
      <c r="B75">
        <v>1</v>
      </c>
      <c r="C75">
        <v>16</v>
      </c>
      <c r="D75" s="2">
        <v>2</v>
      </c>
      <c r="E75" s="2">
        <v>599.99</v>
      </c>
      <c r="F75">
        <v>0.05</v>
      </c>
      <c r="G75">
        <f t="shared" si="1"/>
        <v>1199.93</v>
      </c>
      <c r="H75" t="str">
        <f>VLOOKUP(C75,'products '!$A$1:$G$322,2,FALSE)</f>
        <v>Electra Townie Original 7D EQ - 2016</v>
      </c>
    </row>
    <row r="76" spans="1:8" x14ac:dyDescent="0.3">
      <c r="A76">
        <v>75</v>
      </c>
      <c r="B76">
        <v>1</v>
      </c>
      <c r="C76">
        <v>3</v>
      </c>
      <c r="D76" s="2">
        <v>1</v>
      </c>
      <c r="E76" s="2">
        <v>999.99</v>
      </c>
      <c r="F76">
        <v>0.1</v>
      </c>
      <c r="G76">
        <f t="shared" si="1"/>
        <v>999.89</v>
      </c>
      <c r="H76" t="str">
        <f>VLOOKUP(C76,'products '!$A$1:$G$322,2,FALSE)</f>
        <v>Surly Wednesday Frameset - 2016</v>
      </c>
    </row>
    <row r="77" spans="1:8" x14ac:dyDescent="0.3">
      <c r="A77">
        <v>76</v>
      </c>
      <c r="B77">
        <v>1</v>
      </c>
      <c r="C77">
        <v>12</v>
      </c>
      <c r="D77" s="2">
        <v>1</v>
      </c>
      <c r="E77" s="2">
        <v>549.99</v>
      </c>
      <c r="F77">
        <v>0.05</v>
      </c>
      <c r="G77">
        <f t="shared" si="1"/>
        <v>549.94000000000005</v>
      </c>
      <c r="H77" t="str">
        <f>VLOOKUP(C77,'products '!$A$1:$G$322,2,FALSE)</f>
        <v>Electra Townie Original 21D - 2016</v>
      </c>
    </row>
    <row r="78" spans="1:8" x14ac:dyDescent="0.3">
      <c r="A78">
        <v>77</v>
      </c>
      <c r="B78">
        <v>1</v>
      </c>
      <c r="C78">
        <v>20</v>
      </c>
      <c r="D78" s="2">
        <v>1</v>
      </c>
      <c r="E78" s="2">
        <v>599.99</v>
      </c>
      <c r="F78">
        <v>7.0000000000000007E-2</v>
      </c>
      <c r="G78">
        <f t="shared" si="1"/>
        <v>599.91999999999996</v>
      </c>
      <c r="H78" t="str">
        <f>VLOOKUP(C78,'products '!$A$1:$G$322,2,FALSE)</f>
        <v>Electra Townie Original 7D EQ - Women's - 2016</v>
      </c>
    </row>
    <row r="79" spans="1:8" x14ac:dyDescent="0.3">
      <c r="A79">
        <v>78</v>
      </c>
      <c r="B79">
        <v>1</v>
      </c>
      <c r="C79">
        <v>17</v>
      </c>
      <c r="D79" s="2">
        <v>1</v>
      </c>
      <c r="E79" s="2">
        <v>429</v>
      </c>
      <c r="F79">
        <v>7.0000000000000007E-2</v>
      </c>
      <c r="G79">
        <f t="shared" si="1"/>
        <v>428.93</v>
      </c>
      <c r="H79" t="str">
        <f>VLOOKUP(C79,'products '!$A$1:$G$322,2,FALSE)</f>
        <v>Pure Cycles Vine 8-Speed - 2016</v>
      </c>
    </row>
    <row r="80" spans="1:8" x14ac:dyDescent="0.3">
      <c r="A80">
        <v>79</v>
      </c>
      <c r="B80">
        <v>1</v>
      </c>
      <c r="C80">
        <v>9</v>
      </c>
      <c r="D80" s="2">
        <v>2</v>
      </c>
      <c r="E80" s="2">
        <v>2999.99</v>
      </c>
      <c r="F80">
        <v>0.1</v>
      </c>
      <c r="G80">
        <f t="shared" si="1"/>
        <v>5999.8799999999992</v>
      </c>
      <c r="H80" t="str">
        <f>VLOOKUP(C80,'products '!$A$1:$G$322,2,FALSE)</f>
        <v>Trek Conduit+ - 2016</v>
      </c>
    </row>
    <row r="81" spans="1:8" x14ac:dyDescent="0.3">
      <c r="A81">
        <v>80</v>
      </c>
      <c r="B81">
        <v>1</v>
      </c>
      <c r="C81">
        <v>26</v>
      </c>
      <c r="D81" s="2">
        <v>1</v>
      </c>
      <c r="E81" s="2">
        <v>599.99</v>
      </c>
      <c r="F81">
        <v>0.1</v>
      </c>
      <c r="G81">
        <f t="shared" si="1"/>
        <v>599.89</v>
      </c>
      <c r="H81" t="str">
        <f>VLOOKUP(C81,'products '!$A$1:$G$322,2,FALSE)</f>
        <v>Electra Townie Original 7D EQ - 2016</v>
      </c>
    </row>
    <row r="82" spans="1:8" x14ac:dyDescent="0.3">
      <c r="A82">
        <v>81</v>
      </c>
      <c r="B82">
        <v>1</v>
      </c>
      <c r="C82">
        <v>10</v>
      </c>
      <c r="D82" s="2">
        <v>2</v>
      </c>
      <c r="E82" s="2">
        <v>1549</v>
      </c>
      <c r="F82">
        <v>0.2</v>
      </c>
      <c r="G82">
        <f t="shared" si="1"/>
        <v>3097.8</v>
      </c>
      <c r="H82" t="str">
        <f>VLOOKUP(C82,'products '!$A$1:$G$322,2,FALSE)</f>
        <v>Surly Straggler - 2016</v>
      </c>
    </row>
    <row r="83" spans="1:8" x14ac:dyDescent="0.3">
      <c r="A83">
        <v>82</v>
      </c>
      <c r="B83">
        <v>1</v>
      </c>
      <c r="C83">
        <v>25</v>
      </c>
      <c r="D83" s="2">
        <v>2</v>
      </c>
      <c r="E83" s="2">
        <v>499.99</v>
      </c>
      <c r="F83">
        <v>0.1</v>
      </c>
      <c r="G83">
        <f t="shared" si="1"/>
        <v>999.88</v>
      </c>
      <c r="H83" t="str">
        <f>VLOOKUP(C83,'products '!$A$1:$G$322,2,FALSE)</f>
        <v>Electra Townie Original 7D - 2015/2016</v>
      </c>
    </row>
    <row r="84" spans="1:8" x14ac:dyDescent="0.3">
      <c r="A84">
        <v>83</v>
      </c>
      <c r="B84">
        <v>1</v>
      </c>
      <c r="C84">
        <v>20</v>
      </c>
      <c r="D84" s="2">
        <v>1</v>
      </c>
      <c r="E84" s="2">
        <v>599.99</v>
      </c>
      <c r="F84">
        <v>0.2</v>
      </c>
      <c r="G84">
        <f t="shared" si="1"/>
        <v>599.79</v>
      </c>
      <c r="H84" t="str">
        <f>VLOOKUP(C84,'products '!$A$1:$G$322,2,FALSE)</f>
        <v>Electra Townie Original 7D EQ - Women's - 2016</v>
      </c>
    </row>
    <row r="85" spans="1:8" x14ac:dyDescent="0.3">
      <c r="A85">
        <v>84</v>
      </c>
      <c r="B85">
        <v>1</v>
      </c>
      <c r="C85">
        <v>23</v>
      </c>
      <c r="D85" s="2">
        <v>2</v>
      </c>
      <c r="E85" s="2">
        <v>299.99</v>
      </c>
      <c r="F85">
        <v>7.0000000000000007E-2</v>
      </c>
      <c r="G85">
        <f t="shared" si="1"/>
        <v>599.91</v>
      </c>
      <c r="H85" t="str">
        <f>VLOOKUP(C85,'products '!$A$1:$G$322,2,FALSE)</f>
        <v>Electra Girl's Hawaii 1 (20-inch) - 2015/2016</v>
      </c>
    </row>
    <row r="86" spans="1:8" x14ac:dyDescent="0.3">
      <c r="A86">
        <v>85</v>
      </c>
      <c r="B86">
        <v>1</v>
      </c>
      <c r="C86">
        <v>4</v>
      </c>
      <c r="D86" s="2">
        <v>2</v>
      </c>
      <c r="E86" s="2">
        <v>2899.99</v>
      </c>
      <c r="F86">
        <v>0.05</v>
      </c>
      <c r="G86">
        <f t="shared" si="1"/>
        <v>5799.9299999999994</v>
      </c>
      <c r="H86" t="str">
        <f>VLOOKUP(C86,'products '!$A$1:$G$322,2,FALSE)</f>
        <v>Trek Fuel EX 8 29 - 2016</v>
      </c>
    </row>
    <row r="87" spans="1:8" x14ac:dyDescent="0.3">
      <c r="A87">
        <v>86</v>
      </c>
      <c r="B87">
        <v>1</v>
      </c>
      <c r="C87">
        <v>9</v>
      </c>
      <c r="D87" s="2">
        <v>2</v>
      </c>
      <c r="E87" s="2">
        <v>2999.99</v>
      </c>
      <c r="F87">
        <v>0.1</v>
      </c>
      <c r="G87">
        <f t="shared" si="1"/>
        <v>5999.8799999999992</v>
      </c>
      <c r="H87" t="str">
        <f>VLOOKUP(C87,'products '!$A$1:$G$322,2,FALSE)</f>
        <v>Trek Conduit+ - 2016</v>
      </c>
    </row>
    <row r="88" spans="1:8" x14ac:dyDescent="0.3">
      <c r="A88">
        <v>87</v>
      </c>
      <c r="B88">
        <v>1</v>
      </c>
      <c r="C88">
        <v>20</v>
      </c>
      <c r="D88" s="2">
        <v>2</v>
      </c>
      <c r="E88" s="2">
        <v>599.99</v>
      </c>
      <c r="F88">
        <v>0.2</v>
      </c>
      <c r="G88">
        <f t="shared" si="1"/>
        <v>1199.78</v>
      </c>
      <c r="H88" t="str">
        <f>VLOOKUP(C88,'products '!$A$1:$G$322,2,FALSE)</f>
        <v>Electra Townie Original 7D EQ - Women's - 2016</v>
      </c>
    </row>
    <row r="89" spans="1:8" x14ac:dyDescent="0.3">
      <c r="A89">
        <v>88</v>
      </c>
      <c r="B89">
        <v>1</v>
      </c>
      <c r="C89">
        <v>10</v>
      </c>
      <c r="D89" s="2">
        <v>1</v>
      </c>
      <c r="E89" s="2">
        <v>1549</v>
      </c>
      <c r="F89">
        <v>7.0000000000000007E-2</v>
      </c>
      <c r="G89">
        <f t="shared" si="1"/>
        <v>1548.93</v>
      </c>
      <c r="H89" t="str">
        <f>VLOOKUP(C89,'products '!$A$1:$G$322,2,FALSE)</f>
        <v>Surly Straggler - 2016</v>
      </c>
    </row>
    <row r="90" spans="1:8" x14ac:dyDescent="0.3">
      <c r="A90">
        <v>89</v>
      </c>
      <c r="B90">
        <v>1</v>
      </c>
      <c r="C90">
        <v>5</v>
      </c>
      <c r="D90" s="2">
        <v>1</v>
      </c>
      <c r="E90" s="2">
        <v>1320.99</v>
      </c>
      <c r="F90">
        <v>0.05</v>
      </c>
      <c r="G90">
        <f t="shared" si="1"/>
        <v>1320.94</v>
      </c>
      <c r="H90" t="str">
        <f>VLOOKUP(C90,'products '!$A$1:$G$322,2,FALSE)</f>
        <v>Heller Shagamaw Frame - 2016</v>
      </c>
    </row>
    <row r="91" spans="1:8" x14ac:dyDescent="0.3">
      <c r="A91">
        <v>90</v>
      </c>
      <c r="B91">
        <v>1</v>
      </c>
      <c r="C91">
        <v>3</v>
      </c>
      <c r="D91" s="2">
        <v>1</v>
      </c>
      <c r="E91" s="2">
        <v>999.99</v>
      </c>
      <c r="F91">
        <v>0.1</v>
      </c>
      <c r="G91">
        <f t="shared" si="1"/>
        <v>999.89</v>
      </c>
      <c r="H91" t="str">
        <f>VLOOKUP(C91,'products '!$A$1:$G$322,2,FALSE)</f>
        <v>Surly Wednesday Frameset - 2016</v>
      </c>
    </row>
    <row r="92" spans="1:8" x14ac:dyDescent="0.3">
      <c r="A92">
        <v>91</v>
      </c>
      <c r="B92">
        <v>1</v>
      </c>
      <c r="C92">
        <v>11</v>
      </c>
      <c r="D92" s="2">
        <v>1</v>
      </c>
      <c r="E92" s="2">
        <v>1680.99</v>
      </c>
      <c r="F92">
        <v>0.1</v>
      </c>
      <c r="G92">
        <f t="shared" si="1"/>
        <v>1680.89</v>
      </c>
      <c r="H92" t="str">
        <f>VLOOKUP(C92,'products '!$A$1:$G$322,2,FALSE)</f>
        <v>Surly Straggler 650b - 2016</v>
      </c>
    </row>
    <row r="93" spans="1:8" x14ac:dyDescent="0.3">
      <c r="A93">
        <v>92</v>
      </c>
      <c r="B93">
        <v>1</v>
      </c>
      <c r="C93">
        <v>8</v>
      </c>
      <c r="D93" s="2">
        <v>1</v>
      </c>
      <c r="E93" s="2">
        <v>1799.99</v>
      </c>
      <c r="F93">
        <v>0.1</v>
      </c>
      <c r="G93">
        <f t="shared" si="1"/>
        <v>1799.89</v>
      </c>
      <c r="H93" t="str">
        <f>VLOOKUP(C93,'products '!$A$1:$G$322,2,FALSE)</f>
        <v>Trek Remedy 29 Carbon Frameset - 2016</v>
      </c>
    </row>
    <row r="94" spans="1:8" x14ac:dyDescent="0.3">
      <c r="A94">
        <v>93</v>
      </c>
      <c r="B94">
        <v>1</v>
      </c>
      <c r="C94">
        <v>22</v>
      </c>
      <c r="D94" s="2">
        <v>2</v>
      </c>
      <c r="E94" s="2">
        <v>269.99</v>
      </c>
      <c r="F94">
        <v>7.0000000000000007E-2</v>
      </c>
      <c r="G94">
        <f t="shared" si="1"/>
        <v>539.91</v>
      </c>
      <c r="H94" t="str">
        <f>VLOOKUP(C94,'products '!$A$1:$G$322,2,FALSE)</f>
        <v>Electra Girl's Hawaii 1 (16-inch) - 2015/2016</v>
      </c>
    </row>
    <row r="95" spans="1:8" x14ac:dyDescent="0.3">
      <c r="A95">
        <v>94</v>
      </c>
      <c r="B95">
        <v>1</v>
      </c>
      <c r="C95">
        <v>12</v>
      </c>
      <c r="D95" s="2">
        <v>1</v>
      </c>
      <c r="E95" s="2">
        <v>549.99</v>
      </c>
      <c r="F95">
        <v>0.05</v>
      </c>
      <c r="G95">
        <f t="shared" si="1"/>
        <v>549.94000000000005</v>
      </c>
      <c r="H95" t="str">
        <f>VLOOKUP(C95,'products '!$A$1:$G$322,2,FALSE)</f>
        <v>Electra Townie Original 21D - 2016</v>
      </c>
    </row>
    <row r="96" spans="1:8" x14ac:dyDescent="0.3">
      <c r="A96">
        <v>95</v>
      </c>
      <c r="B96">
        <v>1</v>
      </c>
      <c r="C96">
        <v>10</v>
      </c>
      <c r="D96" s="2">
        <v>2</v>
      </c>
      <c r="E96" s="2">
        <v>1549</v>
      </c>
      <c r="F96">
        <v>0.2</v>
      </c>
      <c r="G96">
        <f t="shared" si="1"/>
        <v>3097.8</v>
      </c>
      <c r="H96" t="str">
        <f>VLOOKUP(C96,'products '!$A$1:$G$322,2,FALSE)</f>
        <v>Surly Straggler - 2016</v>
      </c>
    </row>
    <row r="97" spans="1:8" x14ac:dyDescent="0.3">
      <c r="A97">
        <v>96</v>
      </c>
      <c r="B97">
        <v>1</v>
      </c>
      <c r="C97">
        <v>26</v>
      </c>
      <c r="D97" s="2">
        <v>1</v>
      </c>
      <c r="E97" s="2">
        <v>599.99</v>
      </c>
      <c r="F97">
        <v>0.1</v>
      </c>
      <c r="G97">
        <f t="shared" si="1"/>
        <v>599.89</v>
      </c>
      <c r="H97" t="str">
        <f>VLOOKUP(C97,'products '!$A$1:$G$322,2,FALSE)</f>
        <v>Electra Townie Original 7D EQ - 2016</v>
      </c>
    </row>
    <row r="98" spans="1:8" x14ac:dyDescent="0.3">
      <c r="A98">
        <v>97</v>
      </c>
      <c r="B98">
        <v>1</v>
      </c>
      <c r="C98">
        <v>20</v>
      </c>
      <c r="D98" s="2">
        <v>2</v>
      </c>
      <c r="E98" s="2">
        <v>599.99</v>
      </c>
      <c r="F98">
        <v>0.2</v>
      </c>
      <c r="G98">
        <f t="shared" si="1"/>
        <v>1199.78</v>
      </c>
      <c r="H98" t="str">
        <f>VLOOKUP(C98,'products '!$A$1:$G$322,2,FALSE)</f>
        <v>Electra Townie Original 7D EQ - Women's - 2016</v>
      </c>
    </row>
    <row r="99" spans="1:8" x14ac:dyDescent="0.3">
      <c r="A99">
        <v>98</v>
      </c>
      <c r="B99">
        <v>1</v>
      </c>
      <c r="C99">
        <v>19</v>
      </c>
      <c r="D99" s="2">
        <v>1</v>
      </c>
      <c r="E99" s="2">
        <v>449</v>
      </c>
      <c r="F99">
        <v>7.0000000000000007E-2</v>
      </c>
      <c r="G99">
        <f t="shared" si="1"/>
        <v>448.93</v>
      </c>
      <c r="H99" t="str">
        <f>VLOOKUP(C99,'products '!$A$1:$G$322,2,FALSE)</f>
        <v>Pure Cycles William 3-Speed - 2016</v>
      </c>
    </row>
    <row r="100" spans="1:8" x14ac:dyDescent="0.3">
      <c r="A100">
        <v>99</v>
      </c>
      <c r="B100">
        <v>1</v>
      </c>
      <c r="C100">
        <v>13</v>
      </c>
      <c r="D100" s="2">
        <v>1</v>
      </c>
      <c r="E100" s="2">
        <v>269.99</v>
      </c>
      <c r="F100">
        <v>0.2</v>
      </c>
      <c r="G100">
        <f t="shared" si="1"/>
        <v>269.79000000000002</v>
      </c>
      <c r="H100" t="str">
        <f>VLOOKUP(C100,'products '!$A$1:$G$322,2,FALSE)</f>
        <v>Electra Cruiser 1 (24-Inch) - 2016</v>
      </c>
    </row>
    <row r="101" spans="1:8" x14ac:dyDescent="0.3">
      <c r="A101">
        <v>100</v>
      </c>
      <c r="B101">
        <v>1</v>
      </c>
      <c r="C101">
        <v>12</v>
      </c>
      <c r="D101" s="2">
        <v>2</v>
      </c>
      <c r="E101" s="2">
        <v>549.99</v>
      </c>
      <c r="F101">
        <v>0.05</v>
      </c>
      <c r="G101">
        <f t="shared" si="1"/>
        <v>1099.93</v>
      </c>
      <c r="H101" t="str">
        <f>VLOOKUP(C101,'products '!$A$1:$G$322,2,FALSE)</f>
        <v>Electra Townie Original 21D - 2016</v>
      </c>
    </row>
    <row r="102" spans="1:8" x14ac:dyDescent="0.3">
      <c r="A102">
        <v>101</v>
      </c>
      <c r="B102">
        <v>1</v>
      </c>
      <c r="C102">
        <v>12</v>
      </c>
      <c r="D102" s="2">
        <v>2</v>
      </c>
      <c r="E102" s="2">
        <v>549.99</v>
      </c>
      <c r="F102">
        <v>0.2</v>
      </c>
      <c r="G102">
        <f t="shared" si="1"/>
        <v>1099.78</v>
      </c>
      <c r="H102" t="str">
        <f>VLOOKUP(C102,'products '!$A$1:$G$322,2,FALSE)</f>
        <v>Electra Townie Original 21D - 2016</v>
      </c>
    </row>
    <row r="103" spans="1:8" x14ac:dyDescent="0.3">
      <c r="A103">
        <v>102</v>
      </c>
      <c r="B103">
        <v>1</v>
      </c>
      <c r="C103">
        <v>15</v>
      </c>
      <c r="D103" s="2">
        <v>1</v>
      </c>
      <c r="E103" s="2">
        <v>529.99</v>
      </c>
      <c r="F103">
        <v>0.05</v>
      </c>
      <c r="G103">
        <f t="shared" si="1"/>
        <v>529.94000000000005</v>
      </c>
      <c r="H103" t="str">
        <f>VLOOKUP(C103,'products '!$A$1:$G$322,2,FALSE)</f>
        <v>Electra Moto 1 - 2016</v>
      </c>
    </row>
    <row r="104" spans="1:8" x14ac:dyDescent="0.3">
      <c r="A104">
        <v>103</v>
      </c>
      <c r="B104">
        <v>1</v>
      </c>
      <c r="C104">
        <v>17</v>
      </c>
      <c r="D104" s="2">
        <v>1</v>
      </c>
      <c r="E104" s="2">
        <v>429</v>
      </c>
      <c r="F104">
        <v>7.0000000000000007E-2</v>
      </c>
      <c r="G104">
        <f t="shared" si="1"/>
        <v>428.93</v>
      </c>
      <c r="H104" t="str">
        <f>VLOOKUP(C104,'products '!$A$1:$G$322,2,FALSE)</f>
        <v>Pure Cycles Vine 8-Speed - 2016</v>
      </c>
    </row>
    <row r="105" spans="1:8" x14ac:dyDescent="0.3">
      <c r="A105">
        <v>104</v>
      </c>
      <c r="B105">
        <v>1</v>
      </c>
      <c r="C105">
        <v>19</v>
      </c>
      <c r="D105" s="2">
        <v>2</v>
      </c>
      <c r="E105" s="2">
        <v>449</v>
      </c>
      <c r="F105">
        <v>0.1</v>
      </c>
      <c r="G105">
        <f t="shared" si="1"/>
        <v>897.9</v>
      </c>
      <c r="H105" t="str">
        <f>VLOOKUP(C105,'products '!$A$1:$G$322,2,FALSE)</f>
        <v>Pure Cycles William 3-Speed - 2016</v>
      </c>
    </row>
    <row r="106" spans="1:8" x14ac:dyDescent="0.3">
      <c r="A106">
        <v>105</v>
      </c>
      <c r="B106">
        <v>1</v>
      </c>
      <c r="C106">
        <v>11</v>
      </c>
      <c r="D106" s="2">
        <v>2</v>
      </c>
      <c r="E106" s="2">
        <v>1680.99</v>
      </c>
      <c r="F106">
        <v>0.2</v>
      </c>
      <c r="G106">
        <f t="shared" si="1"/>
        <v>3361.78</v>
      </c>
      <c r="H106" t="str">
        <f>VLOOKUP(C106,'products '!$A$1:$G$322,2,FALSE)</f>
        <v>Surly Straggler 650b - 2016</v>
      </c>
    </row>
    <row r="107" spans="1:8" x14ac:dyDescent="0.3">
      <c r="A107">
        <v>106</v>
      </c>
      <c r="B107">
        <v>1</v>
      </c>
      <c r="C107">
        <v>17</v>
      </c>
      <c r="D107" s="2">
        <v>1</v>
      </c>
      <c r="E107" s="2">
        <v>429</v>
      </c>
      <c r="F107">
        <v>0.1</v>
      </c>
      <c r="G107">
        <f t="shared" si="1"/>
        <v>428.9</v>
      </c>
      <c r="H107" t="str">
        <f>VLOOKUP(C107,'products '!$A$1:$G$322,2,FALSE)</f>
        <v>Pure Cycles Vine 8-Speed - 2016</v>
      </c>
    </row>
    <row r="108" spans="1:8" x14ac:dyDescent="0.3">
      <c r="A108">
        <v>107</v>
      </c>
      <c r="B108">
        <v>1</v>
      </c>
      <c r="C108">
        <v>19</v>
      </c>
      <c r="D108" s="2">
        <v>1</v>
      </c>
      <c r="E108" s="2">
        <v>449</v>
      </c>
      <c r="F108">
        <v>0.2</v>
      </c>
      <c r="G108">
        <f t="shared" si="1"/>
        <v>448.8</v>
      </c>
      <c r="H108" t="str">
        <f>VLOOKUP(C108,'products '!$A$1:$G$322,2,FALSE)</f>
        <v>Pure Cycles William 3-Speed - 2016</v>
      </c>
    </row>
    <row r="109" spans="1:8" x14ac:dyDescent="0.3">
      <c r="A109">
        <v>108</v>
      </c>
      <c r="B109">
        <v>1</v>
      </c>
      <c r="C109">
        <v>11</v>
      </c>
      <c r="D109" s="2">
        <v>1</v>
      </c>
      <c r="E109" s="2">
        <v>1680.99</v>
      </c>
      <c r="F109">
        <v>0.1</v>
      </c>
      <c r="G109">
        <f t="shared" si="1"/>
        <v>1680.89</v>
      </c>
      <c r="H109" t="str">
        <f>VLOOKUP(C109,'products '!$A$1:$G$322,2,FALSE)</f>
        <v>Surly Straggler 650b - 2016</v>
      </c>
    </row>
    <row r="110" spans="1:8" x14ac:dyDescent="0.3">
      <c r="A110">
        <v>109</v>
      </c>
      <c r="B110">
        <v>1</v>
      </c>
      <c r="C110">
        <v>22</v>
      </c>
      <c r="D110" s="2">
        <v>2</v>
      </c>
      <c r="E110" s="2">
        <v>269.99</v>
      </c>
      <c r="F110">
        <v>0.1</v>
      </c>
      <c r="G110">
        <f t="shared" si="1"/>
        <v>539.88</v>
      </c>
      <c r="H110" t="str">
        <f>VLOOKUP(C110,'products '!$A$1:$G$322,2,FALSE)</f>
        <v>Electra Girl's Hawaii 1 (16-inch) - 2015/2016</v>
      </c>
    </row>
    <row r="111" spans="1:8" x14ac:dyDescent="0.3">
      <c r="A111">
        <v>110</v>
      </c>
      <c r="B111">
        <v>1</v>
      </c>
      <c r="C111">
        <v>14</v>
      </c>
      <c r="D111" s="2">
        <v>1</v>
      </c>
      <c r="E111" s="2">
        <v>269.99</v>
      </c>
      <c r="F111">
        <v>0.1</v>
      </c>
      <c r="G111">
        <f t="shared" si="1"/>
        <v>269.89</v>
      </c>
      <c r="H111" t="str">
        <f>VLOOKUP(C111,'products '!$A$1:$G$322,2,FALSE)</f>
        <v>Electra Girl's Hawaii 1 (16-inch) - 2015/2016</v>
      </c>
    </row>
    <row r="112" spans="1:8" x14ac:dyDescent="0.3">
      <c r="A112">
        <v>111</v>
      </c>
      <c r="B112">
        <v>1</v>
      </c>
      <c r="C112">
        <v>14</v>
      </c>
      <c r="D112" s="2">
        <v>1</v>
      </c>
      <c r="E112" s="2">
        <v>269.99</v>
      </c>
      <c r="F112">
        <v>0.1</v>
      </c>
      <c r="G112">
        <f t="shared" si="1"/>
        <v>269.89</v>
      </c>
      <c r="H112" t="str">
        <f>VLOOKUP(C112,'products '!$A$1:$G$322,2,FALSE)</f>
        <v>Electra Girl's Hawaii 1 (16-inch) - 2015/2016</v>
      </c>
    </row>
    <row r="113" spans="1:8" x14ac:dyDescent="0.3">
      <c r="A113">
        <v>112</v>
      </c>
      <c r="B113">
        <v>1</v>
      </c>
      <c r="C113">
        <v>23</v>
      </c>
      <c r="D113" s="2">
        <v>2</v>
      </c>
      <c r="E113" s="2">
        <v>299.99</v>
      </c>
      <c r="F113">
        <v>0.2</v>
      </c>
      <c r="G113">
        <f t="shared" si="1"/>
        <v>599.78</v>
      </c>
      <c r="H113" t="str">
        <f>VLOOKUP(C113,'products '!$A$1:$G$322,2,FALSE)</f>
        <v>Electra Girl's Hawaii 1 (20-inch) - 2015/2016</v>
      </c>
    </row>
    <row r="114" spans="1:8" x14ac:dyDescent="0.3">
      <c r="A114">
        <v>113</v>
      </c>
      <c r="B114">
        <v>1</v>
      </c>
      <c r="C114">
        <v>12</v>
      </c>
      <c r="D114" s="2">
        <v>2</v>
      </c>
      <c r="E114" s="2">
        <v>549.99</v>
      </c>
      <c r="F114">
        <v>7.0000000000000007E-2</v>
      </c>
      <c r="G114">
        <f t="shared" si="1"/>
        <v>1099.9100000000001</v>
      </c>
      <c r="H114" t="str">
        <f>VLOOKUP(C114,'products '!$A$1:$G$322,2,FALSE)</f>
        <v>Electra Townie Original 21D - 2016</v>
      </c>
    </row>
    <row r="115" spans="1:8" x14ac:dyDescent="0.3">
      <c r="A115">
        <v>114</v>
      </c>
      <c r="B115">
        <v>1</v>
      </c>
      <c r="C115">
        <v>12</v>
      </c>
      <c r="D115" s="2">
        <v>1</v>
      </c>
      <c r="E115" s="2">
        <v>549.99</v>
      </c>
      <c r="F115">
        <v>0.05</v>
      </c>
      <c r="G115">
        <f t="shared" si="1"/>
        <v>549.94000000000005</v>
      </c>
      <c r="H115" t="str">
        <f>VLOOKUP(C115,'products '!$A$1:$G$322,2,FALSE)</f>
        <v>Electra Townie Original 21D - 2016</v>
      </c>
    </row>
    <row r="116" spans="1:8" x14ac:dyDescent="0.3">
      <c r="A116">
        <v>115</v>
      </c>
      <c r="B116">
        <v>1</v>
      </c>
      <c r="C116">
        <v>22</v>
      </c>
      <c r="D116" s="2">
        <v>1</v>
      </c>
      <c r="E116" s="2">
        <v>269.99</v>
      </c>
      <c r="F116">
        <v>0.2</v>
      </c>
      <c r="G116">
        <f t="shared" si="1"/>
        <v>269.79000000000002</v>
      </c>
      <c r="H116" t="str">
        <f>VLOOKUP(C116,'products '!$A$1:$G$322,2,FALSE)</f>
        <v>Electra Girl's Hawaii 1 (16-inch) - 2015/2016</v>
      </c>
    </row>
    <row r="117" spans="1:8" x14ac:dyDescent="0.3">
      <c r="A117">
        <v>116</v>
      </c>
      <c r="B117">
        <v>1</v>
      </c>
      <c r="C117">
        <v>26</v>
      </c>
      <c r="D117" s="2">
        <v>1</v>
      </c>
      <c r="E117" s="2">
        <v>599.99</v>
      </c>
      <c r="F117">
        <v>0.05</v>
      </c>
      <c r="G117">
        <f t="shared" si="1"/>
        <v>599.94000000000005</v>
      </c>
      <c r="H117" t="str">
        <f>VLOOKUP(C117,'products '!$A$1:$G$322,2,FALSE)</f>
        <v>Electra Townie Original 7D EQ - 2016</v>
      </c>
    </row>
    <row r="118" spans="1:8" x14ac:dyDescent="0.3">
      <c r="A118">
        <v>117</v>
      </c>
      <c r="B118">
        <v>1</v>
      </c>
      <c r="C118">
        <v>22</v>
      </c>
      <c r="D118" s="2">
        <v>2</v>
      </c>
      <c r="E118" s="2">
        <v>269.99</v>
      </c>
      <c r="F118">
        <v>0.2</v>
      </c>
      <c r="G118">
        <f t="shared" si="1"/>
        <v>539.78</v>
      </c>
      <c r="H118" t="str">
        <f>VLOOKUP(C118,'products '!$A$1:$G$322,2,FALSE)</f>
        <v>Electra Girl's Hawaii 1 (16-inch) - 2015/2016</v>
      </c>
    </row>
    <row r="119" spans="1:8" x14ac:dyDescent="0.3">
      <c r="A119">
        <v>118</v>
      </c>
      <c r="B119">
        <v>1</v>
      </c>
      <c r="C119">
        <v>18</v>
      </c>
      <c r="D119" s="2">
        <v>1</v>
      </c>
      <c r="E119" s="2">
        <v>449</v>
      </c>
      <c r="F119">
        <v>7.0000000000000007E-2</v>
      </c>
      <c r="G119">
        <f t="shared" si="1"/>
        <v>448.93</v>
      </c>
      <c r="H119" t="str">
        <f>VLOOKUP(C119,'products '!$A$1:$G$322,2,FALSE)</f>
        <v>Pure Cycles Western 3-Speed - Women's - 2015/2016</v>
      </c>
    </row>
    <row r="120" spans="1:8" x14ac:dyDescent="0.3">
      <c r="A120">
        <v>119</v>
      </c>
      <c r="B120">
        <v>1</v>
      </c>
      <c r="C120">
        <v>25</v>
      </c>
      <c r="D120" s="2">
        <v>1</v>
      </c>
      <c r="E120" s="2">
        <v>499.99</v>
      </c>
      <c r="F120">
        <v>0.05</v>
      </c>
      <c r="G120">
        <f t="shared" si="1"/>
        <v>499.94</v>
      </c>
      <c r="H120" t="str">
        <f>VLOOKUP(C120,'products '!$A$1:$G$322,2,FALSE)</f>
        <v>Electra Townie Original 7D - 2015/2016</v>
      </c>
    </row>
    <row r="121" spans="1:8" x14ac:dyDescent="0.3">
      <c r="A121">
        <v>120</v>
      </c>
      <c r="B121">
        <v>1</v>
      </c>
      <c r="C121">
        <v>13</v>
      </c>
      <c r="D121" s="2">
        <v>2</v>
      </c>
      <c r="E121" s="2">
        <v>269.99</v>
      </c>
      <c r="F121">
        <v>0.05</v>
      </c>
      <c r="G121">
        <f t="shared" si="1"/>
        <v>539.93000000000006</v>
      </c>
      <c r="H121" t="str">
        <f>VLOOKUP(C121,'products '!$A$1:$G$322,2,FALSE)</f>
        <v>Electra Cruiser 1 (24-Inch) - 2016</v>
      </c>
    </row>
    <row r="122" spans="1:8" x14ac:dyDescent="0.3">
      <c r="A122">
        <v>121</v>
      </c>
      <c r="B122">
        <v>1</v>
      </c>
      <c r="C122">
        <v>5</v>
      </c>
      <c r="D122" s="2">
        <v>1</v>
      </c>
      <c r="E122" s="2">
        <v>1320.99</v>
      </c>
      <c r="F122">
        <v>0.2</v>
      </c>
      <c r="G122">
        <f t="shared" si="1"/>
        <v>1320.79</v>
      </c>
      <c r="H122" t="str">
        <f>VLOOKUP(C122,'products '!$A$1:$G$322,2,FALSE)</f>
        <v>Heller Shagamaw Frame - 2016</v>
      </c>
    </row>
    <row r="123" spans="1:8" x14ac:dyDescent="0.3">
      <c r="A123">
        <v>122</v>
      </c>
      <c r="B123">
        <v>1</v>
      </c>
      <c r="C123">
        <v>16</v>
      </c>
      <c r="D123" s="2">
        <v>1</v>
      </c>
      <c r="E123" s="2">
        <v>599.99</v>
      </c>
      <c r="F123">
        <v>0.1</v>
      </c>
      <c r="G123">
        <f t="shared" si="1"/>
        <v>599.89</v>
      </c>
      <c r="H123" t="str">
        <f>VLOOKUP(C123,'products '!$A$1:$G$322,2,FALSE)</f>
        <v>Electra Townie Original 7D EQ - 2016</v>
      </c>
    </row>
    <row r="124" spans="1:8" x14ac:dyDescent="0.3">
      <c r="A124">
        <v>123</v>
      </c>
      <c r="B124">
        <v>1</v>
      </c>
      <c r="C124">
        <v>12</v>
      </c>
      <c r="D124" s="2">
        <v>2</v>
      </c>
      <c r="E124" s="2">
        <v>549.99</v>
      </c>
      <c r="F124">
        <v>0.1</v>
      </c>
      <c r="G124">
        <f t="shared" si="1"/>
        <v>1099.8800000000001</v>
      </c>
      <c r="H124" t="str">
        <f>VLOOKUP(C124,'products '!$A$1:$G$322,2,FALSE)</f>
        <v>Electra Townie Original 21D - 2016</v>
      </c>
    </row>
    <row r="125" spans="1:8" x14ac:dyDescent="0.3">
      <c r="A125">
        <v>124</v>
      </c>
      <c r="B125">
        <v>1</v>
      </c>
      <c r="C125">
        <v>16</v>
      </c>
      <c r="D125" s="2">
        <v>1</v>
      </c>
      <c r="E125" s="2">
        <v>599.99</v>
      </c>
      <c r="F125">
        <v>0.05</v>
      </c>
      <c r="G125">
        <f t="shared" si="1"/>
        <v>599.94000000000005</v>
      </c>
      <c r="H125" t="str">
        <f>VLOOKUP(C125,'products '!$A$1:$G$322,2,FALSE)</f>
        <v>Electra Townie Original 7D EQ - 2016</v>
      </c>
    </row>
    <row r="126" spans="1:8" x14ac:dyDescent="0.3">
      <c r="A126">
        <v>125</v>
      </c>
      <c r="B126">
        <v>1</v>
      </c>
      <c r="C126">
        <v>17</v>
      </c>
      <c r="D126" s="2">
        <v>1</v>
      </c>
      <c r="E126" s="2">
        <v>429</v>
      </c>
      <c r="F126">
        <v>0.1</v>
      </c>
      <c r="G126">
        <f t="shared" si="1"/>
        <v>428.9</v>
      </c>
      <c r="H126" t="str">
        <f>VLOOKUP(C126,'products '!$A$1:$G$322,2,FALSE)</f>
        <v>Pure Cycles Vine 8-Speed - 2016</v>
      </c>
    </row>
    <row r="127" spans="1:8" x14ac:dyDescent="0.3">
      <c r="A127">
        <v>126</v>
      </c>
      <c r="B127">
        <v>1</v>
      </c>
      <c r="C127">
        <v>9</v>
      </c>
      <c r="D127" s="2">
        <v>2</v>
      </c>
      <c r="E127" s="2">
        <v>2999.99</v>
      </c>
      <c r="F127">
        <v>0.05</v>
      </c>
      <c r="G127">
        <f t="shared" si="1"/>
        <v>5999.9299999999994</v>
      </c>
      <c r="H127" t="str">
        <f>VLOOKUP(C127,'products '!$A$1:$G$322,2,FALSE)</f>
        <v>Trek Conduit+ - 2016</v>
      </c>
    </row>
    <row r="128" spans="1:8" x14ac:dyDescent="0.3">
      <c r="A128">
        <v>127</v>
      </c>
      <c r="B128">
        <v>1</v>
      </c>
      <c r="C128">
        <v>17</v>
      </c>
      <c r="D128" s="2">
        <v>1</v>
      </c>
      <c r="E128" s="2">
        <v>429</v>
      </c>
      <c r="F128">
        <v>7.0000000000000007E-2</v>
      </c>
      <c r="G128">
        <f t="shared" si="1"/>
        <v>428.93</v>
      </c>
      <c r="H128" t="str">
        <f>VLOOKUP(C128,'products '!$A$1:$G$322,2,FALSE)</f>
        <v>Pure Cycles Vine 8-Speed - 2016</v>
      </c>
    </row>
    <row r="129" spans="1:8" x14ac:dyDescent="0.3">
      <c r="A129">
        <v>128</v>
      </c>
      <c r="B129">
        <v>1</v>
      </c>
      <c r="C129">
        <v>24</v>
      </c>
      <c r="D129" s="2">
        <v>2</v>
      </c>
      <c r="E129" s="2">
        <v>549.99</v>
      </c>
      <c r="F129">
        <v>0.1</v>
      </c>
      <c r="G129">
        <f t="shared" si="1"/>
        <v>1099.8800000000001</v>
      </c>
      <c r="H129" t="str">
        <f>VLOOKUP(C129,'products '!$A$1:$G$322,2,FALSE)</f>
        <v>Electra Townie Original 21D - 2016</v>
      </c>
    </row>
    <row r="130" spans="1:8" x14ac:dyDescent="0.3">
      <c r="A130">
        <v>129</v>
      </c>
      <c r="B130">
        <v>1</v>
      </c>
      <c r="C130">
        <v>18</v>
      </c>
      <c r="D130" s="2">
        <v>1</v>
      </c>
      <c r="E130" s="2">
        <v>449</v>
      </c>
      <c r="F130">
        <v>0.1</v>
      </c>
      <c r="G130">
        <f t="shared" si="1"/>
        <v>448.9</v>
      </c>
      <c r="H130" t="str">
        <f>VLOOKUP(C130,'products '!$A$1:$G$322,2,FALSE)</f>
        <v>Pure Cycles Western 3-Speed - Women's - 2015/2016</v>
      </c>
    </row>
    <row r="131" spans="1:8" x14ac:dyDescent="0.3">
      <c r="A131">
        <v>130</v>
      </c>
      <c r="B131">
        <v>1</v>
      </c>
      <c r="C131">
        <v>26</v>
      </c>
      <c r="D131" s="2">
        <v>1</v>
      </c>
      <c r="E131" s="2">
        <v>599.99</v>
      </c>
      <c r="F131">
        <v>0.05</v>
      </c>
      <c r="G131">
        <f t="shared" ref="G131:G194" si="2">E131*D131-F131</f>
        <v>599.94000000000005</v>
      </c>
      <c r="H131" t="str">
        <f>VLOOKUP(C131,'products '!$A$1:$G$322,2,FALSE)</f>
        <v>Electra Townie Original 7D EQ - 2016</v>
      </c>
    </row>
    <row r="132" spans="1:8" x14ac:dyDescent="0.3">
      <c r="A132">
        <v>131</v>
      </c>
      <c r="B132">
        <v>1</v>
      </c>
      <c r="C132">
        <v>22</v>
      </c>
      <c r="D132" s="2">
        <v>2</v>
      </c>
      <c r="E132" s="2">
        <v>269.99</v>
      </c>
      <c r="F132">
        <v>0.2</v>
      </c>
      <c r="G132">
        <f t="shared" si="2"/>
        <v>539.78</v>
      </c>
      <c r="H132" t="str">
        <f>VLOOKUP(C132,'products '!$A$1:$G$322,2,FALSE)</f>
        <v>Electra Girl's Hawaii 1 (16-inch) - 2015/2016</v>
      </c>
    </row>
    <row r="133" spans="1:8" x14ac:dyDescent="0.3">
      <c r="A133">
        <v>132</v>
      </c>
      <c r="B133">
        <v>1</v>
      </c>
      <c r="C133">
        <v>2</v>
      </c>
      <c r="D133" s="2">
        <v>2</v>
      </c>
      <c r="E133" s="2">
        <v>749.99</v>
      </c>
      <c r="F133">
        <v>0.05</v>
      </c>
      <c r="G133">
        <f t="shared" si="2"/>
        <v>1499.93</v>
      </c>
      <c r="H133" t="str">
        <f>VLOOKUP(C133,'products '!$A$1:$G$322,2,FALSE)</f>
        <v>Ritchey Timberwolf Frameset - 2016</v>
      </c>
    </row>
    <row r="134" spans="1:8" x14ac:dyDescent="0.3">
      <c r="A134">
        <v>133</v>
      </c>
      <c r="B134">
        <v>1</v>
      </c>
      <c r="C134">
        <v>13</v>
      </c>
      <c r="D134" s="2">
        <v>2</v>
      </c>
      <c r="E134" s="2">
        <v>269.99</v>
      </c>
      <c r="F134">
        <v>0.05</v>
      </c>
      <c r="G134">
        <f t="shared" si="2"/>
        <v>539.93000000000006</v>
      </c>
      <c r="H134" t="str">
        <f>VLOOKUP(C134,'products '!$A$1:$G$322,2,FALSE)</f>
        <v>Electra Cruiser 1 (24-Inch) - 2016</v>
      </c>
    </row>
    <row r="135" spans="1:8" x14ac:dyDescent="0.3">
      <c r="A135">
        <v>134</v>
      </c>
      <c r="B135">
        <v>1</v>
      </c>
      <c r="C135">
        <v>19</v>
      </c>
      <c r="D135" s="2">
        <v>2</v>
      </c>
      <c r="E135" s="2">
        <v>449</v>
      </c>
      <c r="F135">
        <v>0.1</v>
      </c>
      <c r="G135">
        <f t="shared" si="2"/>
        <v>897.9</v>
      </c>
      <c r="H135" t="str">
        <f>VLOOKUP(C135,'products '!$A$1:$G$322,2,FALSE)</f>
        <v>Pure Cycles William 3-Speed - 2016</v>
      </c>
    </row>
    <row r="136" spans="1:8" x14ac:dyDescent="0.3">
      <c r="A136">
        <v>135</v>
      </c>
      <c r="B136">
        <v>1</v>
      </c>
      <c r="C136">
        <v>5</v>
      </c>
      <c r="D136" s="2">
        <v>2</v>
      </c>
      <c r="E136" s="2">
        <v>1320.99</v>
      </c>
      <c r="F136">
        <v>0.05</v>
      </c>
      <c r="G136">
        <f t="shared" si="2"/>
        <v>2641.93</v>
      </c>
      <c r="H136" t="str">
        <f>VLOOKUP(C136,'products '!$A$1:$G$322,2,FALSE)</f>
        <v>Heller Shagamaw Frame - 2016</v>
      </c>
    </row>
    <row r="137" spans="1:8" x14ac:dyDescent="0.3">
      <c r="A137">
        <v>136</v>
      </c>
      <c r="B137">
        <v>1</v>
      </c>
      <c r="C137">
        <v>7</v>
      </c>
      <c r="D137" s="2">
        <v>2</v>
      </c>
      <c r="E137" s="2">
        <v>3999.99</v>
      </c>
      <c r="F137">
        <v>0.2</v>
      </c>
      <c r="G137">
        <f t="shared" si="2"/>
        <v>7999.78</v>
      </c>
      <c r="H137" t="str">
        <f>VLOOKUP(C137,'products '!$A$1:$G$322,2,FALSE)</f>
        <v>Trek Slash 8 27.5 - 2016</v>
      </c>
    </row>
    <row r="138" spans="1:8" x14ac:dyDescent="0.3">
      <c r="A138">
        <v>137</v>
      </c>
      <c r="B138">
        <v>1</v>
      </c>
      <c r="C138">
        <v>23</v>
      </c>
      <c r="D138" s="2">
        <v>1</v>
      </c>
      <c r="E138" s="2">
        <v>299.99</v>
      </c>
      <c r="F138">
        <v>7.0000000000000007E-2</v>
      </c>
      <c r="G138">
        <f t="shared" si="2"/>
        <v>299.92</v>
      </c>
      <c r="H138" t="str">
        <f>VLOOKUP(C138,'products '!$A$1:$G$322,2,FALSE)</f>
        <v>Electra Girl's Hawaii 1 (20-inch) - 2015/2016</v>
      </c>
    </row>
    <row r="139" spans="1:8" x14ac:dyDescent="0.3">
      <c r="A139">
        <v>138</v>
      </c>
      <c r="B139">
        <v>1</v>
      </c>
      <c r="C139">
        <v>16</v>
      </c>
      <c r="D139" s="2">
        <v>2</v>
      </c>
      <c r="E139" s="2">
        <v>599.99</v>
      </c>
      <c r="F139">
        <v>0.1</v>
      </c>
      <c r="G139">
        <f t="shared" si="2"/>
        <v>1199.8800000000001</v>
      </c>
      <c r="H139" t="str">
        <f>VLOOKUP(C139,'products '!$A$1:$G$322,2,FALSE)</f>
        <v>Electra Townie Original 7D EQ - 2016</v>
      </c>
    </row>
    <row r="140" spans="1:8" x14ac:dyDescent="0.3">
      <c r="A140">
        <v>139</v>
      </c>
      <c r="B140">
        <v>1</v>
      </c>
      <c r="C140">
        <v>19</v>
      </c>
      <c r="D140" s="2">
        <v>2</v>
      </c>
      <c r="E140" s="2">
        <v>449</v>
      </c>
      <c r="F140">
        <v>7.0000000000000007E-2</v>
      </c>
      <c r="G140">
        <f t="shared" si="2"/>
        <v>897.93</v>
      </c>
      <c r="H140" t="str">
        <f>VLOOKUP(C140,'products '!$A$1:$G$322,2,FALSE)</f>
        <v>Pure Cycles William 3-Speed - 2016</v>
      </c>
    </row>
    <row r="141" spans="1:8" x14ac:dyDescent="0.3">
      <c r="A141">
        <v>140</v>
      </c>
      <c r="B141">
        <v>1</v>
      </c>
      <c r="C141">
        <v>15</v>
      </c>
      <c r="D141" s="2">
        <v>1</v>
      </c>
      <c r="E141" s="2">
        <v>529.99</v>
      </c>
      <c r="F141">
        <v>0.2</v>
      </c>
      <c r="G141">
        <f t="shared" si="2"/>
        <v>529.79</v>
      </c>
      <c r="H141" t="str">
        <f>VLOOKUP(C141,'products '!$A$1:$G$322,2,FALSE)</f>
        <v>Electra Moto 1 - 2016</v>
      </c>
    </row>
    <row r="142" spans="1:8" x14ac:dyDescent="0.3">
      <c r="A142">
        <v>141</v>
      </c>
      <c r="B142">
        <v>1</v>
      </c>
      <c r="C142">
        <v>18</v>
      </c>
      <c r="D142" s="2">
        <v>1</v>
      </c>
      <c r="E142" s="2">
        <v>449</v>
      </c>
      <c r="F142">
        <v>0.2</v>
      </c>
      <c r="G142">
        <f t="shared" si="2"/>
        <v>448.8</v>
      </c>
      <c r="H142" t="str">
        <f>VLOOKUP(C142,'products '!$A$1:$G$322,2,FALSE)</f>
        <v>Pure Cycles Western 3-Speed - Women's - 2015/2016</v>
      </c>
    </row>
    <row r="143" spans="1:8" x14ac:dyDescent="0.3">
      <c r="A143">
        <v>142</v>
      </c>
      <c r="B143">
        <v>1</v>
      </c>
      <c r="C143">
        <v>16</v>
      </c>
      <c r="D143" s="2">
        <v>2</v>
      </c>
      <c r="E143" s="2">
        <v>599.99</v>
      </c>
      <c r="F143">
        <v>0.1</v>
      </c>
      <c r="G143">
        <f t="shared" si="2"/>
        <v>1199.8800000000001</v>
      </c>
      <c r="H143" t="str">
        <f>VLOOKUP(C143,'products '!$A$1:$G$322,2,FALSE)</f>
        <v>Electra Townie Original 7D EQ - 2016</v>
      </c>
    </row>
    <row r="144" spans="1:8" x14ac:dyDescent="0.3">
      <c r="A144">
        <v>143</v>
      </c>
      <c r="B144">
        <v>1</v>
      </c>
      <c r="C144">
        <v>6</v>
      </c>
      <c r="D144" s="2">
        <v>1</v>
      </c>
      <c r="E144" s="2">
        <v>469.99</v>
      </c>
      <c r="F144">
        <v>0.2</v>
      </c>
      <c r="G144">
        <f t="shared" si="2"/>
        <v>469.79</v>
      </c>
      <c r="H144" t="str">
        <f>VLOOKUP(C144,'products '!$A$1:$G$322,2,FALSE)</f>
        <v>Surly Ice Cream Truck Frameset - 2016</v>
      </c>
    </row>
    <row r="145" spans="1:8" x14ac:dyDescent="0.3">
      <c r="A145">
        <v>144</v>
      </c>
      <c r="B145">
        <v>1</v>
      </c>
      <c r="C145">
        <v>8</v>
      </c>
      <c r="D145" s="2">
        <v>2</v>
      </c>
      <c r="E145" s="2">
        <v>1799.99</v>
      </c>
      <c r="F145">
        <v>0.05</v>
      </c>
      <c r="G145">
        <f t="shared" si="2"/>
        <v>3599.93</v>
      </c>
      <c r="H145" t="str">
        <f>VLOOKUP(C145,'products '!$A$1:$G$322,2,FALSE)</f>
        <v>Trek Remedy 29 Carbon Frameset - 2016</v>
      </c>
    </row>
    <row r="146" spans="1:8" x14ac:dyDescent="0.3">
      <c r="A146">
        <v>145</v>
      </c>
      <c r="B146">
        <v>1</v>
      </c>
      <c r="C146">
        <v>11</v>
      </c>
      <c r="D146" s="2">
        <v>1</v>
      </c>
      <c r="E146" s="2">
        <v>1680.99</v>
      </c>
      <c r="F146">
        <v>0.2</v>
      </c>
      <c r="G146">
        <f t="shared" si="2"/>
        <v>1680.79</v>
      </c>
      <c r="H146" t="str">
        <f>VLOOKUP(C146,'products '!$A$1:$G$322,2,FALSE)</f>
        <v>Surly Straggler 650b - 2016</v>
      </c>
    </row>
    <row r="147" spans="1:8" x14ac:dyDescent="0.3">
      <c r="A147">
        <v>146</v>
      </c>
      <c r="B147">
        <v>1</v>
      </c>
      <c r="C147">
        <v>3</v>
      </c>
      <c r="D147" s="2">
        <v>2</v>
      </c>
      <c r="E147" s="2">
        <v>999.99</v>
      </c>
      <c r="F147">
        <v>0.2</v>
      </c>
      <c r="G147">
        <f t="shared" si="2"/>
        <v>1999.78</v>
      </c>
      <c r="H147" t="str">
        <f>VLOOKUP(C147,'products '!$A$1:$G$322,2,FALSE)</f>
        <v>Surly Wednesday Frameset - 2016</v>
      </c>
    </row>
    <row r="148" spans="1:8" x14ac:dyDescent="0.3">
      <c r="A148">
        <v>147</v>
      </c>
      <c r="B148">
        <v>1</v>
      </c>
      <c r="C148">
        <v>26</v>
      </c>
      <c r="D148" s="2">
        <v>2</v>
      </c>
      <c r="E148" s="2">
        <v>599.99</v>
      </c>
      <c r="F148">
        <v>0.2</v>
      </c>
      <c r="G148">
        <f t="shared" si="2"/>
        <v>1199.78</v>
      </c>
      <c r="H148" t="str">
        <f>VLOOKUP(C148,'products '!$A$1:$G$322,2,FALSE)</f>
        <v>Electra Townie Original 7D EQ - 2016</v>
      </c>
    </row>
    <row r="149" spans="1:8" x14ac:dyDescent="0.3">
      <c r="A149">
        <v>148</v>
      </c>
      <c r="B149">
        <v>1</v>
      </c>
      <c r="C149">
        <v>14</v>
      </c>
      <c r="D149" s="2">
        <v>1</v>
      </c>
      <c r="E149" s="2">
        <v>269.99</v>
      </c>
      <c r="F149">
        <v>0.05</v>
      </c>
      <c r="G149">
        <f t="shared" si="2"/>
        <v>269.94</v>
      </c>
      <c r="H149" t="str">
        <f>VLOOKUP(C149,'products '!$A$1:$G$322,2,FALSE)</f>
        <v>Electra Girl's Hawaii 1 (16-inch) - 2015/2016</v>
      </c>
    </row>
    <row r="150" spans="1:8" x14ac:dyDescent="0.3">
      <c r="A150">
        <v>149</v>
      </c>
      <c r="B150">
        <v>1</v>
      </c>
      <c r="C150">
        <v>12</v>
      </c>
      <c r="D150" s="2">
        <v>2</v>
      </c>
      <c r="E150" s="2">
        <v>549.99</v>
      </c>
      <c r="F150">
        <v>7.0000000000000007E-2</v>
      </c>
      <c r="G150">
        <f t="shared" si="2"/>
        <v>1099.9100000000001</v>
      </c>
      <c r="H150" t="str">
        <f>VLOOKUP(C150,'products '!$A$1:$G$322,2,FALSE)</f>
        <v>Electra Townie Original 21D - 2016</v>
      </c>
    </row>
    <row r="151" spans="1:8" x14ac:dyDescent="0.3">
      <c r="A151">
        <v>150</v>
      </c>
      <c r="B151">
        <v>1</v>
      </c>
      <c r="C151">
        <v>7</v>
      </c>
      <c r="D151" s="2">
        <v>1</v>
      </c>
      <c r="E151" s="2">
        <v>3999.99</v>
      </c>
      <c r="F151">
        <v>0.1</v>
      </c>
      <c r="G151">
        <f t="shared" si="2"/>
        <v>3999.89</v>
      </c>
      <c r="H151" t="str">
        <f>VLOOKUP(C151,'products '!$A$1:$G$322,2,FALSE)</f>
        <v>Trek Slash 8 27.5 - 2016</v>
      </c>
    </row>
    <row r="152" spans="1:8" x14ac:dyDescent="0.3">
      <c r="A152">
        <v>151</v>
      </c>
      <c r="B152">
        <v>1</v>
      </c>
      <c r="C152">
        <v>17</v>
      </c>
      <c r="D152" s="2">
        <v>1</v>
      </c>
      <c r="E152" s="2">
        <v>429</v>
      </c>
      <c r="F152">
        <v>0.1</v>
      </c>
      <c r="G152">
        <f t="shared" si="2"/>
        <v>428.9</v>
      </c>
      <c r="H152" t="str">
        <f>VLOOKUP(C152,'products '!$A$1:$G$322,2,FALSE)</f>
        <v>Pure Cycles Vine 8-Speed - 2016</v>
      </c>
    </row>
    <row r="153" spans="1:8" x14ac:dyDescent="0.3">
      <c r="A153">
        <v>152</v>
      </c>
      <c r="B153">
        <v>1</v>
      </c>
      <c r="C153">
        <v>6</v>
      </c>
      <c r="D153" s="2">
        <v>2</v>
      </c>
      <c r="E153" s="2">
        <v>469.99</v>
      </c>
      <c r="F153">
        <v>0.2</v>
      </c>
      <c r="G153">
        <f t="shared" si="2"/>
        <v>939.78</v>
      </c>
      <c r="H153" t="str">
        <f>VLOOKUP(C153,'products '!$A$1:$G$322,2,FALSE)</f>
        <v>Surly Ice Cream Truck Frameset - 2016</v>
      </c>
    </row>
    <row r="154" spans="1:8" x14ac:dyDescent="0.3">
      <c r="A154">
        <v>153</v>
      </c>
      <c r="B154">
        <v>1</v>
      </c>
      <c r="C154">
        <v>16</v>
      </c>
      <c r="D154" s="2">
        <v>1</v>
      </c>
      <c r="E154" s="2">
        <v>599.99</v>
      </c>
      <c r="F154">
        <v>7.0000000000000007E-2</v>
      </c>
      <c r="G154">
        <f t="shared" si="2"/>
        <v>599.91999999999996</v>
      </c>
      <c r="H154" t="str">
        <f>VLOOKUP(C154,'products '!$A$1:$G$322,2,FALSE)</f>
        <v>Electra Townie Original 7D EQ - 2016</v>
      </c>
    </row>
    <row r="155" spans="1:8" x14ac:dyDescent="0.3">
      <c r="A155">
        <v>154</v>
      </c>
      <c r="B155">
        <v>1</v>
      </c>
      <c r="C155">
        <v>12</v>
      </c>
      <c r="D155" s="2">
        <v>1</v>
      </c>
      <c r="E155" s="2">
        <v>549.99</v>
      </c>
      <c r="F155">
        <v>0.1</v>
      </c>
      <c r="G155">
        <f t="shared" si="2"/>
        <v>549.89</v>
      </c>
      <c r="H155" t="str">
        <f>VLOOKUP(C155,'products '!$A$1:$G$322,2,FALSE)</f>
        <v>Electra Townie Original 21D - 2016</v>
      </c>
    </row>
    <row r="156" spans="1:8" x14ac:dyDescent="0.3">
      <c r="A156">
        <v>155</v>
      </c>
      <c r="B156">
        <v>1</v>
      </c>
      <c r="C156">
        <v>8</v>
      </c>
      <c r="D156" s="2">
        <v>1</v>
      </c>
      <c r="E156" s="2">
        <v>1799.99</v>
      </c>
      <c r="F156">
        <v>0.1</v>
      </c>
      <c r="G156">
        <f t="shared" si="2"/>
        <v>1799.89</v>
      </c>
      <c r="H156" t="str">
        <f>VLOOKUP(C156,'products '!$A$1:$G$322,2,FALSE)</f>
        <v>Trek Remedy 29 Carbon Frameset - 2016</v>
      </c>
    </row>
    <row r="157" spans="1:8" x14ac:dyDescent="0.3">
      <c r="A157">
        <v>156</v>
      </c>
      <c r="B157">
        <v>1</v>
      </c>
      <c r="C157">
        <v>18</v>
      </c>
      <c r="D157" s="2">
        <v>2</v>
      </c>
      <c r="E157" s="2">
        <v>449</v>
      </c>
      <c r="F157">
        <v>0.2</v>
      </c>
      <c r="G157">
        <f t="shared" si="2"/>
        <v>897.8</v>
      </c>
      <c r="H157" t="str">
        <f>VLOOKUP(C157,'products '!$A$1:$G$322,2,FALSE)</f>
        <v>Pure Cycles Western 3-Speed - Women's - 2015/2016</v>
      </c>
    </row>
    <row r="158" spans="1:8" x14ac:dyDescent="0.3">
      <c r="A158">
        <v>157</v>
      </c>
      <c r="B158">
        <v>1</v>
      </c>
      <c r="C158">
        <v>4</v>
      </c>
      <c r="D158" s="2">
        <v>1</v>
      </c>
      <c r="E158" s="2">
        <v>2899.99</v>
      </c>
      <c r="F158">
        <v>0.1</v>
      </c>
      <c r="G158">
        <f t="shared" si="2"/>
        <v>2899.89</v>
      </c>
      <c r="H158" t="str">
        <f>VLOOKUP(C158,'products '!$A$1:$G$322,2,FALSE)</f>
        <v>Trek Fuel EX 8 29 - 2016</v>
      </c>
    </row>
    <row r="159" spans="1:8" x14ac:dyDescent="0.3">
      <c r="A159">
        <v>158</v>
      </c>
      <c r="B159">
        <v>1</v>
      </c>
      <c r="C159">
        <v>24</v>
      </c>
      <c r="D159" s="2">
        <v>1</v>
      </c>
      <c r="E159" s="2">
        <v>549.99</v>
      </c>
      <c r="F159">
        <v>0.1</v>
      </c>
      <c r="G159">
        <f t="shared" si="2"/>
        <v>549.89</v>
      </c>
      <c r="H159" t="str">
        <f>VLOOKUP(C159,'products '!$A$1:$G$322,2,FALSE)</f>
        <v>Electra Townie Original 21D - 2016</v>
      </c>
    </row>
    <row r="160" spans="1:8" x14ac:dyDescent="0.3">
      <c r="A160">
        <v>159</v>
      </c>
      <c r="B160">
        <v>1</v>
      </c>
      <c r="C160">
        <v>13</v>
      </c>
      <c r="D160" s="2">
        <v>1</v>
      </c>
      <c r="E160" s="2">
        <v>269.99</v>
      </c>
      <c r="F160">
        <v>0.2</v>
      </c>
      <c r="G160">
        <f t="shared" si="2"/>
        <v>269.79000000000002</v>
      </c>
      <c r="H160" t="str">
        <f>VLOOKUP(C160,'products '!$A$1:$G$322,2,FALSE)</f>
        <v>Electra Cruiser 1 (24-Inch) - 2016</v>
      </c>
    </row>
    <row r="161" spans="1:8" x14ac:dyDescent="0.3">
      <c r="A161">
        <v>160</v>
      </c>
      <c r="B161">
        <v>1</v>
      </c>
      <c r="C161">
        <v>21</v>
      </c>
      <c r="D161" s="2">
        <v>1</v>
      </c>
      <c r="E161" s="2">
        <v>269.99</v>
      </c>
      <c r="F161">
        <v>7.0000000000000007E-2</v>
      </c>
      <c r="G161">
        <f t="shared" si="2"/>
        <v>269.92</v>
      </c>
      <c r="H161" t="str">
        <f>VLOOKUP(C161,'products '!$A$1:$G$322,2,FALSE)</f>
        <v>Electra Cruiser 1 (24-Inch) - 2016</v>
      </c>
    </row>
    <row r="162" spans="1:8" x14ac:dyDescent="0.3">
      <c r="A162">
        <v>161</v>
      </c>
      <c r="B162">
        <v>1</v>
      </c>
      <c r="C162">
        <v>24</v>
      </c>
      <c r="D162" s="2">
        <v>2</v>
      </c>
      <c r="E162" s="2">
        <v>549.99</v>
      </c>
      <c r="F162">
        <v>7.0000000000000007E-2</v>
      </c>
      <c r="G162">
        <f t="shared" si="2"/>
        <v>1099.9100000000001</v>
      </c>
      <c r="H162" t="str">
        <f>VLOOKUP(C162,'products '!$A$1:$G$322,2,FALSE)</f>
        <v>Electra Townie Original 21D - 2016</v>
      </c>
    </row>
    <row r="163" spans="1:8" x14ac:dyDescent="0.3">
      <c r="A163">
        <v>162</v>
      </c>
      <c r="B163">
        <v>1</v>
      </c>
      <c r="C163">
        <v>18</v>
      </c>
      <c r="D163" s="2">
        <v>1</v>
      </c>
      <c r="E163" s="2">
        <v>449</v>
      </c>
      <c r="F163">
        <v>7.0000000000000007E-2</v>
      </c>
      <c r="G163">
        <f t="shared" si="2"/>
        <v>448.93</v>
      </c>
      <c r="H163" t="str">
        <f>VLOOKUP(C163,'products '!$A$1:$G$322,2,FALSE)</f>
        <v>Pure Cycles Western 3-Speed - Women's - 2015/2016</v>
      </c>
    </row>
    <row r="164" spans="1:8" x14ac:dyDescent="0.3">
      <c r="A164">
        <v>163</v>
      </c>
      <c r="B164">
        <v>1</v>
      </c>
      <c r="C164">
        <v>12</v>
      </c>
      <c r="D164" s="2">
        <v>1</v>
      </c>
      <c r="E164" s="2">
        <v>549.99</v>
      </c>
      <c r="F164">
        <v>0.1</v>
      </c>
      <c r="G164">
        <f t="shared" si="2"/>
        <v>549.89</v>
      </c>
      <c r="H164" t="str">
        <f>VLOOKUP(C164,'products '!$A$1:$G$322,2,FALSE)</f>
        <v>Electra Townie Original 21D - 2016</v>
      </c>
    </row>
    <row r="165" spans="1:8" x14ac:dyDescent="0.3">
      <c r="A165">
        <v>164</v>
      </c>
      <c r="B165">
        <v>1</v>
      </c>
      <c r="C165">
        <v>4</v>
      </c>
      <c r="D165" s="2">
        <v>2</v>
      </c>
      <c r="E165" s="2">
        <v>2899.99</v>
      </c>
      <c r="F165">
        <v>0.05</v>
      </c>
      <c r="G165">
        <f t="shared" si="2"/>
        <v>5799.9299999999994</v>
      </c>
      <c r="H165" t="str">
        <f>VLOOKUP(C165,'products '!$A$1:$G$322,2,FALSE)</f>
        <v>Trek Fuel EX 8 29 - 2016</v>
      </c>
    </row>
    <row r="166" spans="1:8" x14ac:dyDescent="0.3">
      <c r="A166">
        <v>165</v>
      </c>
      <c r="B166">
        <v>1</v>
      </c>
      <c r="C166">
        <v>4</v>
      </c>
      <c r="D166" s="2">
        <v>2</v>
      </c>
      <c r="E166" s="2">
        <v>2899.99</v>
      </c>
      <c r="F166">
        <v>0.05</v>
      </c>
      <c r="G166">
        <f t="shared" si="2"/>
        <v>5799.9299999999994</v>
      </c>
      <c r="H166" t="str">
        <f>VLOOKUP(C166,'products '!$A$1:$G$322,2,FALSE)</f>
        <v>Trek Fuel EX 8 29 - 2016</v>
      </c>
    </row>
    <row r="167" spans="1:8" x14ac:dyDescent="0.3">
      <c r="A167">
        <v>166</v>
      </c>
      <c r="B167">
        <v>1</v>
      </c>
      <c r="C167">
        <v>10</v>
      </c>
      <c r="D167" s="2">
        <v>2</v>
      </c>
      <c r="E167" s="2">
        <v>1549</v>
      </c>
      <c r="F167">
        <v>0.1</v>
      </c>
      <c r="G167">
        <f t="shared" si="2"/>
        <v>3097.9</v>
      </c>
      <c r="H167" t="str">
        <f>VLOOKUP(C167,'products '!$A$1:$G$322,2,FALSE)</f>
        <v>Surly Straggler - 2016</v>
      </c>
    </row>
    <row r="168" spans="1:8" x14ac:dyDescent="0.3">
      <c r="A168">
        <v>167</v>
      </c>
      <c r="B168">
        <v>1</v>
      </c>
      <c r="C168">
        <v>12</v>
      </c>
      <c r="D168" s="2">
        <v>1</v>
      </c>
      <c r="E168" s="2">
        <v>549.99</v>
      </c>
      <c r="F168">
        <v>0.05</v>
      </c>
      <c r="G168">
        <f t="shared" si="2"/>
        <v>549.94000000000005</v>
      </c>
      <c r="H168" t="str">
        <f>VLOOKUP(C168,'products '!$A$1:$G$322,2,FALSE)</f>
        <v>Electra Townie Original 21D - 2016</v>
      </c>
    </row>
    <row r="169" spans="1:8" x14ac:dyDescent="0.3">
      <c r="A169">
        <v>168</v>
      </c>
      <c r="B169">
        <v>1</v>
      </c>
      <c r="C169">
        <v>6</v>
      </c>
      <c r="D169" s="2">
        <v>1</v>
      </c>
      <c r="E169" s="2">
        <v>469.99</v>
      </c>
      <c r="F169">
        <v>0.1</v>
      </c>
      <c r="G169">
        <f t="shared" si="2"/>
        <v>469.89</v>
      </c>
      <c r="H169" t="str">
        <f>VLOOKUP(C169,'products '!$A$1:$G$322,2,FALSE)</f>
        <v>Surly Ice Cream Truck Frameset - 2016</v>
      </c>
    </row>
    <row r="170" spans="1:8" x14ac:dyDescent="0.3">
      <c r="A170">
        <v>169</v>
      </c>
      <c r="B170">
        <v>1</v>
      </c>
      <c r="C170">
        <v>20</v>
      </c>
      <c r="D170" s="2">
        <v>2</v>
      </c>
      <c r="E170" s="2">
        <v>599.99</v>
      </c>
      <c r="F170">
        <v>0.1</v>
      </c>
      <c r="G170">
        <f t="shared" si="2"/>
        <v>1199.8800000000001</v>
      </c>
      <c r="H170" t="str">
        <f>VLOOKUP(C170,'products '!$A$1:$G$322,2,FALSE)</f>
        <v>Electra Townie Original 7D EQ - Women's - 2016</v>
      </c>
    </row>
    <row r="171" spans="1:8" x14ac:dyDescent="0.3">
      <c r="A171">
        <v>170</v>
      </c>
      <c r="B171">
        <v>1</v>
      </c>
      <c r="C171">
        <v>12</v>
      </c>
      <c r="D171" s="2">
        <v>2</v>
      </c>
      <c r="E171" s="2">
        <v>549.99</v>
      </c>
      <c r="F171">
        <v>0.1</v>
      </c>
      <c r="G171">
        <f t="shared" si="2"/>
        <v>1099.8800000000001</v>
      </c>
      <c r="H171" t="str">
        <f>VLOOKUP(C171,'products '!$A$1:$G$322,2,FALSE)</f>
        <v>Electra Townie Original 21D - 2016</v>
      </c>
    </row>
    <row r="172" spans="1:8" x14ac:dyDescent="0.3">
      <c r="A172">
        <v>171</v>
      </c>
      <c r="B172">
        <v>1</v>
      </c>
      <c r="C172">
        <v>8</v>
      </c>
      <c r="D172" s="2">
        <v>1</v>
      </c>
      <c r="E172" s="2">
        <v>1799.99</v>
      </c>
      <c r="F172">
        <v>0.05</v>
      </c>
      <c r="G172">
        <f t="shared" si="2"/>
        <v>1799.94</v>
      </c>
      <c r="H172" t="str">
        <f>VLOOKUP(C172,'products '!$A$1:$G$322,2,FALSE)</f>
        <v>Trek Remedy 29 Carbon Frameset - 2016</v>
      </c>
    </row>
    <row r="173" spans="1:8" x14ac:dyDescent="0.3">
      <c r="A173">
        <v>172</v>
      </c>
      <c r="B173">
        <v>1</v>
      </c>
      <c r="C173">
        <v>23</v>
      </c>
      <c r="D173" s="2">
        <v>1</v>
      </c>
      <c r="E173" s="2">
        <v>299.99</v>
      </c>
      <c r="F173">
        <v>7.0000000000000007E-2</v>
      </c>
      <c r="G173">
        <f t="shared" si="2"/>
        <v>299.92</v>
      </c>
      <c r="H173" t="str">
        <f>VLOOKUP(C173,'products '!$A$1:$G$322,2,FALSE)</f>
        <v>Electra Girl's Hawaii 1 (20-inch) - 2015/2016</v>
      </c>
    </row>
    <row r="174" spans="1:8" x14ac:dyDescent="0.3">
      <c r="A174">
        <v>173</v>
      </c>
      <c r="B174">
        <v>1</v>
      </c>
      <c r="C174">
        <v>14</v>
      </c>
      <c r="D174" s="2">
        <v>1</v>
      </c>
      <c r="E174" s="2">
        <v>269.99</v>
      </c>
      <c r="F174">
        <v>0.05</v>
      </c>
      <c r="G174">
        <f t="shared" si="2"/>
        <v>269.94</v>
      </c>
      <c r="H174" t="str">
        <f>VLOOKUP(C174,'products '!$A$1:$G$322,2,FALSE)</f>
        <v>Electra Girl's Hawaii 1 (16-inch) - 2015/2016</v>
      </c>
    </row>
    <row r="175" spans="1:8" x14ac:dyDescent="0.3">
      <c r="A175">
        <v>174</v>
      </c>
      <c r="B175">
        <v>1</v>
      </c>
      <c r="C175">
        <v>22</v>
      </c>
      <c r="D175" s="2">
        <v>2</v>
      </c>
      <c r="E175" s="2">
        <v>269.99</v>
      </c>
      <c r="F175">
        <v>0.2</v>
      </c>
      <c r="G175">
        <f t="shared" si="2"/>
        <v>539.78</v>
      </c>
      <c r="H175" t="str">
        <f>VLOOKUP(C175,'products '!$A$1:$G$322,2,FALSE)</f>
        <v>Electra Girl's Hawaii 1 (16-inch) - 2015/2016</v>
      </c>
    </row>
    <row r="176" spans="1:8" x14ac:dyDescent="0.3">
      <c r="A176">
        <v>175</v>
      </c>
      <c r="B176">
        <v>1</v>
      </c>
      <c r="C176">
        <v>5</v>
      </c>
      <c r="D176" s="2">
        <v>1</v>
      </c>
      <c r="E176" s="2">
        <v>1320.99</v>
      </c>
      <c r="F176">
        <v>0.1</v>
      </c>
      <c r="G176">
        <f t="shared" si="2"/>
        <v>1320.89</v>
      </c>
      <c r="H176" t="str">
        <f>VLOOKUP(C176,'products '!$A$1:$G$322,2,FALSE)</f>
        <v>Heller Shagamaw Frame - 2016</v>
      </c>
    </row>
    <row r="177" spans="1:8" x14ac:dyDescent="0.3">
      <c r="A177">
        <v>176</v>
      </c>
      <c r="B177">
        <v>1</v>
      </c>
      <c r="C177">
        <v>2</v>
      </c>
      <c r="D177" s="2">
        <v>2</v>
      </c>
      <c r="E177" s="2">
        <v>749.99</v>
      </c>
      <c r="F177">
        <v>7.0000000000000007E-2</v>
      </c>
      <c r="G177">
        <f t="shared" si="2"/>
        <v>1499.91</v>
      </c>
      <c r="H177" t="str">
        <f>VLOOKUP(C177,'products '!$A$1:$G$322,2,FALSE)</f>
        <v>Ritchey Timberwolf Frameset - 2016</v>
      </c>
    </row>
    <row r="178" spans="1:8" x14ac:dyDescent="0.3">
      <c r="A178">
        <v>177</v>
      </c>
      <c r="B178">
        <v>1</v>
      </c>
      <c r="C178">
        <v>20</v>
      </c>
      <c r="D178" s="2">
        <v>2</v>
      </c>
      <c r="E178" s="2">
        <v>599.99</v>
      </c>
      <c r="F178">
        <v>0.1</v>
      </c>
      <c r="G178">
        <f t="shared" si="2"/>
        <v>1199.8800000000001</v>
      </c>
      <c r="H178" t="str">
        <f>VLOOKUP(C178,'products '!$A$1:$G$322,2,FALSE)</f>
        <v>Electra Townie Original 7D EQ - Women's - 2016</v>
      </c>
    </row>
    <row r="179" spans="1:8" x14ac:dyDescent="0.3">
      <c r="A179">
        <v>178</v>
      </c>
      <c r="B179">
        <v>1</v>
      </c>
      <c r="C179">
        <v>10</v>
      </c>
      <c r="D179" s="2">
        <v>2</v>
      </c>
      <c r="E179" s="2">
        <v>1549</v>
      </c>
      <c r="F179">
        <v>0.2</v>
      </c>
      <c r="G179">
        <f t="shared" si="2"/>
        <v>3097.8</v>
      </c>
      <c r="H179" t="str">
        <f>VLOOKUP(C179,'products '!$A$1:$G$322,2,FALSE)</f>
        <v>Surly Straggler - 2016</v>
      </c>
    </row>
    <row r="180" spans="1:8" x14ac:dyDescent="0.3">
      <c r="A180">
        <v>179</v>
      </c>
      <c r="B180">
        <v>1</v>
      </c>
      <c r="C180">
        <v>13</v>
      </c>
      <c r="D180" s="2">
        <v>2</v>
      </c>
      <c r="E180" s="2">
        <v>269.99</v>
      </c>
      <c r="F180">
        <v>0.05</v>
      </c>
      <c r="G180">
        <f t="shared" si="2"/>
        <v>539.93000000000006</v>
      </c>
      <c r="H180" t="str">
        <f>VLOOKUP(C180,'products '!$A$1:$G$322,2,FALSE)</f>
        <v>Electra Cruiser 1 (24-Inch) - 2016</v>
      </c>
    </row>
    <row r="181" spans="1:8" x14ac:dyDescent="0.3">
      <c r="A181">
        <v>180</v>
      </c>
      <c r="B181">
        <v>1</v>
      </c>
      <c r="C181">
        <v>16</v>
      </c>
      <c r="D181" s="2">
        <v>1</v>
      </c>
      <c r="E181" s="2">
        <v>599.99</v>
      </c>
      <c r="F181">
        <v>7.0000000000000007E-2</v>
      </c>
      <c r="G181">
        <f t="shared" si="2"/>
        <v>599.91999999999996</v>
      </c>
      <c r="H181" t="str">
        <f>VLOOKUP(C181,'products '!$A$1:$G$322,2,FALSE)</f>
        <v>Electra Townie Original 7D EQ - 2016</v>
      </c>
    </row>
    <row r="182" spans="1:8" x14ac:dyDescent="0.3">
      <c r="A182">
        <v>181</v>
      </c>
      <c r="B182">
        <v>1</v>
      </c>
      <c r="C182">
        <v>10</v>
      </c>
      <c r="D182" s="2">
        <v>1</v>
      </c>
      <c r="E182" s="2">
        <v>1549</v>
      </c>
      <c r="F182">
        <v>0.05</v>
      </c>
      <c r="G182">
        <f t="shared" si="2"/>
        <v>1548.95</v>
      </c>
      <c r="H182" t="str">
        <f>VLOOKUP(C182,'products '!$A$1:$G$322,2,FALSE)</f>
        <v>Surly Straggler - 2016</v>
      </c>
    </row>
    <row r="183" spans="1:8" x14ac:dyDescent="0.3">
      <c r="A183">
        <v>182</v>
      </c>
      <c r="B183">
        <v>1</v>
      </c>
      <c r="C183">
        <v>25</v>
      </c>
      <c r="D183" s="2">
        <v>2</v>
      </c>
      <c r="E183" s="2">
        <v>499.99</v>
      </c>
      <c r="F183">
        <v>0.05</v>
      </c>
      <c r="G183">
        <f t="shared" si="2"/>
        <v>999.93000000000006</v>
      </c>
      <c r="H183" t="str">
        <f>VLOOKUP(C183,'products '!$A$1:$G$322,2,FALSE)</f>
        <v>Electra Townie Original 7D - 2015/2016</v>
      </c>
    </row>
    <row r="184" spans="1:8" x14ac:dyDescent="0.3">
      <c r="A184">
        <v>183</v>
      </c>
      <c r="B184">
        <v>1</v>
      </c>
      <c r="C184">
        <v>11</v>
      </c>
      <c r="D184" s="2">
        <v>2</v>
      </c>
      <c r="E184" s="2">
        <v>1680.99</v>
      </c>
      <c r="F184">
        <v>0.2</v>
      </c>
      <c r="G184">
        <f t="shared" si="2"/>
        <v>3361.78</v>
      </c>
      <c r="H184" t="str">
        <f>VLOOKUP(C184,'products '!$A$1:$G$322,2,FALSE)</f>
        <v>Surly Straggler 650b - 2016</v>
      </c>
    </row>
    <row r="185" spans="1:8" x14ac:dyDescent="0.3">
      <c r="A185">
        <v>184</v>
      </c>
      <c r="B185">
        <v>1</v>
      </c>
      <c r="C185">
        <v>4</v>
      </c>
      <c r="D185" s="2">
        <v>1</v>
      </c>
      <c r="E185" s="2">
        <v>2899.99</v>
      </c>
      <c r="F185">
        <v>0.2</v>
      </c>
      <c r="G185">
        <f t="shared" si="2"/>
        <v>2899.79</v>
      </c>
      <c r="H185" t="str">
        <f>VLOOKUP(C185,'products '!$A$1:$G$322,2,FALSE)</f>
        <v>Trek Fuel EX 8 29 - 2016</v>
      </c>
    </row>
    <row r="186" spans="1:8" x14ac:dyDescent="0.3">
      <c r="A186">
        <v>185</v>
      </c>
      <c r="B186">
        <v>1</v>
      </c>
      <c r="C186">
        <v>20</v>
      </c>
      <c r="D186" s="2">
        <v>1</v>
      </c>
      <c r="E186" s="2">
        <v>599.99</v>
      </c>
      <c r="F186">
        <v>0.1</v>
      </c>
      <c r="G186">
        <f t="shared" si="2"/>
        <v>599.89</v>
      </c>
      <c r="H186" t="str">
        <f>VLOOKUP(C186,'products '!$A$1:$G$322,2,FALSE)</f>
        <v>Electra Townie Original 7D EQ - Women's - 2016</v>
      </c>
    </row>
    <row r="187" spans="1:8" x14ac:dyDescent="0.3">
      <c r="A187">
        <v>186</v>
      </c>
      <c r="B187">
        <v>1</v>
      </c>
      <c r="C187">
        <v>4</v>
      </c>
      <c r="D187" s="2">
        <v>1</v>
      </c>
      <c r="E187" s="2">
        <v>2899.99</v>
      </c>
      <c r="F187">
        <v>0.1</v>
      </c>
      <c r="G187">
        <f t="shared" si="2"/>
        <v>2899.89</v>
      </c>
      <c r="H187" t="str">
        <f>VLOOKUP(C187,'products '!$A$1:$G$322,2,FALSE)</f>
        <v>Trek Fuel EX 8 29 - 2016</v>
      </c>
    </row>
    <row r="188" spans="1:8" x14ac:dyDescent="0.3">
      <c r="A188">
        <v>187</v>
      </c>
      <c r="B188">
        <v>1</v>
      </c>
      <c r="C188">
        <v>5</v>
      </c>
      <c r="D188" s="2">
        <v>1</v>
      </c>
      <c r="E188" s="2">
        <v>1320.99</v>
      </c>
      <c r="F188">
        <v>0.05</v>
      </c>
      <c r="G188">
        <f t="shared" si="2"/>
        <v>1320.94</v>
      </c>
      <c r="H188" t="str">
        <f>VLOOKUP(C188,'products '!$A$1:$G$322,2,FALSE)</f>
        <v>Heller Shagamaw Frame - 2016</v>
      </c>
    </row>
    <row r="189" spans="1:8" x14ac:dyDescent="0.3">
      <c r="A189">
        <v>188</v>
      </c>
      <c r="B189">
        <v>1</v>
      </c>
      <c r="C189">
        <v>7</v>
      </c>
      <c r="D189" s="2">
        <v>2</v>
      </c>
      <c r="E189" s="2">
        <v>3999.99</v>
      </c>
      <c r="F189">
        <v>7.0000000000000007E-2</v>
      </c>
      <c r="G189">
        <f t="shared" si="2"/>
        <v>7999.91</v>
      </c>
      <c r="H189" t="str">
        <f>VLOOKUP(C189,'products '!$A$1:$G$322,2,FALSE)</f>
        <v>Trek Slash 8 27.5 - 2016</v>
      </c>
    </row>
    <row r="190" spans="1:8" x14ac:dyDescent="0.3">
      <c r="A190">
        <v>189</v>
      </c>
      <c r="B190">
        <v>1</v>
      </c>
      <c r="C190">
        <v>16</v>
      </c>
      <c r="D190" s="2">
        <v>2</v>
      </c>
      <c r="E190" s="2">
        <v>599.99</v>
      </c>
      <c r="F190">
        <v>0.2</v>
      </c>
      <c r="G190">
        <f t="shared" si="2"/>
        <v>1199.78</v>
      </c>
      <c r="H190" t="str">
        <f>VLOOKUP(C190,'products '!$A$1:$G$322,2,FALSE)</f>
        <v>Electra Townie Original 7D EQ - 2016</v>
      </c>
    </row>
    <row r="191" spans="1:8" x14ac:dyDescent="0.3">
      <c r="A191">
        <v>190</v>
      </c>
      <c r="B191">
        <v>1</v>
      </c>
      <c r="C191">
        <v>24</v>
      </c>
      <c r="D191" s="2">
        <v>1</v>
      </c>
      <c r="E191" s="2">
        <v>549.99</v>
      </c>
      <c r="F191">
        <v>0.05</v>
      </c>
      <c r="G191">
        <f t="shared" si="2"/>
        <v>549.94000000000005</v>
      </c>
      <c r="H191" t="str">
        <f>VLOOKUP(C191,'products '!$A$1:$G$322,2,FALSE)</f>
        <v>Electra Townie Original 21D - 2016</v>
      </c>
    </row>
    <row r="192" spans="1:8" x14ac:dyDescent="0.3">
      <c r="A192">
        <v>191</v>
      </c>
      <c r="B192">
        <v>1</v>
      </c>
      <c r="C192">
        <v>25</v>
      </c>
      <c r="D192" s="2">
        <v>1</v>
      </c>
      <c r="E192" s="2">
        <v>499.99</v>
      </c>
      <c r="F192">
        <v>0.05</v>
      </c>
      <c r="G192">
        <f t="shared" si="2"/>
        <v>499.94</v>
      </c>
      <c r="H192" t="str">
        <f>VLOOKUP(C192,'products '!$A$1:$G$322,2,FALSE)</f>
        <v>Electra Townie Original 7D - 2015/2016</v>
      </c>
    </row>
    <row r="193" spans="1:8" x14ac:dyDescent="0.3">
      <c r="A193">
        <v>192</v>
      </c>
      <c r="B193">
        <v>1</v>
      </c>
      <c r="C193">
        <v>8</v>
      </c>
      <c r="D193" s="2">
        <v>2</v>
      </c>
      <c r="E193" s="2">
        <v>1799.99</v>
      </c>
      <c r="F193">
        <v>0.1</v>
      </c>
      <c r="G193">
        <f t="shared" si="2"/>
        <v>3599.88</v>
      </c>
      <c r="H193" t="str">
        <f>VLOOKUP(C193,'products '!$A$1:$G$322,2,FALSE)</f>
        <v>Trek Remedy 29 Carbon Frameset - 2016</v>
      </c>
    </row>
    <row r="194" spans="1:8" x14ac:dyDescent="0.3">
      <c r="A194">
        <v>193</v>
      </c>
      <c r="B194">
        <v>1</v>
      </c>
      <c r="C194">
        <v>12</v>
      </c>
      <c r="D194" s="2">
        <v>2</v>
      </c>
      <c r="E194" s="2">
        <v>549.99</v>
      </c>
      <c r="F194">
        <v>0.1</v>
      </c>
      <c r="G194">
        <f t="shared" si="2"/>
        <v>1099.8800000000001</v>
      </c>
      <c r="H194" t="str">
        <f>VLOOKUP(C194,'products '!$A$1:$G$322,2,FALSE)</f>
        <v>Electra Townie Original 21D - 2016</v>
      </c>
    </row>
    <row r="195" spans="1:8" x14ac:dyDescent="0.3">
      <c r="A195">
        <v>194</v>
      </c>
      <c r="B195">
        <v>1</v>
      </c>
      <c r="C195">
        <v>21</v>
      </c>
      <c r="D195" s="2">
        <v>2</v>
      </c>
      <c r="E195" s="2">
        <v>269.99</v>
      </c>
      <c r="F195">
        <v>0.2</v>
      </c>
      <c r="G195">
        <f t="shared" ref="G195:G258" si="3">E195*D195-F195</f>
        <v>539.78</v>
      </c>
      <c r="H195" t="str">
        <f>VLOOKUP(C195,'products '!$A$1:$G$322,2,FALSE)</f>
        <v>Electra Cruiser 1 (24-Inch) - 2016</v>
      </c>
    </row>
    <row r="196" spans="1:8" x14ac:dyDescent="0.3">
      <c r="A196">
        <v>195</v>
      </c>
      <c r="B196">
        <v>1</v>
      </c>
      <c r="C196">
        <v>18</v>
      </c>
      <c r="D196" s="2">
        <v>1</v>
      </c>
      <c r="E196" s="2">
        <v>449</v>
      </c>
      <c r="F196">
        <v>0.2</v>
      </c>
      <c r="G196">
        <f t="shared" si="3"/>
        <v>448.8</v>
      </c>
      <c r="H196" t="str">
        <f>VLOOKUP(C196,'products '!$A$1:$G$322,2,FALSE)</f>
        <v>Pure Cycles Western 3-Speed - Women's - 2015/2016</v>
      </c>
    </row>
    <row r="197" spans="1:8" x14ac:dyDescent="0.3">
      <c r="A197">
        <v>196</v>
      </c>
      <c r="B197">
        <v>1</v>
      </c>
      <c r="C197">
        <v>6</v>
      </c>
      <c r="D197" s="2">
        <v>1</v>
      </c>
      <c r="E197" s="2">
        <v>469.99</v>
      </c>
      <c r="F197">
        <v>0.05</v>
      </c>
      <c r="G197">
        <f t="shared" si="3"/>
        <v>469.94</v>
      </c>
      <c r="H197" t="str">
        <f>VLOOKUP(C197,'products '!$A$1:$G$322,2,FALSE)</f>
        <v>Surly Ice Cream Truck Frameset - 2016</v>
      </c>
    </row>
    <row r="198" spans="1:8" x14ac:dyDescent="0.3">
      <c r="A198">
        <v>197</v>
      </c>
      <c r="B198">
        <v>1</v>
      </c>
      <c r="C198">
        <v>4</v>
      </c>
      <c r="D198" s="2">
        <v>2</v>
      </c>
      <c r="E198" s="2">
        <v>2899.99</v>
      </c>
      <c r="F198">
        <v>0.2</v>
      </c>
      <c r="G198">
        <f t="shared" si="3"/>
        <v>5799.78</v>
      </c>
      <c r="H198" t="str">
        <f>VLOOKUP(C198,'products '!$A$1:$G$322,2,FALSE)</f>
        <v>Trek Fuel EX 8 29 - 2016</v>
      </c>
    </row>
    <row r="199" spans="1:8" x14ac:dyDescent="0.3">
      <c r="A199">
        <v>198</v>
      </c>
      <c r="B199">
        <v>1</v>
      </c>
      <c r="C199">
        <v>6</v>
      </c>
      <c r="D199" s="2">
        <v>2</v>
      </c>
      <c r="E199" s="2">
        <v>469.99</v>
      </c>
      <c r="F199">
        <v>0.05</v>
      </c>
      <c r="G199">
        <f t="shared" si="3"/>
        <v>939.93000000000006</v>
      </c>
      <c r="H199" t="str">
        <f>VLOOKUP(C199,'products '!$A$1:$G$322,2,FALSE)</f>
        <v>Surly Ice Cream Truck Frameset - 2016</v>
      </c>
    </row>
    <row r="200" spans="1:8" x14ac:dyDescent="0.3">
      <c r="A200">
        <v>199</v>
      </c>
      <c r="B200">
        <v>1</v>
      </c>
      <c r="C200">
        <v>25</v>
      </c>
      <c r="D200" s="2">
        <v>2</v>
      </c>
      <c r="E200" s="2">
        <v>499.99</v>
      </c>
      <c r="F200">
        <v>0.05</v>
      </c>
      <c r="G200">
        <f t="shared" si="3"/>
        <v>999.93000000000006</v>
      </c>
      <c r="H200" t="str">
        <f>VLOOKUP(C200,'products '!$A$1:$G$322,2,FALSE)</f>
        <v>Electra Townie Original 7D - 2015/2016</v>
      </c>
    </row>
    <row r="201" spans="1:8" x14ac:dyDescent="0.3">
      <c r="A201">
        <v>200</v>
      </c>
      <c r="B201">
        <v>1</v>
      </c>
      <c r="C201">
        <v>23</v>
      </c>
      <c r="D201" s="2">
        <v>2</v>
      </c>
      <c r="E201" s="2">
        <v>299.99</v>
      </c>
      <c r="F201">
        <v>0.05</v>
      </c>
      <c r="G201">
        <f t="shared" si="3"/>
        <v>599.93000000000006</v>
      </c>
      <c r="H201" t="str">
        <f>VLOOKUP(C201,'products '!$A$1:$G$322,2,FALSE)</f>
        <v>Electra Girl's Hawaii 1 (20-inch) - 2015/2016</v>
      </c>
    </row>
    <row r="202" spans="1:8" x14ac:dyDescent="0.3">
      <c r="A202">
        <v>201</v>
      </c>
      <c r="B202">
        <v>1</v>
      </c>
      <c r="C202">
        <v>24</v>
      </c>
      <c r="D202" s="2">
        <v>1</v>
      </c>
      <c r="E202" s="2">
        <v>549.99</v>
      </c>
      <c r="F202">
        <v>0.05</v>
      </c>
      <c r="G202">
        <f t="shared" si="3"/>
        <v>549.94000000000005</v>
      </c>
      <c r="H202" t="str">
        <f>VLOOKUP(C202,'products '!$A$1:$G$322,2,FALSE)</f>
        <v>Electra Townie Original 21D - 2016</v>
      </c>
    </row>
    <row r="203" spans="1:8" x14ac:dyDescent="0.3">
      <c r="A203">
        <v>202</v>
      </c>
      <c r="B203">
        <v>1</v>
      </c>
      <c r="C203">
        <v>8</v>
      </c>
      <c r="D203" s="2">
        <v>1</v>
      </c>
      <c r="E203" s="2">
        <v>1799.99</v>
      </c>
      <c r="F203">
        <v>7.0000000000000007E-2</v>
      </c>
      <c r="G203">
        <f t="shared" si="3"/>
        <v>1799.92</v>
      </c>
      <c r="H203" t="str">
        <f>VLOOKUP(C203,'products '!$A$1:$G$322,2,FALSE)</f>
        <v>Trek Remedy 29 Carbon Frameset - 2016</v>
      </c>
    </row>
    <row r="204" spans="1:8" x14ac:dyDescent="0.3">
      <c r="A204">
        <v>203</v>
      </c>
      <c r="B204">
        <v>1</v>
      </c>
      <c r="C204">
        <v>26</v>
      </c>
      <c r="D204" s="2">
        <v>1</v>
      </c>
      <c r="E204" s="2">
        <v>599.99</v>
      </c>
      <c r="F204">
        <v>0.05</v>
      </c>
      <c r="G204">
        <f t="shared" si="3"/>
        <v>599.94000000000005</v>
      </c>
      <c r="H204" t="str">
        <f>VLOOKUP(C204,'products '!$A$1:$G$322,2,FALSE)</f>
        <v>Electra Townie Original 7D EQ - 2016</v>
      </c>
    </row>
    <row r="205" spans="1:8" x14ac:dyDescent="0.3">
      <c r="A205">
        <v>204</v>
      </c>
      <c r="B205">
        <v>1</v>
      </c>
      <c r="C205">
        <v>6</v>
      </c>
      <c r="D205" s="2">
        <v>2</v>
      </c>
      <c r="E205" s="2">
        <v>469.99</v>
      </c>
      <c r="F205">
        <v>7.0000000000000007E-2</v>
      </c>
      <c r="G205">
        <f t="shared" si="3"/>
        <v>939.91</v>
      </c>
      <c r="H205" t="str">
        <f>VLOOKUP(C205,'products '!$A$1:$G$322,2,FALSE)</f>
        <v>Surly Ice Cream Truck Frameset - 2016</v>
      </c>
    </row>
    <row r="206" spans="1:8" x14ac:dyDescent="0.3">
      <c r="A206">
        <v>205</v>
      </c>
      <c r="B206">
        <v>1</v>
      </c>
      <c r="C206">
        <v>22</v>
      </c>
      <c r="D206" s="2">
        <v>2</v>
      </c>
      <c r="E206" s="2">
        <v>269.99</v>
      </c>
      <c r="F206">
        <v>0.05</v>
      </c>
      <c r="G206">
        <f t="shared" si="3"/>
        <v>539.93000000000006</v>
      </c>
      <c r="H206" t="str">
        <f>VLOOKUP(C206,'products '!$A$1:$G$322,2,FALSE)</f>
        <v>Electra Girl's Hawaii 1 (16-inch) - 2015/2016</v>
      </c>
    </row>
    <row r="207" spans="1:8" x14ac:dyDescent="0.3">
      <c r="A207">
        <v>206</v>
      </c>
      <c r="B207">
        <v>1</v>
      </c>
      <c r="C207">
        <v>25</v>
      </c>
      <c r="D207" s="2">
        <v>1</v>
      </c>
      <c r="E207" s="2">
        <v>499.99</v>
      </c>
      <c r="F207">
        <v>0.05</v>
      </c>
      <c r="G207">
        <f t="shared" si="3"/>
        <v>499.94</v>
      </c>
      <c r="H207" t="str">
        <f>VLOOKUP(C207,'products '!$A$1:$G$322,2,FALSE)</f>
        <v>Electra Townie Original 7D - 2015/2016</v>
      </c>
    </row>
    <row r="208" spans="1:8" x14ac:dyDescent="0.3">
      <c r="A208">
        <v>207</v>
      </c>
      <c r="B208">
        <v>1</v>
      </c>
      <c r="C208">
        <v>12</v>
      </c>
      <c r="D208" s="2">
        <v>2</v>
      </c>
      <c r="E208" s="2">
        <v>549.99</v>
      </c>
      <c r="F208">
        <v>0.2</v>
      </c>
      <c r="G208">
        <f t="shared" si="3"/>
        <v>1099.78</v>
      </c>
      <c r="H208" t="str">
        <f>VLOOKUP(C208,'products '!$A$1:$G$322,2,FALSE)</f>
        <v>Electra Townie Original 21D - 2016</v>
      </c>
    </row>
    <row r="209" spans="1:8" x14ac:dyDescent="0.3">
      <c r="A209">
        <v>208</v>
      </c>
      <c r="B209">
        <v>1</v>
      </c>
      <c r="C209">
        <v>6</v>
      </c>
      <c r="D209" s="2">
        <v>2</v>
      </c>
      <c r="E209" s="2">
        <v>469.99</v>
      </c>
      <c r="F209">
        <v>0.05</v>
      </c>
      <c r="G209">
        <f t="shared" si="3"/>
        <v>939.93000000000006</v>
      </c>
      <c r="H209" t="str">
        <f>VLOOKUP(C209,'products '!$A$1:$G$322,2,FALSE)</f>
        <v>Surly Ice Cream Truck Frameset - 2016</v>
      </c>
    </row>
    <row r="210" spans="1:8" x14ac:dyDescent="0.3">
      <c r="A210">
        <v>209</v>
      </c>
      <c r="B210">
        <v>1</v>
      </c>
      <c r="C210">
        <v>13</v>
      </c>
      <c r="D210" s="2">
        <v>1</v>
      </c>
      <c r="E210" s="2">
        <v>269.99</v>
      </c>
      <c r="F210">
        <v>0.1</v>
      </c>
      <c r="G210">
        <f t="shared" si="3"/>
        <v>269.89</v>
      </c>
      <c r="H210" t="str">
        <f>VLOOKUP(C210,'products '!$A$1:$G$322,2,FALSE)</f>
        <v>Electra Cruiser 1 (24-Inch) - 2016</v>
      </c>
    </row>
    <row r="211" spans="1:8" x14ac:dyDescent="0.3">
      <c r="A211">
        <v>210</v>
      </c>
      <c r="B211">
        <v>1</v>
      </c>
      <c r="C211">
        <v>14</v>
      </c>
      <c r="D211" s="2">
        <v>1</v>
      </c>
      <c r="E211" s="2">
        <v>269.99</v>
      </c>
      <c r="F211">
        <v>7.0000000000000007E-2</v>
      </c>
      <c r="G211">
        <f t="shared" si="3"/>
        <v>269.92</v>
      </c>
      <c r="H211" t="str">
        <f>VLOOKUP(C211,'products '!$A$1:$G$322,2,FALSE)</f>
        <v>Electra Girl's Hawaii 1 (16-inch) - 2015/2016</v>
      </c>
    </row>
    <row r="212" spans="1:8" x14ac:dyDescent="0.3">
      <c r="A212">
        <v>211</v>
      </c>
      <c r="B212">
        <v>1</v>
      </c>
      <c r="C212">
        <v>10</v>
      </c>
      <c r="D212" s="2">
        <v>1</v>
      </c>
      <c r="E212" s="2">
        <v>1549</v>
      </c>
      <c r="F212">
        <v>7.0000000000000007E-2</v>
      </c>
      <c r="G212">
        <f t="shared" si="3"/>
        <v>1548.93</v>
      </c>
      <c r="H212" t="str">
        <f>VLOOKUP(C212,'products '!$A$1:$G$322,2,FALSE)</f>
        <v>Surly Straggler - 2016</v>
      </c>
    </row>
    <row r="213" spans="1:8" x14ac:dyDescent="0.3">
      <c r="A213">
        <v>212</v>
      </c>
      <c r="B213">
        <v>1</v>
      </c>
      <c r="C213">
        <v>16</v>
      </c>
      <c r="D213" s="2">
        <v>2</v>
      </c>
      <c r="E213" s="2">
        <v>599.99</v>
      </c>
      <c r="F213">
        <v>7.0000000000000007E-2</v>
      </c>
      <c r="G213">
        <f t="shared" si="3"/>
        <v>1199.9100000000001</v>
      </c>
      <c r="H213" t="str">
        <f>VLOOKUP(C213,'products '!$A$1:$G$322,2,FALSE)</f>
        <v>Electra Townie Original 7D EQ - 2016</v>
      </c>
    </row>
    <row r="214" spans="1:8" x14ac:dyDescent="0.3">
      <c r="A214">
        <v>213</v>
      </c>
      <c r="B214">
        <v>1</v>
      </c>
      <c r="C214">
        <v>13</v>
      </c>
      <c r="D214" s="2">
        <v>1</v>
      </c>
      <c r="E214" s="2">
        <v>269.99</v>
      </c>
      <c r="F214">
        <v>0.1</v>
      </c>
      <c r="G214">
        <f t="shared" si="3"/>
        <v>269.89</v>
      </c>
      <c r="H214" t="str">
        <f>VLOOKUP(C214,'products '!$A$1:$G$322,2,FALSE)</f>
        <v>Electra Cruiser 1 (24-Inch) - 2016</v>
      </c>
    </row>
    <row r="215" spans="1:8" x14ac:dyDescent="0.3">
      <c r="A215">
        <v>214</v>
      </c>
      <c r="B215">
        <v>1</v>
      </c>
      <c r="C215">
        <v>21</v>
      </c>
      <c r="D215" s="2">
        <v>1</v>
      </c>
      <c r="E215" s="2">
        <v>269.99</v>
      </c>
      <c r="F215">
        <v>0.1</v>
      </c>
      <c r="G215">
        <f t="shared" si="3"/>
        <v>269.89</v>
      </c>
      <c r="H215" t="str">
        <f>VLOOKUP(C215,'products '!$A$1:$G$322,2,FALSE)</f>
        <v>Electra Cruiser 1 (24-Inch) - 2016</v>
      </c>
    </row>
    <row r="216" spans="1:8" x14ac:dyDescent="0.3">
      <c r="A216">
        <v>215</v>
      </c>
      <c r="B216">
        <v>1</v>
      </c>
      <c r="C216">
        <v>19</v>
      </c>
      <c r="D216" s="2">
        <v>1</v>
      </c>
      <c r="E216" s="2">
        <v>449</v>
      </c>
      <c r="F216">
        <v>7.0000000000000007E-2</v>
      </c>
      <c r="G216">
        <f t="shared" si="3"/>
        <v>448.93</v>
      </c>
      <c r="H216" t="str">
        <f>VLOOKUP(C216,'products '!$A$1:$G$322,2,FALSE)</f>
        <v>Pure Cycles William 3-Speed - 2016</v>
      </c>
    </row>
    <row r="217" spans="1:8" x14ac:dyDescent="0.3">
      <c r="A217">
        <v>216</v>
      </c>
      <c r="B217">
        <v>1</v>
      </c>
      <c r="C217">
        <v>22</v>
      </c>
      <c r="D217" s="2">
        <v>2</v>
      </c>
      <c r="E217" s="2">
        <v>269.99</v>
      </c>
      <c r="F217">
        <v>0.1</v>
      </c>
      <c r="G217">
        <f t="shared" si="3"/>
        <v>539.88</v>
      </c>
      <c r="H217" t="str">
        <f>VLOOKUP(C217,'products '!$A$1:$G$322,2,FALSE)</f>
        <v>Electra Girl's Hawaii 1 (16-inch) - 2015/2016</v>
      </c>
    </row>
    <row r="218" spans="1:8" x14ac:dyDescent="0.3">
      <c r="A218">
        <v>217</v>
      </c>
      <c r="B218">
        <v>1</v>
      </c>
      <c r="C218">
        <v>18</v>
      </c>
      <c r="D218" s="2">
        <v>1</v>
      </c>
      <c r="E218" s="2">
        <v>449</v>
      </c>
      <c r="F218">
        <v>0.1</v>
      </c>
      <c r="G218">
        <f t="shared" si="3"/>
        <v>448.9</v>
      </c>
      <c r="H218" t="str">
        <f>VLOOKUP(C218,'products '!$A$1:$G$322,2,FALSE)</f>
        <v>Pure Cycles Western 3-Speed - Women's - 2015/2016</v>
      </c>
    </row>
    <row r="219" spans="1:8" x14ac:dyDescent="0.3">
      <c r="A219">
        <v>218</v>
      </c>
      <c r="B219">
        <v>1</v>
      </c>
      <c r="C219">
        <v>2</v>
      </c>
      <c r="D219" s="2">
        <v>2</v>
      </c>
      <c r="E219" s="2">
        <v>749.99</v>
      </c>
      <c r="F219">
        <v>0.1</v>
      </c>
      <c r="G219">
        <f t="shared" si="3"/>
        <v>1499.88</v>
      </c>
      <c r="H219" t="str">
        <f>VLOOKUP(C219,'products '!$A$1:$G$322,2,FALSE)</f>
        <v>Ritchey Timberwolf Frameset - 2016</v>
      </c>
    </row>
    <row r="220" spans="1:8" x14ac:dyDescent="0.3">
      <c r="A220">
        <v>219</v>
      </c>
      <c r="B220">
        <v>1</v>
      </c>
      <c r="C220">
        <v>26</v>
      </c>
      <c r="D220" s="2">
        <v>1</v>
      </c>
      <c r="E220" s="2">
        <v>599.99</v>
      </c>
      <c r="F220">
        <v>0.05</v>
      </c>
      <c r="G220">
        <f t="shared" si="3"/>
        <v>599.94000000000005</v>
      </c>
      <c r="H220" t="str">
        <f>VLOOKUP(C220,'products '!$A$1:$G$322,2,FALSE)</f>
        <v>Electra Townie Original 7D EQ - 2016</v>
      </c>
    </row>
    <row r="221" spans="1:8" x14ac:dyDescent="0.3">
      <c r="A221">
        <v>220</v>
      </c>
      <c r="B221">
        <v>1</v>
      </c>
      <c r="C221">
        <v>6</v>
      </c>
      <c r="D221" s="2">
        <v>2</v>
      </c>
      <c r="E221" s="2">
        <v>469.99</v>
      </c>
      <c r="F221">
        <v>0.05</v>
      </c>
      <c r="G221">
        <f t="shared" si="3"/>
        <v>939.93000000000006</v>
      </c>
      <c r="H221" t="str">
        <f>VLOOKUP(C221,'products '!$A$1:$G$322,2,FALSE)</f>
        <v>Surly Ice Cream Truck Frameset - 2016</v>
      </c>
    </row>
    <row r="222" spans="1:8" x14ac:dyDescent="0.3">
      <c r="A222">
        <v>221</v>
      </c>
      <c r="B222">
        <v>1</v>
      </c>
      <c r="C222">
        <v>11</v>
      </c>
      <c r="D222" s="2">
        <v>2</v>
      </c>
      <c r="E222" s="2">
        <v>1680.99</v>
      </c>
      <c r="F222">
        <v>7.0000000000000007E-2</v>
      </c>
      <c r="G222">
        <f t="shared" si="3"/>
        <v>3361.91</v>
      </c>
      <c r="H222" t="str">
        <f>VLOOKUP(C222,'products '!$A$1:$G$322,2,FALSE)</f>
        <v>Surly Straggler 650b - 2016</v>
      </c>
    </row>
    <row r="223" spans="1:8" x14ac:dyDescent="0.3">
      <c r="A223">
        <v>222</v>
      </c>
      <c r="B223">
        <v>1</v>
      </c>
      <c r="C223">
        <v>10</v>
      </c>
      <c r="D223" s="2">
        <v>1</v>
      </c>
      <c r="E223" s="2">
        <v>1549</v>
      </c>
      <c r="F223">
        <v>0.1</v>
      </c>
      <c r="G223">
        <f t="shared" si="3"/>
        <v>1548.9</v>
      </c>
      <c r="H223" t="str">
        <f>VLOOKUP(C223,'products '!$A$1:$G$322,2,FALSE)</f>
        <v>Surly Straggler - 2016</v>
      </c>
    </row>
    <row r="224" spans="1:8" x14ac:dyDescent="0.3">
      <c r="A224">
        <v>223</v>
      </c>
      <c r="B224">
        <v>1</v>
      </c>
      <c r="C224">
        <v>7</v>
      </c>
      <c r="D224" s="2">
        <v>2</v>
      </c>
      <c r="E224" s="2">
        <v>3999.99</v>
      </c>
      <c r="F224">
        <v>0.05</v>
      </c>
      <c r="G224">
        <f t="shared" si="3"/>
        <v>7999.9299999999994</v>
      </c>
      <c r="H224" t="str">
        <f>VLOOKUP(C224,'products '!$A$1:$G$322,2,FALSE)</f>
        <v>Trek Slash 8 27.5 - 2016</v>
      </c>
    </row>
    <row r="225" spans="1:8" x14ac:dyDescent="0.3">
      <c r="A225">
        <v>224</v>
      </c>
      <c r="B225">
        <v>1</v>
      </c>
      <c r="C225">
        <v>6</v>
      </c>
      <c r="D225" s="2">
        <v>1</v>
      </c>
      <c r="E225" s="2">
        <v>469.99</v>
      </c>
      <c r="F225">
        <v>7.0000000000000007E-2</v>
      </c>
      <c r="G225">
        <f t="shared" si="3"/>
        <v>469.92</v>
      </c>
      <c r="H225" t="str">
        <f>VLOOKUP(C225,'products '!$A$1:$G$322,2,FALSE)</f>
        <v>Surly Ice Cream Truck Frameset - 2016</v>
      </c>
    </row>
    <row r="226" spans="1:8" x14ac:dyDescent="0.3">
      <c r="A226">
        <v>225</v>
      </c>
      <c r="B226">
        <v>1</v>
      </c>
      <c r="C226">
        <v>21</v>
      </c>
      <c r="D226" s="2">
        <v>1</v>
      </c>
      <c r="E226" s="2">
        <v>269.99</v>
      </c>
      <c r="F226">
        <v>0.1</v>
      </c>
      <c r="G226">
        <f t="shared" si="3"/>
        <v>269.89</v>
      </c>
      <c r="H226" t="str">
        <f>VLOOKUP(C226,'products '!$A$1:$G$322,2,FALSE)</f>
        <v>Electra Cruiser 1 (24-Inch) - 2016</v>
      </c>
    </row>
    <row r="227" spans="1:8" x14ac:dyDescent="0.3">
      <c r="A227">
        <v>226</v>
      </c>
      <c r="B227">
        <v>1</v>
      </c>
      <c r="C227">
        <v>2</v>
      </c>
      <c r="D227" s="2">
        <v>1</v>
      </c>
      <c r="E227" s="2">
        <v>749.99</v>
      </c>
      <c r="F227">
        <v>0.05</v>
      </c>
      <c r="G227">
        <f t="shared" si="3"/>
        <v>749.94</v>
      </c>
      <c r="H227" t="str">
        <f>VLOOKUP(C227,'products '!$A$1:$G$322,2,FALSE)</f>
        <v>Ritchey Timberwolf Frameset - 2016</v>
      </c>
    </row>
    <row r="228" spans="1:8" x14ac:dyDescent="0.3">
      <c r="A228">
        <v>227</v>
      </c>
      <c r="B228">
        <v>1</v>
      </c>
      <c r="C228">
        <v>3</v>
      </c>
      <c r="D228" s="2">
        <v>2</v>
      </c>
      <c r="E228" s="2">
        <v>999.99</v>
      </c>
      <c r="F228">
        <v>0.05</v>
      </c>
      <c r="G228">
        <f t="shared" si="3"/>
        <v>1999.93</v>
      </c>
      <c r="H228" t="str">
        <f>VLOOKUP(C228,'products '!$A$1:$G$322,2,FALSE)</f>
        <v>Surly Wednesday Frameset - 2016</v>
      </c>
    </row>
    <row r="229" spans="1:8" x14ac:dyDescent="0.3">
      <c r="A229">
        <v>228</v>
      </c>
      <c r="B229">
        <v>1</v>
      </c>
      <c r="C229">
        <v>25</v>
      </c>
      <c r="D229" s="2">
        <v>1</v>
      </c>
      <c r="E229" s="2">
        <v>499.99</v>
      </c>
      <c r="F229">
        <v>0.2</v>
      </c>
      <c r="G229">
        <f t="shared" si="3"/>
        <v>499.79</v>
      </c>
      <c r="H229" t="str">
        <f>VLOOKUP(C229,'products '!$A$1:$G$322,2,FALSE)</f>
        <v>Electra Townie Original 7D - 2015/2016</v>
      </c>
    </row>
    <row r="230" spans="1:8" x14ac:dyDescent="0.3">
      <c r="A230">
        <v>229</v>
      </c>
      <c r="B230">
        <v>1</v>
      </c>
      <c r="C230">
        <v>25</v>
      </c>
      <c r="D230" s="2">
        <v>2</v>
      </c>
      <c r="E230" s="2">
        <v>499.99</v>
      </c>
      <c r="F230">
        <v>0.2</v>
      </c>
      <c r="G230">
        <f t="shared" si="3"/>
        <v>999.78</v>
      </c>
      <c r="H230" t="str">
        <f>VLOOKUP(C230,'products '!$A$1:$G$322,2,FALSE)</f>
        <v>Electra Townie Original 7D - 2015/2016</v>
      </c>
    </row>
    <row r="231" spans="1:8" x14ac:dyDescent="0.3">
      <c r="A231">
        <v>230</v>
      </c>
      <c r="B231">
        <v>1</v>
      </c>
      <c r="C231">
        <v>11</v>
      </c>
      <c r="D231" s="2">
        <v>2</v>
      </c>
      <c r="E231" s="2">
        <v>1680.99</v>
      </c>
      <c r="F231">
        <v>7.0000000000000007E-2</v>
      </c>
      <c r="G231">
        <f t="shared" si="3"/>
        <v>3361.91</v>
      </c>
      <c r="H231" t="str">
        <f>VLOOKUP(C231,'products '!$A$1:$G$322,2,FALSE)</f>
        <v>Surly Straggler 650b - 2016</v>
      </c>
    </row>
    <row r="232" spans="1:8" x14ac:dyDescent="0.3">
      <c r="A232">
        <v>231</v>
      </c>
      <c r="B232">
        <v>1</v>
      </c>
      <c r="C232">
        <v>8</v>
      </c>
      <c r="D232" s="2">
        <v>2</v>
      </c>
      <c r="E232" s="2">
        <v>1799.99</v>
      </c>
      <c r="F232">
        <v>7.0000000000000007E-2</v>
      </c>
      <c r="G232">
        <f t="shared" si="3"/>
        <v>3599.91</v>
      </c>
      <c r="H232" t="str">
        <f>VLOOKUP(C232,'products '!$A$1:$G$322,2,FALSE)</f>
        <v>Trek Remedy 29 Carbon Frameset - 2016</v>
      </c>
    </row>
    <row r="233" spans="1:8" x14ac:dyDescent="0.3">
      <c r="A233">
        <v>232</v>
      </c>
      <c r="B233">
        <v>1</v>
      </c>
      <c r="C233">
        <v>18</v>
      </c>
      <c r="D233" s="2">
        <v>1</v>
      </c>
      <c r="E233" s="2">
        <v>449</v>
      </c>
      <c r="F233">
        <v>7.0000000000000007E-2</v>
      </c>
      <c r="G233">
        <f t="shared" si="3"/>
        <v>448.93</v>
      </c>
      <c r="H233" t="str">
        <f>VLOOKUP(C233,'products '!$A$1:$G$322,2,FALSE)</f>
        <v>Pure Cycles Western 3-Speed - Women's - 2015/2016</v>
      </c>
    </row>
    <row r="234" spans="1:8" x14ac:dyDescent="0.3">
      <c r="A234">
        <v>233</v>
      </c>
      <c r="B234">
        <v>1</v>
      </c>
      <c r="C234">
        <v>14</v>
      </c>
      <c r="D234" s="2">
        <v>1</v>
      </c>
      <c r="E234" s="2">
        <v>269.99</v>
      </c>
      <c r="F234">
        <v>0.1</v>
      </c>
      <c r="G234">
        <f t="shared" si="3"/>
        <v>269.89</v>
      </c>
      <c r="H234" t="str">
        <f>VLOOKUP(C234,'products '!$A$1:$G$322,2,FALSE)</f>
        <v>Electra Girl's Hawaii 1 (16-inch) - 2015/2016</v>
      </c>
    </row>
    <row r="235" spans="1:8" x14ac:dyDescent="0.3">
      <c r="A235">
        <v>234</v>
      </c>
      <c r="B235">
        <v>1</v>
      </c>
      <c r="C235">
        <v>11</v>
      </c>
      <c r="D235" s="2">
        <v>2</v>
      </c>
      <c r="E235" s="2">
        <v>1680.99</v>
      </c>
      <c r="F235">
        <v>0.2</v>
      </c>
      <c r="G235">
        <f t="shared" si="3"/>
        <v>3361.78</v>
      </c>
      <c r="H235" t="str">
        <f>VLOOKUP(C235,'products '!$A$1:$G$322,2,FALSE)</f>
        <v>Surly Straggler 650b - 2016</v>
      </c>
    </row>
    <row r="236" spans="1:8" x14ac:dyDescent="0.3">
      <c r="A236">
        <v>235</v>
      </c>
      <c r="B236">
        <v>1</v>
      </c>
      <c r="C236">
        <v>6</v>
      </c>
      <c r="D236" s="2">
        <v>1</v>
      </c>
      <c r="E236" s="2">
        <v>469.99</v>
      </c>
      <c r="F236">
        <v>7.0000000000000007E-2</v>
      </c>
      <c r="G236">
        <f t="shared" si="3"/>
        <v>469.92</v>
      </c>
      <c r="H236" t="str">
        <f>VLOOKUP(C236,'products '!$A$1:$G$322,2,FALSE)</f>
        <v>Surly Ice Cream Truck Frameset - 2016</v>
      </c>
    </row>
    <row r="237" spans="1:8" x14ac:dyDescent="0.3">
      <c r="A237">
        <v>236</v>
      </c>
      <c r="B237">
        <v>1</v>
      </c>
      <c r="C237">
        <v>3</v>
      </c>
      <c r="D237" s="2">
        <v>2</v>
      </c>
      <c r="E237" s="2">
        <v>999.99</v>
      </c>
      <c r="F237">
        <v>7.0000000000000007E-2</v>
      </c>
      <c r="G237">
        <f t="shared" si="3"/>
        <v>1999.91</v>
      </c>
      <c r="H237" t="str">
        <f>VLOOKUP(C237,'products '!$A$1:$G$322,2,FALSE)</f>
        <v>Surly Wednesday Frameset - 2016</v>
      </c>
    </row>
    <row r="238" spans="1:8" x14ac:dyDescent="0.3">
      <c r="A238">
        <v>237</v>
      </c>
      <c r="B238">
        <v>1</v>
      </c>
      <c r="C238">
        <v>15</v>
      </c>
      <c r="D238" s="2">
        <v>1</v>
      </c>
      <c r="E238" s="2">
        <v>529.99</v>
      </c>
      <c r="F238">
        <v>0.2</v>
      </c>
      <c r="G238">
        <f t="shared" si="3"/>
        <v>529.79</v>
      </c>
      <c r="H238" t="str">
        <f>VLOOKUP(C238,'products '!$A$1:$G$322,2,FALSE)</f>
        <v>Electra Moto 1 - 2016</v>
      </c>
    </row>
    <row r="239" spans="1:8" x14ac:dyDescent="0.3">
      <c r="A239">
        <v>238</v>
      </c>
      <c r="B239">
        <v>1</v>
      </c>
      <c r="C239">
        <v>20</v>
      </c>
      <c r="D239" s="2">
        <v>2</v>
      </c>
      <c r="E239" s="2">
        <v>599.99</v>
      </c>
      <c r="F239">
        <v>0.2</v>
      </c>
      <c r="G239">
        <f t="shared" si="3"/>
        <v>1199.78</v>
      </c>
      <c r="H239" t="str">
        <f>VLOOKUP(C239,'products '!$A$1:$G$322,2,FALSE)</f>
        <v>Electra Townie Original 7D EQ - Women's - 2016</v>
      </c>
    </row>
    <row r="240" spans="1:8" x14ac:dyDescent="0.3">
      <c r="A240">
        <v>239</v>
      </c>
      <c r="B240">
        <v>1</v>
      </c>
      <c r="C240">
        <v>16</v>
      </c>
      <c r="D240" s="2">
        <v>2</v>
      </c>
      <c r="E240" s="2">
        <v>599.99</v>
      </c>
      <c r="F240">
        <v>0.1</v>
      </c>
      <c r="G240">
        <f t="shared" si="3"/>
        <v>1199.8800000000001</v>
      </c>
      <c r="H240" t="str">
        <f>VLOOKUP(C240,'products '!$A$1:$G$322,2,FALSE)</f>
        <v>Electra Townie Original 7D EQ - 2016</v>
      </c>
    </row>
    <row r="241" spans="1:8" x14ac:dyDescent="0.3">
      <c r="A241">
        <v>240</v>
      </c>
      <c r="B241">
        <v>1</v>
      </c>
      <c r="C241">
        <v>9</v>
      </c>
      <c r="D241" s="2">
        <v>1</v>
      </c>
      <c r="E241" s="2">
        <v>2999.99</v>
      </c>
      <c r="F241">
        <v>7.0000000000000007E-2</v>
      </c>
      <c r="G241">
        <f t="shared" si="3"/>
        <v>2999.9199999999996</v>
      </c>
      <c r="H241" t="str">
        <f>VLOOKUP(C241,'products '!$A$1:$G$322,2,FALSE)</f>
        <v>Trek Conduit+ - 2016</v>
      </c>
    </row>
    <row r="242" spans="1:8" x14ac:dyDescent="0.3">
      <c r="A242">
        <v>241</v>
      </c>
      <c r="B242">
        <v>1</v>
      </c>
      <c r="C242">
        <v>7</v>
      </c>
      <c r="D242" s="2">
        <v>1</v>
      </c>
      <c r="E242" s="2">
        <v>3999.99</v>
      </c>
      <c r="F242">
        <v>0.2</v>
      </c>
      <c r="G242">
        <f t="shared" si="3"/>
        <v>3999.79</v>
      </c>
      <c r="H242" t="str">
        <f>VLOOKUP(C242,'products '!$A$1:$G$322,2,FALSE)</f>
        <v>Trek Slash 8 27.5 - 2016</v>
      </c>
    </row>
    <row r="243" spans="1:8" x14ac:dyDescent="0.3">
      <c r="A243">
        <v>242</v>
      </c>
      <c r="B243">
        <v>1</v>
      </c>
      <c r="C243">
        <v>3</v>
      </c>
      <c r="D243" s="2">
        <v>1</v>
      </c>
      <c r="E243" s="2">
        <v>999.99</v>
      </c>
      <c r="F243">
        <v>0.2</v>
      </c>
      <c r="G243">
        <f t="shared" si="3"/>
        <v>999.79</v>
      </c>
      <c r="H243" t="str">
        <f>VLOOKUP(C243,'products '!$A$1:$G$322,2,FALSE)</f>
        <v>Surly Wednesday Frameset - 2016</v>
      </c>
    </row>
    <row r="244" spans="1:8" x14ac:dyDescent="0.3">
      <c r="A244">
        <v>243</v>
      </c>
      <c r="B244">
        <v>1</v>
      </c>
      <c r="C244">
        <v>25</v>
      </c>
      <c r="D244" s="2">
        <v>2</v>
      </c>
      <c r="E244" s="2">
        <v>499.99</v>
      </c>
      <c r="F244">
        <v>0.05</v>
      </c>
      <c r="G244">
        <f t="shared" si="3"/>
        <v>999.93000000000006</v>
      </c>
      <c r="H244" t="str">
        <f>VLOOKUP(C244,'products '!$A$1:$G$322,2,FALSE)</f>
        <v>Electra Townie Original 7D - 2015/2016</v>
      </c>
    </row>
    <row r="245" spans="1:8" x14ac:dyDescent="0.3">
      <c r="A245">
        <v>244</v>
      </c>
      <c r="B245">
        <v>1</v>
      </c>
      <c r="C245">
        <v>19</v>
      </c>
      <c r="D245" s="2">
        <v>1</v>
      </c>
      <c r="E245" s="2">
        <v>449</v>
      </c>
      <c r="F245">
        <v>7.0000000000000007E-2</v>
      </c>
      <c r="G245">
        <f t="shared" si="3"/>
        <v>448.93</v>
      </c>
      <c r="H245" t="str">
        <f>VLOOKUP(C245,'products '!$A$1:$G$322,2,FALSE)</f>
        <v>Pure Cycles William 3-Speed - 2016</v>
      </c>
    </row>
    <row r="246" spans="1:8" x14ac:dyDescent="0.3">
      <c r="A246">
        <v>245</v>
      </c>
      <c r="B246">
        <v>1</v>
      </c>
      <c r="C246">
        <v>10</v>
      </c>
      <c r="D246" s="2">
        <v>2</v>
      </c>
      <c r="E246" s="2">
        <v>1549</v>
      </c>
      <c r="F246">
        <v>0.05</v>
      </c>
      <c r="G246">
        <f t="shared" si="3"/>
        <v>3097.95</v>
      </c>
      <c r="H246" t="str">
        <f>VLOOKUP(C246,'products '!$A$1:$G$322,2,FALSE)</f>
        <v>Surly Straggler - 2016</v>
      </c>
    </row>
    <row r="247" spans="1:8" x14ac:dyDescent="0.3">
      <c r="A247">
        <v>246</v>
      </c>
      <c r="B247">
        <v>1</v>
      </c>
      <c r="C247">
        <v>17</v>
      </c>
      <c r="D247" s="2">
        <v>2</v>
      </c>
      <c r="E247" s="2">
        <v>429</v>
      </c>
      <c r="F247">
        <v>0.2</v>
      </c>
      <c r="G247">
        <f t="shared" si="3"/>
        <v>857.8</v>
      </c>
      <c r="H247" t="str">
        <f>VLOOKUP(C247,'products '!$A$1:$G$322,2,FALSE)</f>
        <v>Pure Cycles Vine 8-Speed - 2016</v>
      </c>
    </row>
    <row r="248" spans="1:8" x14ac:dyDescent="0.3">
      <c r="A248">
        <v>247</v>
      </c>
      <c r="B248">
        <v>1</v>
      </c>
      <c r="C248">
        <v>25</v>
      </c>
      <c r="D248" s="2">
        <v>1</v>
      </c>
      <c r="E248" s="2">
        <v>499.99</v>
      </c>
      <c r="F248">
        <v>7.0000000000000007E-2</v>
      </c>
      <c r="G248">
        <f t="shared" si="3"/>
        <v>499.92</v>
      </c>
      <c r="H248" t="str">
        <f>VLOOKUP(C248,'products '!$A$1:$G$322,2,FALSE)</f>
        <v>Electra Townie Original 7D - 2015/2016</v>
      </c>
    </row>
    <row r="249" spans="1:8" x14ac:dyDescent="0.3">
      <c r="A249">
        <v>248</v>
      </c>
      <c r="B249">
        <v>1</v>
      </c>
      <c r="C249">
        <v>13</v>
      </c>
      <c r="D249" s="2">
        <v>1</v>
      </c>
      <c r="E249" s="2">
        <v>269.99</v>
      </c>
      <c r="F249">
        <v>0.1</v>
      </c>
      <c r="G249">
        <f t="shared" si="3"/>
        <v>269.89</v>
      </c>
      <c r="H249" t="str">
        <f>VLOOKUP(C249,'products '!$A$1:$G$322,2,FALSE)</f>
        <v>Electra Cruiser 1 (24-Inch) - 2016</v>
      </c>
    </row>
    <row r="250" spans="1:8" x14ac:dyDescent="0.3">
      <c r="A250">
        <v>249</v>
      </c>
      <c r="B250">
        <v>1</v>
      </c>
      <c r="C250">
        <v>7</v>
      </c>
      <c r="D250" s="2">
        <v>2</v>
      </c>
      <c r="E250" s="2">
        <v>3999.99</v>
      </c>
      <c r="F250">
        <v>0.05</v>
      </c>
      <c r="G250">
        <f t="shared" si="3"/>
        <v>7999.9299999999994</v>
      </c>
      <c r="H250" t="str">
        <f>VLOOKUP(C250,'products '!$A$1:$G$322,2,FALSE)</f>
        <v>Trek Slash 8 27.5 - 2016</v>
      </c>
    </row>
    <row r="251" spans="1:8" x14ac:dyDescent="0.3">
      <c r="A251">
        <v>250</v>
      </c>
      <c r="B251">
        <v>1</v>
      </c>
      <c r="C251">
        <v>17</v>
      </c>
      <c r="D251" s="2">
        <v>2</v>
      </c>
      <c r="E251" s="2">
        <v>429</v>
      </c>
      <c r="F251">
        <v>0.05</v>
      </c>
      <c r="G251">
        <f t="shared" si="3"/>
        <v>857.95</v>
      </c>
      <c r="H251" t="str">
        <f>VLOOKUP(C251,'products '!$A$1:$G$322,2,FALSE)</f>
        <v>Pure Cycles Vine 8-Speed - 2016</v>
      </c>
    </row>
    <row r="252" spans="1:8" x14ac:dyDescent="0.3">
      <c r="A252">
        <v>251</v>
      </c>
      <c r="B252">
        <v>1</v>
      </c>
      <c r="C252">
        <v>23</v>
      </c>
      <c r="D252" s="2">
        <v>2</v>
      </c>
      <c r="E252" s="2">
        <v>299.99</v>
      </c>
      <c r="F252">
        <v>0.2</v>
      </c>
      <c r="G252">
        <f t="shared" si="3"/>
        <v>599.78</v>
      </c>
      <c r="H252" t="str">
        <f>VLOOKUP(C252,'products '!$A$1:$G$322,2,FALSE)</f>
        <v>Electra Girl's Hawaii 1 (20-inch) - 2015/2016</v>
      </c>
    </row>
    <row r="253" spans="1:8" x14ac:dyDescent="0.3">
      <c r="A253">
        <v>252</v>
      </c>
      <c r="B253">
        <v>1</v>
      </c>
      <c r="C253">
        <v>11</v>
      </c>
      <c r="D253" s="2">
        <v>2</v>
      </c>
      <c r="E253" s="2">
        <v>1680.99</v>
      </c>
      <c r="F253">
        <v>0.1</v>
      </c>
      <c r="G253">
        <f t="shared" si="3"/>
        <v>3361.88</v>
      </c>
      <c r="H253" t="str">
        <f>VLOOKUP(C253,'products '!$A$1:$G$322,2,FALSE)</f>
        <v>Surly Straggler 650b - 2016</v>
      </c>
    </row>
    <row r="254" spans="1:8" x14ac:dyDescent="0.3">
      <c r="A254">
        <v>253</v>
      </c>
      <c r="B254">
        <v>1</v>
      </c>
      <c r="C254">
        <v>11</v>
      </c>
      <c r="D254" s="2">
        <v>2</v>
      </c>
      <c r="E254" s="2">
        <v>1680.99</v>
      </c>
      <c r="F254">
        <v>7.0000000000000007E-2</v>
      </c>
      <c r="G254">
        <f t="shared" si="3"/>
        <v>3361.91</v>
      </c>
      <c r="H254" t="str">
        <f>VLOOKUP(C254,'products '!$A$1:$G$322,2,FALSE)</f>
        <v>Surly Straggler 650b - 2016</v>
      </c>
    </row>
    <row r="255" spans="1:8" x14ac:dyDescent="0.3">
      <c r="A255">
        <v>254</v>
      </c>
      <c r="B255">
        <v>1</v>
      </c>
      <c r="C255">
        <v>6</v>
      </c>
      <c r="D255" s="2">
        <v>2</v>
      </c>
      <c r="E255" s="2">
        <v>469.99</v>
      </c>
      <c r="F255">
        <v>7.0000000000000007E-2</v>
      </c>
      <c r="G255">
        <f t="shared" si="3"/>
        <v>939.91</v>
      </c>
      <c r="H255" t="str">
        <f>VLOOKUP(C255,'products '!$A$1:$G$322,2,FALSE)</f>
        <v>Surly Ice Cream Truck Frameset - 2016</v>
      </c>
    </row>
    <row r="256" spans="1:8" x14ac:dyDescent="0.3">
      <c r="A256">
        <v>255</v>
      </c>
      <c r="B256">
        <v>1</v>
      </c>
      <c r="C256">
        <v>5</v>
      </c>
      <c r="D256" s="2">
        <v>2</v>
      </c>
      <c r="E256" s="2">
        <v>1320.99</v>
      </c>
      <c r="F256">
        <v>0.1</v>
      </c>
      <c r="G256">
        <f t="shared" si="3"/>
        <v>2641.88</v>
      </c>
      <c r="H256" t="str">
        <f>VLOOKUP(C256,'products '!$A$1:$G$322,2,FALSE)</f>
        <v>Heller Shagamaw Frame - 2016</v>
      </c>
    </row>
    <row r="257" spans="1:8" x14ac:dyDescent="0.3">
      <c r="A257">
        <v>256</v>
      </c>
      <c r="B257">
        <v>1</v>
      </c>
      <c r="C257">
        <v>11</v>
      </c>
      <c r="D257" s="2">
        <v>1</v>
      </c>
      <c r="E257" s="2">
        <v>1680.99</v>
      </c>
      <c r="F257">
        <v>0.1</v>
      </c>
      <c r="G257">
        <f t="shared" si="3"/>
        <v>1680.89</v>
      </c>
      <c r="H257" t="str">
        <f>VLOOKUP(C257,'products '!$A$1:$G$322,2,FALSE)</f>
        <v>Surly Straggler 650b - 2016</v>
      </c>
    </row>
    <row r="258" spans="1:8" x14ac:dyDescent="0.3">
      <c r="A258">
        <v>257</v>
      </c>
      <c r="B258">
        <v>1</v>
      </c>
      <c r="C258">
        <v>8</v>
      </c>
      <c r="D258" s="2">
        <v>2</v>
      </c>
      <c r="E258" s="2">
        <v>1799.99</v>
      </c>
      <c r="F258">
        <v>7.0000000000000007E-2</v>
      </c>
      <c r="G258">
        <f t="shared" si="3"/>
        <v>3599.91</v>
      </c>
      <c r="H258" t="str">
        <f>VLOOKUP(C258,'products '!$A$1:$G$322,2,FALSE)</f>
        <v>Trek Remedy 29 Carbon Frameset - 2016</v>
      </c>
    </row>
    <row r="259" spans="1:8" x14ac:dyDescent="0.3">
      <c r="A259">
        <v>258</v>
      </c>
      <c r="B259">
        <v>1</v>
      </c>
      <c r="C259">
        <v>8</v>
      </c>
      <c r="D259" s="2">
        <v>2</v>
      </c>
      <c r="E259" s="2">
        <v>1799.99</v>
      </c>
      <c r="F259">
        <v>0.05</v>
      </c>
      <c r="G259">
        <f t="shared" ref="G259:G322" si="4">E259*D259-F259</f>
        <v>3599.93</v>
      </c>
      <c r="H259" t="str">
        <f>VLOOKUP(C259,'products '!$A$1:$G$322,2,FALSE)</f>
        <v>Trek Remedy 29 Carbon Frameset - 2016</v>
      </c>
    </row>
    <row r="260" spans="1:8" x14ac:dyDescent="0.3">
      <c r="A260">
        <v>259</v>
      </c>
      <c r="B260">
        <v>1</v>
      </c>
      <c r="C260">
        <v>26</v>
      </c>
      <c r="D260" s="2">
        <v>1</v>
      </c>
      <c r="E260" s="2">
        <v>599.99</v>
      </c>
      <c r="F260">
        <v>0.05</v>
      </c>
      <c r="G260">
        <f t="shared" si="4"/>
        <v>599.94000000000005</v>
      </c>
      <c r="H260" t="str">
        <f>VLOOKUP(C260,'products '!$A$1:$G$322,2,FALSE)</f>
        <v>Electra Townie Original 7D EQ - 2016</v>
      </c>
    </row>
    <row r="261" spans="1:8" x14ac:dyDescent="0.3">
      <c r="A261">
        <v>260</v>
      </c>
      <c r="B261">
        <v>1</v>
      </c>
      <c r="C261">
        <v>23</v>
      </c>
      <c r="D261" s="2">
        <v>2</v>
      </c>
      <c r="E261" s="2">
        <v>299.99</v>
      </c>
      <c r="F261">
        <v>0.2</v>
      </c>
      <c r="G261">
        <f t="shared" si="4"/>
        <v>599.78</v>
      </c>
      <c r="H261" t="str">
        <f>VLOOKUP(C261,'products '!$A$1:$G$322,2,FALSE)</f>
        <v>Electra Girl's Hawaii 1 (20-inch) - 2015/2016</v>
      </c>
    </row>
    <row r="262" spans="1:8" x14ac:dyDescent="0.3">
      <c r="A262">
        <v>261</v>
      </c>
      <c r="B262">
        <v>1</v>
      </c>
      <c r="C262">
        <v>16</v>
      </c>
      <c r="D262" s="2">
        <v>2</v>
      </c>
      <c r="E262" s="2">
        <v>599.99</v>
      </c>
      <c r="F262">
        <v>0.05</v>
      </c>
      <c r="G262">
        <f t="shared" si="4"/>
        <v>1199.93</v>
      </c>
      <c r="H262" t="str">
        <f>VLOOKUP(C262,'products '!$A$1:$G$322,2,FALSE)</f>
        <v>Electra Townie Original 7D EQ - 2016</v>
      </c>
    </row>
    <row r="263" spans="1:8" x14ac:dyDescent="0.3">
      <c r="A263">
        <v>262</v>
      </c>
      <c r="B263">
        <v>1</v>
      </c>
      <c r="C263">
        <v>2</v>
      </c>
      <c r="D263" s="2">
        <v>1</v>
      </c>
      <c r="E263" s="2">
        <v>749.99</v>
      </c>
      <c r="F263">
        <v>7.0000000000000007E-2</v>
      </c>
      <c r="G263">
        <f t="shared" si="4"/>
        <v>749.92</v>
      </c>
      <c r="H263" t="str">
        <f>VLOOKUP(C263,'products '!$A$1:$G$322,2,FALSE)</f>
        <v>Ritchey Timberwolf Frameset - 2016</v>
      </c>
    </row>
    <row r="264" spans="1:8" x14ac:dyDescent="0.3">
      <c r="A264">
        <v>263</v>
      </c>
      <c r="B264">
        <v>1</v>
      </c>
      <c r="C264">
        <v>9</v>
      </c>
      <c r="D264" s="2">
        <v>1</v>
      </c>
      <c r="E264" s="2">
        <v>2999.99</v>
      </c>
      <c r="F264">
        <v>7.0000000000000007E-2</v>
      </c>
      <c r="G264">
        <f t="shared" si="4"/>
        <v>2999.9199999999996</v>
      </c>
      <c r="H264" t="str">
        <f>VLOOKUP(C264,'products '!$A$1:$G$322,2,FALSE)</f>
        <v>Trek Conduit+ - 2016</v>
      </c>
    </row>
    <row r="265" spans="1:8" x14ac:dyDescent="0.3">
      <c r="A265">
        <v>264</v>
      </c>
      <c r="B265">
        <v>1</v>
      </c>
      <c r="C265">
        <v>10</v>
      </c>
      <c r="D265" s="2">
        <v>1</v>
      </c>
      <c r="E265" s="2">
        <v>1549</v>
      </c>
      <c r="F265">
        <v>0.2</v>
      </c>
      <c r="G265">
        <f t="shared" si="4"/>
        <v>1548.8</v>
      </c>
      <c r="H265" t="str">
        <f>VLOOKUP(C265,'products '!$A$1:$G$322,2,FALSE)</f>
        <v>Surly Straggler - 2016</v>
      </c>
    </row>
    <row r="266" spans="1:8" x14ac:dyDescent="0.3">
      <c r="A266">
        <v>265</v>
      </c>
      <c r="B266">
        <v>1</v>
      </c>
      <c r="C266">
        <v>9</v>
      </c>
      <c r="D266" s="2">
        <v>2</v>
      </c>
      <c r="E266" s="2">
        <v>2999.99</v>
      </c>
      <c r="F266">
        <v>0.2</v>
      </c>
      <c r="G266">
        <f t="shared" si="4"/>
        <v>5999.78</v>
      </c>
      <c r="H266" t="str">
        <f>VLOOKUP(C266,'products '!$A$1:$G$322,2,FALSE)</f>
        <v>Trek Conduit+ - 2016</v>
      </c>
    </row>
    <row r="267" spans="1:8" x14ac:dyDescent="0.3">
      <c r="A267">
        <v>266</v>
      </c>
      <c r="B267">
        <v>1</v>
      </c>
      <c r="C267">
        <v>6</v>
      </c>
      <c r="D267" s="2">
        <v>2</v>
      </c>
      <c r="E267" s="2">
        <v>469.99</v>
      </c>
      <c r="F267">
        <v>7.0000000000000007E-2</v>
      </c>
      <c r="G267">
        <f t="shared" si="4"/>
        <v>939.91</v>
      </c>
      <c r="H267" t="str">
        <f>VLOOKUP(C267,'products '!$A$1:$G$322,2,FALSE)</f>
        <v>Surly Ice Cream Truck Frameset - 2016</v>
      </c>
    </row>
    <row r="268" spans="1:8" x14ac:dyDescent="0.3">
      <c r="A268">
        <v>267</v>
      </c>
      <c r="B268">
        <v>1</v>
      </c>
      <c r="C268">
        <v>22</v>
      </c>
      <c r="D268" s="2">
        <v>2</v>
      </c>
      <c r="E268" s="2">
        <v>269.99</v>
      </c>
      <c r="F268">
        <v>0.2</v>
      </c>
      <c r="G268">
        <f t="shared" si="4"/>
        <v>539.78</v>
      </c>
      <c r="H268" t="str">
        <f>VLOOKUP(C268,'products '!$A$1:$G$322,2,FALSE)</f>
        <v>Electra Girl's Hawaii 1 (16-inch) - 2015/2016</v>
      </c>
    </row>
    <row r="269" spans="1:8" x14ac:dyDescent="0.3">
      <c r="A269">
        <v>268</v>
      </c>
      <c r="B269">
        <v>1</v>
      </c>
      <c r="C269">
        <v>7</v>
      </c>
      <c r="D269" s="2">
        <v>1</v>
      </c>
      <c r="E269" s="2">
        <v>3999.99</v>
      </c>
      <c r="F269">
        <v>0.05</v>
      </c>
      <c r="G269">
        <f t="shared" si="4"/>
        <v>3999.9399999999996</v>
      </c>
      <c r="H269" t="str">
        <f>VLOOKUP(C269,'products '!$A$1:$G$322,2,FALSE)</f>
        <v>Trek Slash 8 27.5 - 2016</v>
      </c>
    </row>
    <row r="270" spans="1:8" x14ac:dyDescent="0.3">
      <c r="A270">
        <v>269</v>
      </c>
      <c r="B270">
        <v>1</v>
      </c>
      <c r="C270">
        <v>5</v>
      </c>
      <c r="D270" s="2">
        <v>1</v>
      </c>
      <c r="E270" s="2">
        <v>1320.99</v>
      </c>
      <c r="F270">
        <v>7.0000000000000007E-2</v>
      </c>
      <c r="G270">
        <f t="shared" si="4"/>
        <v>1320.92</v>
      </c>
      <c r="H270" t="str">
        <f>VLOOKUP(C270,'products '!$A$1:$G$322,2,FALSE)</f>
        <v>Heller Shagamaw Frame - 2016</v>
      </c>
    </row>
    <row r="271" spans="1:8" x14ac:dyDescent="0.3">
      <c r="A271">
        <v>270</v>
      </c>
      <c r="B271">
        <v>1</v>
      </c>
      <c r="C271">
        <v>25</v>
      </c>
      <c r="D271" s="2">
        <v>2</v>
      </c>
      <c r="E271" s="2">
        <v>499.99</v>
      </c>
      <c r="F271">
        <v>0.2</v>
      </c>
      <c r="G271">
        <f t="shared" si="4"/>
        <v>999.78</v>
      </c>
      <c r="H271" t="str">
        <f>VLOOKUP(C271,'products '!$A$1:$G$322,2,FALSE)</f>
        <v>Electra Townie Original 7D - 2015/2016</v>
      </c>
    </row>
    <row r="272" spans="1:8" x14ac:dyDescent="0.3">
      <c r="A272">
        <v>271</v>
      </c>
      <c r="B272">
        <v>1</v>
      </c>
      <c r="C272">
        <v>11</v>
      </c>
      <c r="D272" s="2">
        <v>2</v>
      </c>
      <c r="E272" s="2">
        <v>1680.99</v>
      </c>
      <c r="F272">
        <v>7.0000000000000007E-2</v>
      </c>
      <c r="G272">
        <f t="shared" si="4"/>
        <v>3361.91</v>
      </c>
      <c r="H272" t="str">
        <f>VLOOKUP(C272,'products '!$A$1:$G$322,2,FALSE)</f>
        <v>Surly Straggler 650b - 2016</v>
      </c>
    </row>
    <row r="273" spans="1:8" x14ac:dyDescent="0.3">
      <c r="A273">
        <v>272</v>
      </c>
      <c r="B273">
        <v>1</v>
      </c>
      <c r="C273">
        <v>2</v>
      </c>
      <c r="D273" s="2">
        <v>2</v>
      </c>
      <c r="E273" s="2">
        <v>749.99</v>
      </c>
      <c r="F273">
        <v>7.0000000000000007E-2</v>
      </c>
      <c r="G273">
        <f t="shared" si="4"/>
        <v>1499.91</v>
      </c>
      <c r="H273" t="str">
        <f>VLOOKUP(C273,'products '!$A$1:$G$322,2,FALSE)</f>
        <v>Ritchey Timberwolf Frameset - 2016</v>
      </c>
    </row>
    <row r="274" spans="1:8" x14ac:dyDescent="0.3">
      <c r="A274">
        <v>273</v>
      </c>
      <c r="B274">
        <v>1</v>
      </c>
      <c r="C274">
        <v>21</v>
      </c>
      <c r="D274" s="2">
        <v>1</v>
      </c>
      <c r="E274" s="2">
        <v>269.99</v>
      </c>
      <c r="F274">
        <v>0.1</v>
      </c>
      <c r="G274">
        <f t="shared" si="4"/>
        <v>269.89</v>
      </c>
      <c r="H274" t="str">
        <f>VLOOKUP(C274,'products '!$A$1:$G$322,2,FALSE)</f>
        <v>Electra Cruiser 1 (24-Inch) - 2016</v>
      </c>
    </row>
    <row r="275" spans="1:8" x14ac:dyDescent="0.3">
      <c r="A275">
        <v>274</v>
      </c>
      <c r="B275">
        <v>1</v>
      </c>
      <c r="C275">
        <v>11</v>
      </c>
      <c r="D275" s="2">
        <v>2</v>
      </c>
      <c r="E275" s="2">
        <v>1680.99</v>
      </c>
      <c r="F275">
        <v>0.05</v>
      </c>
      <c r="G275">
        <f t="shared" si="4"/>
        <v>3361.93</v>
      </c>
      <c r="H275" t="str">
        <f>VLOOKUP(C275,'products '!$A$1:$G$322,2,FALSE)</f>
        <v>Surly Straggler 650b - 2016</v>
      </c>
    </row>
    <row r="276" spans="1:8" x14ac:dyDescent="0.3">
      <c r="A276">
        <v>275</v>
      </c>
      <c r="B276">
        <v>1</v>
      </c>
      <c r="C276">
        <v>18</v>
      </c>
      <c r="D276" s="2">
        <v>1</v>
      </c>
      <c r="E276" s="2">
        <v>449</v>
      </c>
      <c r="F276">
        <v>0.05</v>
      </c>
      <c r="G276">
        <f t="shared" si="4"/>
        <v>448.95</v>
      </c>
      <c r="H276" t="str">
        <f>VLOOKUP(C276,'products '!$A$1:$G$322,2,FALSE)</f>
        <v>Pure Cycles Western 3-Speed - Women's - 2015/2016</v>
      </c>
    </row>
    <row r="277" spans="1:8" x14ac:dyDescent="0.3">
      <c r="A277">
        <v>276</v>
      </c>
      <c r="B277">
        <v>1</v>
      </c>
      <c r="C277">
        <v>3</v>
      </c>
      <c r="D277" s="2">
        <v>2</v>
      </c>
      <c r="E277" s="2">
        <v>999.99</v>
      </c>
      <c r="F277">
        <v>0.2</v>
      </c>
      <c r="G277">
        <f t="shared" si="4"/>
        <v>1999.78</v>
      </c>
      <c r="H277" t="str">
        <f>VLOOKUP(C277,'products '!$A$1:$G$322,2,FALSE)</f>
        <v>Surly Wednesday Frameset - 2016</v>
      </c>
    </row>
    <row r="278" spans="1:8" x14ac:dyDescent="0.3">
      <c r="A278">
        <v>277</v>
      </c>
      <c r="B278">
        <v>1</v>
      </c>
      <c r="C278">
        <v>20</v>
      </c>
      <c r="D278" s="2">
        <v>2</v>
      </c>
      <c r="E278" s="2">
        <v>599.99</v>
      </c>
      <c r="F278">
        <v>0.2</v>
      </c>
      <c r="G278">
        <f t="shared" si="4"/>
        <v>1199.78</v>
      </c>
      <c r="H278" t="str">
        <f>VLOOKUP(C278,'products '!$A$1:$G$322,2,FALSE)</f>
        <v>Electra Townie Original 7D EQ - Women's - 2016</v>
      </c>
    </row>
    <row r="279" spans="1:8" x14ac:dyDescent="0.3">
      <c r="A279">
        <v>278</v>
      </c>
      <c r="B279">
        <v>1</v>
      </c>
      <c r="C279">
        <v>16</v>
      </c>
      <c r="D279" s="2">
        <v>1</v>
      </c>
      <c r="E279" s="2">
        <v>599.99</v>
      </c>
      <c r="F279">
        <v>0.2</v>
      </c>
      <c r="G279">
        <f t="shared" si="4"/>
        <v>599.79</v>
      </c>
      <c r="H279" t="str">
        <f>VLOOKUP(C279,'products '!$A$1:$G$322,2,FALSE)</f>
        <v>Electra Townie Original 7D EQ - 2016</v>
      </c>
    </row>
    <row r="280" spans="1:8" x14ac:dyDescent="0.3">
      <c r="A280">
        <v>279</v>
      </c>
      <c r="B280">
        <v>1</v>
      </c>
      <c r="C280">
        <v>25</v>
      </c>
      <c r="D280" s="2">
        <v>1</v>
      </c>
      <c r="E280" s="2">
        <v>499.99</v>
      </c>
      <c r="F280">
        <v>7.0000000000000007E-2</v>
      </c>
      <c r="G280">
        <f t="shared" si="4"/>
        <v>499.92</v>
      </c>
      <c r="H280" t="str">
        <f>VLOOKUP(C280,'products '!$A$1:$G$322,2,FALSE)</f>
        <v>Electra Townie Original 7D - 2015/2016</v>
      </c>
    </row>
    <row r="281" spans="1:8" x14ac:dyDescent="0.3">
      <c r="A281">
        <v>280</v>
      </c>
      <c r="B281">
        <v>1</v>
      </c>
      <c r="C281">
        <v>25</v>
      </c>
      <c r="D281" s="2">
        <v>1</v>
      </c>
      <c r="E281" s="2">
        <v>499.99</v>
      </c>
      <c r="F281">
        <v>7.0000000000000007E-2</v>
      </c>
      <c r="G281">
        <f t="shared" si="4"/>
        <v>499.92</v>
      </c>
      <c r="H281" t="str">
        <f>VLOOKUP(C281,'products '!$A$1:$G$322,2,FALSE)</f>
        <v>Electra Townie Original 7D - 2015/2016</v>
      </c>
    </row>
    <row r="282" spans="1:8" x14ac:dyDescent="0.3">
      <c r="A282">
        <v>281</v>
      </c>
      <c r="B282">
        <v>1</v>
      </c>
      <c r="C282">
        <v>22</v>
      </c>
      <c r="D282" s="2">
        <v>1</v>
      </c>
      <c r="E282" s="2">
        <v>269.99</v>
      </c>
      <c r="F282">
        <v>7.0000000000000007E-2</v>
      </c>
      <c r="G282">
        <f t="shared" si="4"/>
        <v>269.92</v>
      </c>
      <c r="H282" t="str">
        <f>VLOOKUP(C282,'products '!$A$1:$G$322,2,FALSE)</f>
        <v>Electra Girl's Hawaii 1 (16-inch) - 2015/2016</v>
      </c>
    </row>
    <row r="283" spans="1:8" x14ac:dyDescent="0.3">
      <c r="A283">
        <v>282</v>
      </c>
      <c r="B283">
        <v>1</v>
      </c>
      <c r="C283">
        <v>20</v>
      </c>
      <c r="D283" s="2">
        <v>1</v>
      </c>
      <c r="E283" s="2">
        <v>599.99</v>
      </c>
      <c r="F283">
        <v>7.0000000000000007E-2</v>
      </c>
      <c r="G283">
        <f t="shared" si="4"/>
        <v>599.91999999999996</v>
      </c>
      <c r="H283" t="str">
        <f>VLOOKUP(C283,'products '!$A$1:$G$322,2,FALSE)</f>
        <v>Electra Townie Original 7D EQ - Women's - 2016</v>
      </c>
    </row>
    <row r="284" spans="1:8" x14ac:dyDescent="0.3">
      <c r="A284">
        <v>283</v>
      </c>
      <c r="B284">
        <v>1</v>
      </c>
      <c r="C284">
        <v>9</v>
      </c>
      <c r="D284" s="2">
        <v>1</v>
      </c>
      <c r="E284" s="2">
        <v>2999.99</v>
      </c>
      <c r="F284">
        <v>0.05</v>
      </c>
      <c r="G284">
        <f t="shared" si="4"/>
        <v>2999.9399999999996</v>
      </c>
      <c r="H284" t="str">
        <f>VLOOKUP(C284,'products '!$A$1:$G$322,2,FALSE)</f>
        <v>Trek Conduit+ - 2016</v>
      </c>
    </row>
    <row r="285" spans="1:8" x14ac:dyDescent="0.3">
      <c r="A285">
        <v>284</v>
      </c>
      <c r="B285">
        <v>1</v>
      </c>
      <c r="C285">
        <v>24</v>
      </c>
      <c r="D285" s="2">
        <v>2</v>
      </c>
      <c r="E285" s="2">
        <v>549.99</v>
      </c>
      <c r="F285">
        <v>0.2</v>
      </c>
      <c r="G285">
        <f t="shared" si="4"/>
        <v>1099.78</v>
      </c>
      <c r="H285" t="str">
        <f>VLOOKUP(C285,'products '!$A$1:$G$322,2,FALSE)</f>
        <v>Electra Townie Original 21D - 2016</v>
      </c>
    </row>
    <row r="286" spans="1:8" x14ac:dyDescent="0.3">
      <c r="A286">
        <v>285</v>
      </c>
      <c r="B286">
        <v>1</v>
      </c>
      <c r="C286">
        <v>16</v>
      </c>
      <c r="D286" s="2">
        <v>2</v>
      </c>
      <c r="E286" s="2">
        <v>599.99</v>
      </c>
      <c r="F286">
        <v>0.05</v>
      </c>
      <c r="G286">
        <f t="shared" si="4"/>
        <v>1199.93</v>
      </c>
      <c r="H286" t="str">
        <f>VLOOKUP(C286,'products '!$A$1:$G$322,2,FALSE)</f>
        <v>Electra Townie Original 7D EQ - 2016</v>
      </c>
    </row>
    <row r="287" spans="1:8" x14ac:dyDescent="0.3">
      <c r="A287">
        <v>286</v>
      </c>
      <c r="B287">
        <v>1</v>
      </c>
      <c r="C287">
        <v>26</v>
      </c>
      <c r="D287" s="2">
        <v>2</v>
      </c>
      <c r="E287" s="2">
        <v>599.99</v>
      </c>
      <c r="F287">
        <v>0.2</v>
      </c>
      <c r="G287">
        <f t="shared" si="4"/>
        <v>1199.78</v>
      </c>
      <c r="H287" t="str">
        <f>VLOOKUP(C287,'products '!$A$1:$G$322,2,FALSE)</f>
        <v>Electra Townie Original 7D EQ - 2016</v>
      </c>
    </row>
    <row r="288" spans="1:8" x14ac:dyDescent="0.3">
      <c r="A288">
        <v>287</v>
      </c>
      <c r="B288">
        <v>1</v>
      </c>
      <c r="C288">
        <v>5</v>
      </c>
      <c r="D288" s="2">
        <v>1</v>
      </c>
      <c r="E288" s="2">
        <v>1320.99</v>
      </c>
      <c r="F288">
        <v>0.2</v>
      </c>
      <c r="G288">
        <f t="shared" si="4"/>
        <v>1320.79</v>
      </c>
      <c r="H288" t="str">
        <f>VLOOKUP(C288,'products '!$A$1:$G$322,2,FALSE)</f>
        <v>Heller Shagamaw Frame - 2016</v>
      </c>
    </row>
    <row r="289" spans="1:8" x14ac:dyDescent="0.3">
      <c r="A289">
        <v>288</v>
      </c>
      <c r="B289">
        <v>1</v>
      </c>
      <c r="C289">
        <v>4</v>
      </c>
      <c r="D289" s="2">
        <v>1</v>
      </c>
      <c r="E289" s="2">
        <v>2899.99</v>
      </c>
      <c r="F289">
        <v>0.2</v>
      </c>
      <c r="G289">
        <f t="shared" si="4"/>
        <v>2899.79</v>
      </c>
      <c r="H289" t="str">
        <f>VLOOKUP(C289,'products '!$A$1:$G$322,2,FALSE)</f>
        <v>Trek Fuel EX 8 29 - 2016</v>
      </c>
    </row>
    <row r="290" spans="1:8" x14ac:dyDescent="0.3">
      <c r="A290">
        <v>289</v>
      </c>
      <c r="B290">
        <v>1</v>
      </c>
      <c r="C290">
        <v>13</v>
      </c>
      <c r="D290" s="2">
        <v>1</v>
      </c>
      <c r="E290" s="2">
        <v>269.99</v>
      </c>
      <c r="F290">
        <v>7.0000000000000007E-2</v>
      </c>
      <c r="G290">
        <f t="shared" si="4"/>
        <v>269.92</v>
      </c>
      <c r="H290" t="str">
        <f>VLOOKUP(C290,'products '!$A$1:$G$322,2,FALSE)</f>
        <v>Electra Cruiser 1 (24-Inch) - 2016</v>
      </c>
    </row>
    <row r="291" spans="1:8" x14ac:dyDescent="0.3">
      <c r="A291">
        <v>290</v>
      </c>
      <c r="B291">
        <v>1</v>
      </c>
      <c r="C291">
        <v>2</v>
      </c>
      <c r="D291" s="2">
        <v>2</v>
      </c>
      <c r="E291" s="2">
        <v>749.99</v>
      </c>
      <c r="F291">
        <v>7.0000000000000007E-2</v>
      </c>
      <c r="G291">
        <f t="shared" si="4"/>
        <v>1499.91</v>
      </c>
      <c r="H291" t="str">
        <f>VLOOKUP(C291,'products '!$A$1:$G$322,2,FALSE)</f>
        <v>Ritchey Timberwolf Frameset - 2016</v>
      </c>
    </row>
    <row r="292" spans="1:8" x14ac:dyDescent="0.3">
      <c r="A292">
        <v>291</v>
      </c>
      <c r="B292">
        <v>1</v>
      </c>
      <c r="C292">
        <v>6</v>
      </c>
      <c r="D292" s="2">
        <v>2</v>
      </c>
      <c r="E292" s="2">
        <v>469.99</v>
      </c>
      <c r="F292">
        <v>0.05</v>
      </c>
      <c r="G292">
        <f t="shared" si="4"/>
        <v>939.93000000000006</v>
      </c>
      <c r="H292" t="str">
        <f>VLOOKUP(C292,'products '!$A$1:$G$322,2,FALSE)</f>
        <v>Surly Ice Cream Truck Frameset - 2016</v>
      </c>
    </row>
    <row r="293" spans="1:8" x14ac:dyDescent="0.3">
      <c r="A293">
        <v>292</v>
      </c>
      <c r="B293">
        <v>1</v>
      </c>
      <c r="C293">
        <v>18</v>
      </c>
      <c r="D293" s="2">
        <v>2</v>
      </c>
      <c r="E293" s="2">
        <v>449</v>
      </c>
      <c r="F293">
        <v>0.1</v>
      </c>
      <c r="G293">
        <f t="shared" si="4"/>
        <v>897.9</v>
      </c>
      <c r="H293" t="str">
        <f>VLOOKUP(C293,'products '!$A$1:$G$322,2,FALSE)</f>
        <v>Pure Cycles Western 3-Speed - Women's - 2015/2016</v>
      </c>
    </row>
    <row r="294" spans="1:8" x14ac:dyDescent="0.3">
      <c r="A294">
        <v>293</v>
      </c>
      <c r="B294">
        <v>1</v>
      </c>
      <c r="C294">
        <v>19</v>
      </c>
      <c r="D294" s="2">
        <v>2</v>
      </c>
      <c r="E294" s="2">
        <v>449</v>
      </c>
      <c r="F294">
        <v>0.05</v>
      </c>
      <c r="G294">
        <f t="shared" si="4"/>
        <v>897.95</v>
      </c>
      <c r="H294" t="str">
        <f>VLOOKUP(C294,'products '!$A$1:$G$322,2,FALSE)</f>
        <v>Pure Cycles William 3-Speed - 2016</v>
      </c>
    </row>
    <row r="295" spans="1:8" x14ac:dyDescent="0.3">
      <c r="A295">
        <v>294</v>
      </c>
      <c r="B295">
        <v>1</v>
      </c>
      <c r="C295">
        <v>18</v>
      </c>
      <c r="D295" s="2">
        <v>1</v>
      </c>
      <c r="E295" s="2">
        <v>449</v>
      </c>
      <c r="F295">
        <v>0.2</v>
      </c>
      <c r="G295">
        <f t="shared" si="4"/>
        <v>448.8</v>
      </c>
      <c r="H295" t="str">
        <f>VLOOKUP(C295,'products '!$A$1:$G$322,2,FALSE)</f>
        <v>Pure Cycles Western 3-Speed - Women's - 2015/2016</v>
      </c>
    </row>
    <row r="296" spans="1:8" x14ac:dyDescent="0.3">
      <c r="A296">
        <v>295</v>
      </c>
      <c r="B296">
        <v>1</v>
      </c>
      <c r="C296">
        <v>22</v>
      </c>
      <c r="D296" s="2">
        <v>2</v>
      </c>
      <c r="E296" s="2">
        <v>269.99</v>
      </c>
      <c r="F296">
        <v>7.0000000000000007E-2</v>
      </c>
      <c r="G296">
        <f t="shared" si="4"/>
        <v>539.91</v>
      </c>
      <c r="H296" t="str">
        <f>VLOOKUP(C296,'products '!$A$1:$G$322,2,FALSE)</f>
        <v>Electra Girl's Hawaii 1 (16-inch) - 2015/2016</v>
      </c>
    </row>
    <row r="297" spans="1:8" x14ac:dyDescent="0.3">
      <c r="A297">
        <v>296</v>
      </c>
      <c r="B297">
        <v>1</v>
      </c>
      <c r="C297">
        <v>25</v>
      </c>
      <c r="D297" s="2">
        <v>2</v>
      </c>
      <c r="E297" s="2">
        <v>499.99</v>
      </c>
      <c r="F297">
        <v>7.0000000000000007E-2</v>
      </c>
      <c r="G297">
        <f t="shared" si="4"/>
        <v>999.91</v>
      </c>
      <c r="H297" t="str">
        <f>VLOOKUP(C297,'products '!$A$1:$G$322,2,FALSE)</f>
        <v>Electra Townie Original 7D - 2015/2016</v>
      </c>
    </row>
    <row r="298" spans="1:8" x14ac:dyDescent="0.3">
      <c r="A298">
        <v>297</v>
      </c>
      <c r="B298">
        <v>1</v>
      </c>
      <c r="C298">
        <v>4</v>
      </c>
      <c r="D298" s="2">
        <v>2</v>
      </c>
      <c r="E298" s="2">
        <v>2899.99</v>
      </c>
      <c r="F298">
        <v>0.2</v>
      </c>
      <c r="G298">
        <f t="shared" si="4"/>
        <v>5799.78</v>
      </c>
      <c r="H298" t="str">
        <f>VLOOKUP(C298,'products '!$A$1:$G$322,2,FALSE)</f>
        <v>Trek Fuel EX 8 29 - 2016</v>
      </c>
    </row>
    <row r="299" spans="1:8" x14ac:dyDescent="0.3">
      <c r="A299">
        <v>298</v>
      </c>
      <c r="B299">
        <v>1</v>
      </c>
      <c r="C299">
        <v>23</v>
      </c>
      <c r="D299" s="2">
        <v>1</v>
      </c>
      <c r="E299" s="2">
        <v>299.99</v>
      </c>
      <c r="F299">
        <v>0.2</v>
      </c>
      <c r="G299">
        <f t="shared" si="4"/>
        <v>299.79000000000002</v>
      </c>
      <c r="H299" t="str">
        <f>VLOOKUP(C299,'products '!$A$1:$G$322,2,FALSE)</f>
        <v>Electra Girl's Hawaii 1 (20-inch) - 2015/2016</v>
      </c>
    </row>
    <row r="300" spans="1:8" x14ac:dyDescent="0.3">
      <c r="A300">
        <v>299</v>
      </c>
      <c r="B300">
        <v>1</v>
      </c>
      <c r="C300">
        <v>11</v>
      </c>
      <c r="D300" s="2">
        <v>2</v>
      </c>
      <c r="E300" s="2">
        <v>1680.99</v>
      </c>
      <c r="F300">
        <v>0.05</v>
      </c>
      <c r="G300">
        <f t="shared" si="4"/>
        <v>3361.93</v>
      </c>
      <c r="H300" t="str">
        <f>VLOOKUP(C300,'products '!$A$1:$G$322,2,FALSE)</f>
        <v>Surly Straggler 650b - 2016</v>
      </c>
    </row>
    <row r="301" spans="1:8" x14ac:dyDescent="0.3">
      <c r="A301">
        <v>300</v>
      </c>
      <c r="B301">
        <v>1</v>
      </c>
      <c r="C301">
        <v>16</v>
      </c>
      <c r="D301" s="2">
        <v>2</v>
      </c>
      <c r="E301" s="2">
        <v>599.99</v>
      </c>
      <c r="F301">
        <v>0.1</v>
      </c>
      <c r="G301">
        <f t="shared" si="4"/>
        <v>1199.8800000000001</v>
      </c>
      <c r="H301" t="str">
        <f>VLOOKUP(C301,'products '!$A$1:$G$322,2,FALSE)</f>
        <v>Electra Townie Original 7D EQ - 2016</v>
      </c>
    </row>
    <row r="302" spans="1:8" x14ac:dyDescent="0.3">
      <c r="A302">
        <v>301</v>
      </c>
      <c r="B302">
        <v>1</v>
      </c>
      <c r="C302">
        <v>6</v>
      </c>
      <c r="D302" s="2">
        <v>1</v>
      </c>
      <c r="E302" s="2">
        <v>469.99</v>
      </c>
      <c r="F302">
        <v>0.05</v>
      </c>
      <c r="G302">
        <f t="shared" si="4"/>
        <v>469.94</v>
      </c>
      <c r="H302" t="str">
        <f>VLOOKUP(C302,'products '!$A$1:$G$322,2,FALSE)</f>
        <v>Surly Ice Cream Truck Frameset - 2016</v>
      </c>
    </row>
    <row r="303" spans="1:8" x14ac:dyDescent="0.3">
      <c r="A303">
        <v>302</v>
      </c>
      <c r="B303">
        <v>1</v>
      </c>
      <c r="C303">
        <v>24</v>
      </c>
      <c r="D303" s="2">
        <v>2</v>
      </c>
      <c r="E303" s="2">
        <v>549.99</v>
      </c>
      <c r="F303">
        <v>0.2</v>
      </c>
      <c r="G303">
        <f t="shared" si="4"/>
        <v>1099.78</v>
      </c>
      <c r="H303" t="str">
        <f>VLOOKUP(C303,'products '!$A$1:$G$322,2,FALSE)</f>
        <v>Electra Townie Original 21D - 2016</v>
      </c>
    </row>
    <row r="304" spans="1:8" x14ac:dyDescent="0.3">
      <c r="A304">
        <v>303</v>
      </c>
      <c r="B304">
        <v>1</v>
      </c>
      <c r="C304">
        <v>8</v>
      </c>
      <c r="D304" s="2">
        <v>2</v>
      </c>
      <c r="E304" s="2">
        <v>1799.99</v>
      </c>
      <c r="F304">
        <v>0.05</v>
      </c>
      <c r="G304">
        <f t="shared" si="4"/>
        <v>3599.93</v>
      </c>
      <c r="H304" t="str">
        <f>VLOOKUP(C304,'products '!$A$1:$G$322,2,FALSE)</f>
        <v>Trek Remedy 29 Carbon Frameset - 2016</v>
      </c>
    </row>
    <row r="305" spans="1:8" x14ac:dyDescent="0.3">
      <c r="A305">
        <v>304</v>
      </c>
      <c r="B305">
        <v>1</v>
      </c>
      <c r="C305">
        <v>10</v>
      </c>
      <c r="D305" s="2">
        <v>1</v>
      </c>
      <c r="E305" s="2">
        <v>1549</v>
      </c>
      <c r="F305">
        <v>0.05</v>
      </c>
      <c r="G305">
        <f t="shared" si="4"/>
        <v>1548.95</v>
      </c>
      <c r="H305" t="str">
        <f>VLOOKUP(C305,'products '!$A$1:$G$322,2,FALSE)</f>
        <v>Surly Straggler - 2016</v>
      </c>
    </row>
    <row r="306" spans="1:8" x14ac:dyDescent="0.3">
      <c r="A306">
        <v>305</v>
      </c>
      <c r="B306">
        <v>1</v>
      </c>
      <c r="C306">
        <v>10</v>
      </c>
      <c r="D306" s="2">
        <v>1</v>
      </c>
      <c r="E306" s="2">
        <v>1549</v>
      </c>
      <c r="F306">
        <v>7.0000000000000007E-2</v>
      </c>
      <c r="G306">
        <f t="shared" si="4"/>
        <v>1548.93</v>
      </c>
      <c r="H306" t="str">
        <f>VLOOKUP(C306,'products '!$A$1:$G$322,2,FALSE)</f>
        <v>Surly Straggler - 2016</v>
      </c>
    </row>
    <row r="307" spans="1:8" x14ac:dyDescent="0.3">
      <c r="A307">
        <v>306</v>
      </c>
      <c r="B307">
        <v>1</v>
      </c>
      <c r="C307">
        <v>10</v>
      </c>
      <c r="D307" s="2">
        <v>1</v>
      </c>
      <c r="E307" s="2">
        <v>1549</v>
      </c>
      <c r="F307">
        <v>0.2</v>
      </c>
      <c r="G307">
        <f t="shared" si="4"/>
        <v>1548.8</v>
      </c>
      <c r="H307" t="str">
        <f>VLOOKUP(C307,'products '!$A$1:$G$322,2,FALSE)</f>
        <v>Surly Straggler - 2016</v>
      </c>
    </row>
    <row r="308" spans="1:8" x14ac:dyDescent="0.3">
      <c r="A308">
        <v>307</v>
      </c>
      <c r="B308">
        <v>1</v>
      </c>
      <c r="C308">
        <v>15</v>
      </c>
      <c r="D308" s="2">
        <v>2</v>
      </c>
      <c r="E308" s="2">
        <v>529.99</v>
      </c>
      <c r="F308">
        <v>0.05</v>
      </c>
      <c r="G308">
        <f t="shared" si="4"/>
        <v>1059.93</v>
      </c>
      <c r="H308" t="str">
        <f>VLOOKUP(C308,'products '!$A$1:$G$322,2,FALSE)</f>
        <v>Electra Moto 1 - 2016</v>
      </c>
    </row>
    <row r="309" spans="1:8" x14ac:dyDescent="0.3">
      <c r="A309">
        <v>308</v>
      </c>
      <c r="B309">
        <v>1</v>
      </c>
      <c r="C309">
        <v>7</v>
      </c>
      <c r="D309" s="2">
        <v>1</v>
      </c>
      <c r="E309" s="2">
        <v>3999.99</v>
      </c>
      <c r="F309">
        <v>0.1</v>
      </c>
      <c r="G309">
        <f t="shared" si="4"/>
        <v>3999.89</v>
      </c>
      <c r="H309" t="str">
        <f>VLOOKUP(C309,'products '!$A$1:$G$322,2,FALSE)</f>
        <v>Trek Slash 8 27.5 - 2016</v>
      </c>
    </row>
    <row r="310" spans="1:8" x14ac:dyDescent="0.3">
      <c r="A310">
        <v>309</v>
      </c>
      <c r="B310">
        <v>1</v>
      </c>
      <c r="C310">
        <v>3</v>
      </c>
      <c r="D310" s="2">
        <v>1</v>
      </c>
      <c r="E310" s="2">
        <v>999.99</v>
      </c>
      <c r="F310">
        <v>0.05</v>
      </c>
      <c r="G310">
        <f t="shared" si="4"/>
        <v>999.94</v>
      </c>
      <c r="H310" t="str">
        <f>VLOOKUP(C310,'products '!$A$1:$G$322,2,FALSE)</f>
        <v>Surly Wednesday Frameset - 2016</v>
      </c>
    </row>
    <row r="311" spans="1:8" x14ac:dyDescent="0.3">
      <c r="A311">
        <v>310</v>
      </c>
      <c r="B311">
        <v>1</v>
      </c>
      <c r="C311">
        <v>7</v>
      </c>
      <c r="D311" s="2">
        <v>2</v>
      </c>
      <c r="E311" s="2">
        <v>3999.99</v>
      </c>
      <c r="F311">
        <v>7.0000000000000007E-2</v>
      </c>
      <c r="G311">
        <f t="shared" si="4"/>
        <v>7999.91</v>
      </c>
      <c r="H311" t="str">
        <f>VLOOKUP(C311,'products '!$A$1:$G$322,2,FALSE)</f>
        <v>Trek Slash 8 27.5 - 2016</v>
      </c>
    </row>
    <row r="312" spans="1:8" x14ac:dyDescent="0.3">
      <c r="A312">
        <v>311</v>
      </c>
      <c r="B312">
        <v>1</v>
      </c>
      <c r="C312">
        <v>17</v>
      </c>
      <c r="D312" s="2">
        <v>2</v>
      </c>
      <c r="E312" s="2">
        <v>429</v>
      </c>
      <c r="F312">
        <v>0.05</v>
      </c>
      <c r="G312">
        <f t="shared" si="4"/>
        <v>857.95</v>
      </c>
      <c r="H312" t="str">
        <f>VLOOKUP(C312,'products '!$A$1:$G$322,2,FALSE)</f>
        <v>Pure Cycles Vine 8-Speed - 2016</v>
      </c>
    </row>
    <row r="313" spans="1:8" x14ac:dyDescent="0.3">
      <c r="A313">
        <v>312</v>
      </c>
      <c r="B313">
        <v>1</v>
      </c>
      <c r="C313">
        <v>24</v>
      </c>
      <c r="D313" s="2">
        <v>2</v>
      </c>
      <c r="E313" s="2">
        <v>549.99</v>
      </c>
      <c r="F313">
        <v>0.05</v>
      </c>
      <c r="G313">
        <f t="shared" si="4"/>
        <v>1099.93</v>
      </c>
      <c r="H313" t="str">
        <f>VLOOKUP(C313,'products '!$A$1:$G$322,2,FALSE)</f>
        <v>Electra Townie Original 21D - 2016</v>
      </c>
    </row>
    <row r="314" spans="1:8" x14ac:dyDescent="0.3">
      <c r="A314">
        <v>313</v>
      </c>
      <c r="B314">
        <v>1</v>
      </c>
      <c r="C314">
        <v>4</v>
      </c>
      <c r="D314" s="2">
        <v>1</v>
      </c>
      <c r="E314" s="2">
        <v>2899.99</v>
      </c>
      <c r="F314">
        <v>7.0000000000000007E-2</v>
      </c>
      <c r="G314">
        <f t="shared" si="4"/>
        <v>2899.9199999999996</v>
      </c>
      <c r="H314" t="str">
        <f>VLOOKUP(C314,'products '!$A$1:$G$322,2,FALSE)</f>
        <v>Trek Fuel EX 8 29 - 2016</v>
      </c>
    </row>
    <row r="315" spans="1:8" x14ac:dyDescent="0.3">
      <c r="A315">
        <v>314</v>
      </c>
      <c r="B315">
        <v>1</v>
      </c>
      <c r="C315">
        <v>5</v>
      </c>
      <c r="D315" s="2">
        <v>1</v>
      </c>
      <c r="E315" s="2">
        <v>1320.99</v>
      </c>
      <c r="F315">
        <v>7.0000000000000007E-2</v>
      </c>
      <c r="G315">
        <f t="shared" si="4"/>
        <v>1320.92</v>
      </c>
      <c r="H315" t="str">
        <f>VLOOKUP(C315,'products '!$A$1:$G$322,2,FALSE)</f>
        <v>Heller Shagamaw Frame - 2016</v>
      </c>
    </row>
    <row r="316" spans="1:8" x14ac:dyDescent="0.3">
      <c r="A316">
        <v>315</v>
      </c>
      <c r="B316">
        <v>1</v>
      </c>
      <c r="C316">
        <v>11</v>
      </c>
      <c r="D316" s="2">
        <v>1</v>
      </c>
      <c r="E316" s="2">
        <v>1680.99</v>
      </c>
      <c r="F316">
        <v>0.2</v>
      </c>
      <c r="G316">
        <f t="shared" si="4"/>
        <v>1680.79</v>
      </c>
      <c r="H316" t="str">
        <f>VLOOKUP(C316,'products '!$A$1:$G$322,2,FALSE)</f>
        <v>Surly Straggler 650b - 2016</v>
      </c>
    </row>
    <row r="317" spans="1:8" x14ac:dyDescent="0.3">
      <c r="A317">
        <v>316</v>
      </c>
      <c r="B317">
        <v>1</v>
      </c>
      <c r="C317">
        <v>2</v>
      </c>
      <c r="D317" s="2">
        <v>2</v>
      </c>
      <c r="E317" s="2">
        <v>749.99</v>
      </c>
      <c r="F317">
        <v>0.2</v>
      </c>
      <c r="G317">
        <f t="shared" si="4"/>
        <v>1499.78</v>
      </c>
      <c r="H317" t="str">
        <f>VLOOKUP(C317,'products '!$A$1:$G$322,2,FALSE)</f>
        <v>Ritchey Timberwolf Frameset - 2016</v>
      </c>
    </row>
    <row r="318" spans="1:8" x14ac:dyDescent="0.3">
      <c r="A318">
        <v>317</v>
      </c>
      <c r="B318">
        <v>1</v>
      </c>
      <c r="C318">
        <v>10</v>
      </c>
      <c r="D318" s="2">
        <v>1</v>
      </c>
      <c r="E318" s="2">
        <v>1549</v>
      </c>
      <c r="F318">
        <v>0.2</v>
      </c>
      <c r="G318">
        <f t="shared" si="4"/>
        <v>1548.8</v>
      </c>
      <c r="H318" t="str">
        <f>VLOOKUP(C318,'products '!$A$1:$G$322,2,FALSE)</f>
        <v>Surly Straggler - 2016</v>
      </c>
    </row>
    <row r="319" spans="1:8" x14ac:dyDescent="0.3">
      <c r="A319">
        <v>318</v>
      </c>
      <c r="B319">
        <v>1</v>
      </c>
      <c r="C319">
        <v>13</v>
      </c>
      <c r="D319" s="2">
        <v>2</v>
      </c>
      <c r="E319" s="2">
        <v>269.99</v>
      </c>
      <c r="F319">
        <v>0.1</v>
      </c>
      <c r="G319">
        <f t="shared" si="4"/>
        <v>539.88</v>
      </c>
      <c r="H319" t="str">
        <f>VLOOKUP(C319,'products '!$A$1:$G$322,2,FALSE)</f>
        <v>Electra Cruiser 1 (24-Inch) - 2016</v>
      </c>
    </row>
    <row r="320" spans="1:8" x14ac:dyDescent="0.3">
      <c r="A320">
        <v>319</v>
      </c>
      <c r="B320">
        <v>1</v>
      </c>
      <c r="C320">
        <v>11</v>
      </c>
      <c r="D320" s="2">
        <v>1</v>
      </c>
      <c r="E320" s="2">
        <v>1680.99</v>
      </c>
      <c r="F320">
        <v>7.0000000000000007E-2</v>
      </c>
      <c r="G320">
        <f t="shared" si="4"/>
        <v>1680.92</v>
      </c>
      <c r="H320" t="str">
        <f>VLOOKUP(C320,'products '!$A$1:$G$322,2,FALSE)</f>
        <v>Surly Straggler 650b - 2016</v>
      </c>
    </row>
    <row r="321" spans="1:8" x14ac:dyDescent="0.3">
      <c r="A321">
        <v>320</v>
      </c>
      <c r="B321">
        <v>1</v>
      </c>
      <c r="C321">
        <v>2</v>
      </c>
      <c r="D321" s="2">
        <v>1</v>
      </c>
      <c r="E321" s="2">
        <v>749.99</v>
      </c>
      <c r="F321">
        <v>0.1</v>
      </c>
      <c r="G321">
        <f t="shared" si="4"/>
        <v>749.89</v>
      </c>
      <c r="H321" t="str">
        <f>VLOOKUP(C321,'products '!$A$1:$G$322,2,FALSE)</f>
        <v>Ritchey Timberwolf Frameset - 2016</v>
      </c>
    </row>
    <row r="322" spans="1:8" x14ac:dyDescent="0.3">
      <c r="A322">
        <v>321</v>
      </c>
      <c r="B322">
        <v>1</v>
      </c>
      <c r="C322">
        <v>4</v>
      </c>
      <c r="D322" s="2">
        <v>2</v>
      </c>
      <c r="E322" s="2">
        <v>2899.99</v>
      </c>
      <c r="F322">
        <v>0.2</v>
      </c>
      <c r="G322">
        <f t="shared" si="4"/>
        <v>5799.78</v>
      </c>
      <c r="H322" t="str">
        <f>VLOOKUP(C322,'products '!$A$1:$G$322,2,FALSE)</f>
        <v>Trek Fuel EX 8 29 - 2016</v>
      </c>
    </row>
    <row r="323" spans="1:8" x14ac:dyDescent="0.3">
      <c r="A323">
        <v>322</v>
      </c>
      <c r="B323">
        <v>1</v>
      </c>
      <c r="C323">
        <v>13</v>
      </c>
      <c r="D323" s="2">
        <v>2</v>
      </c>
      <c r="E323" s="2">
        <v>269.99</v>
      </c>
      <c r="F323">
        <v>0.2</v>
      </c>
      <c r="G323">
        <f t="shared" ref="G323:G386" si="5">E323*D323-F323</f>
        <v>539.78</v>
      </c>
      <c r="H323" t="str">
        <f>VLOOKUP(C323,'products '!$A$1:$G$322,2,FALSE)</f>
        <v>Electra Cruiser 1 (24-Inch) - 2016</v>
      </c>
    </row>
    <row r="324" spans="1:8" x14ac:dyDescent="0.3">
      <c r="A324">
        <v>323</v>
      </c>
      <c r="B324">
        <v>1</v>
      </c>
      <c r="C324">
        <v>13</v>
      </c>
      <c r="D324" s="2">
        <v>2</v>
      </c>
      <c r="E324" s="2">
        <v>269.99</v>
      </c>
      <c r="F324">
        <v>7.0000000000000007E-2</v>
      </c>
      <c r="G324">
        <f t="shared" si="5"/>
        <v>539.91</v>
      </c>
      <c r="H324" t="str">
        <f>VLOOKUP(C324,'products '!$A$1:$G$322,2,FALSE)</f>
        <v>Electra Cruiser 1 (24-Inch) - 2016</v>
      </c>
    </row>
    <row r="325" spans="1:8" x14ac:dyDescent="0.3">
      <c r="A325">
        <v>324</v>
      </c>
      <c r="B325">
        <v>1</v>
      </c>
      <c r="C325">
        <v>2</v>
      </c>
      <c r="D325" s="2">
        <v>2</v>
      </c>
      <c r="E325" s="2">
        <v>749.99</v>
      </c>
      <c r="F325">
        <v>0.1</v>
      </c>
      <c r="G325">
        <f t="shared" si="5"/>
        <v>1499.88</v>
      </c>
      <c r="H325" t="str">
        <f>VLOOKUP(C325,'products '!$A$1:$G$322,2,FALSE)</f>
        <v>Ritchey Timberwolf Frameset - 2016</v>
      </c>
    </row>
    <row r="326" spans="1:8" x14ac:dyDescent="0.3">
      <c r="A326">
        <v>325</v>
      </c>
      <c r="B326">
        <v>1</v>
      </c>
      <c r="C326">
        <v>7</v>
      </c>
      <c r="D326" s="2">
        <v>1</v>
      </c>
      <c r="E326" s="2">
        <v>3999.99</v>
      </c>
      <c r="F326">
        <v>0.05</v>
      </c>
      <c r="G326">
        <f t="shared" si="5"/>
        <v>3999.9399999999996</v>
      </c>
      <c r="H326" t="str">
        <f>VLOOKUP(C326,'products '!$A$1:$G$322,2,FALSE)</f>
        <v>Trek Slash 8 27.5 - 2016</v>
      </c>
    </row>
    <row r="327" spans="1:8" x14ac:dyDescent="0.3">
      <c r="A327">
        <v>326</v>
      </c>
      <c r="B327">
        <v>1</v>
      </c>
      <c r="C327">
        <v>12</v>
      </c>
      <c r="D327" s="2">
        <v>1</v>
      </c>
      <c r="E327" s="2">
        <v>549.99</v>
      </c>
      <c r="F327">
        <v>0.1</v>
      </c>
      <c r="G327">
        <f t="shared" si="5"/>
        <v>549.89</v>
      </c>
      <c r="H327" t="str">
        <f>VLOOKUP(C327,'products '!$A$1:$G$322,2,FALSE)</f>
        <v>Electra Townie Original 21D - 2016</v>
      </c>
    </row>
    <row r="328" spans="1:8" x14ac:dyDescent="0.3">
      <c r="A328">
        <v>327</v>
      </c>
      <c r="B328">
        <v>1</v>
      </c>
      <c r="C328">
        <v>12</v>
      </c>
      <c r="D328" s="2">
        <v>2</v>
      </c>
      <c r="E328" s="2">
        <v>549.99</v>
      </c>
      <c r="F328">
        <v>7.0000000000000007E-2</v>
      </c>
      <c r="G328">
        <f t="shared" si="5"/>
        <v>1099.9100000000001</v>
      </c>
      <c r="H328" t="str">
        <f>VLOOKUP(C328,'products '!$A$1:$G$322,2,FALSE)</f>
        <v>Electra Townie Original 21D - 2016</v>
      </c>
    </row>
    <row r="329" spans="1:8" x14ac:dyDescent="0.3">
      <c r="A329">
        <v>328</v>
      </c>
      <c r="B329">
        <v>1</v>
      </c>
      <c r="C329">
        <v>6</v>
      </c>
      <c r="D329" s="2">
        <v>2</v>
      </c>
      <c r="E329" s="2">
        <v>469.99</v>
      </c>
      <c r="F329">
        <v>0.1</v>
      </c>
      <c r="G329">
        <f t="shared" si="5"/>
        <v>939.88</v>
      </c>
      <c r="H329" t="str">
        <f>VLOOKUP(C329,'products '!$A$1:$G$322,2,FALSE)</f>
        <v>Surly Ice Cream Truck Frameset - 2016</v>
      </c>
    </row>
    <row r="330" spans="1:8" x14ac:dyDescent="0.3">
      <c r="A330">
        <v>329</v>
      </c>
      <c r="B330">
        <v>1</v>
      </c>
      <c r="C330">
        <v>14</v>
      </c>
      <c r="D330" s="2">
        <v>2</v>
      </c>
      <c r="E330" s="2">
        <v>269.99</v>
      </c>
      <c r="F330">
        <v>7.0000000000000007E-2</v>
      </c>
      <c r="G330">
        <f t="shared" si="5"/>
        <v>539.91</v>
      </c>
      <c r="H330" t="str">
        <f>VLOOKUP(C330,'products '!$A$1:$G$322,2,FALSE)</f>
        <v>Electra Girl's Hawaii 1 (16-inch) - 2015/2016</v>
      </c>
    </row>
    <row r="331" spans="1:8" x14ac:dyDescent="0.3">
      <c r="A331">
        <v>330</v>
      </c>
      <c r="B331">
        <v>1</v>
      </c>
      <c r="C331">
        <v>21</v>
      </c>
      <c r="D331" s="2">
        <v>2</v>
      </c>
      <c r="E331" s="2">
        <v>269.99</v>
      </c>
      <c r="F331">
        <v>0.05</v>
      </c>
      <c r="G331">
        <f t="shared" si="5"/>
        <v>539.93000000000006</v>
      </c>
      <c r="H331" t="str">
        <f>VLOOKUP(C331,'products '!$A$1:$G$322,2,FALSE)</f>
        <v>Electra Cruiser 1 (24-Inch) - 2016</v>
      </c>
    </row>
    <row r="332" spans="1:8" x14ac:dyDescent="0.3">
      <c r="A332">
        <v>331</v>
      </c>
      <c r="B332">
        <v>1</v>
      </c>
      <c r="C332">
        <v>17</v>
      </c>
      <c r="D332" s="2">
        <v>2</v>
      </c>
      <c r="E332" s="2">
        <v>429</v>
      </c>
      <c r="F332">
        <v>0.1</v>
      </c>
      <c r="G332">
        <f t="shared" si="5"/>
        <v>857.9</v>
      </c>
      <c r="H332" t="str">
        <f>VLOOKUP(C332,'products '!$A$1:$G$322,2,FALSE)</f>
        <v>Pure Cycles Vine 8-Speed - 2016</v>
      </c>
    </row>
    <row r="333" spans="1:8" x14ac:dyDescent="0.3">
      <c r="A333">
        <v>332</v>
      </c>
      <c r="B333">
        <v>1</v>
      </c>
      <c r="C333">
        <v>18</v>
      </c>
      <c r="D333" s="2">
        <v>2</v>
      </c>
      <c r="E333" s="2">
        <v>449</v>
      </c>
      <c r="F333">
        <v>0.05</v>
      </c>
      <c r="G333">
        <f t="shared" si="5"/>
        <v>897.95</v>
      </c>
      <c r="H333" t="str">
        <f>VLOOKUP(C333,'products '!$A$1:$G$322,2,FALSE)</f>
        <v>Pure Cycles Western 3-Speed - Women's - 2015/2016</v>
      </c>
    </row>
    <row r="334" spans="1:8" x14ac:dyDescent="0.3">
      <c r="A334">
        <v>333</v>
      </c>
      <c r="B334">
        <v>1</v>
      </c>
      <c r="C334">
        <v>18</v>
      </c>
      <c r="D334" s="2">
        <v>2</v>
      </c>
      <c r="E334" s="2">
        <v>449</v>
      </c>
      <c r="F334">
        <v>7.0000000000000007E-2</v>
      </c>
      <c r="G334">
        <f t="shared" si="5"/>
        <v>897.93</v>
      </c>
      <c r="H334" t="str">
        <f>VLOOKUP(C334,'products '!$A$1:$G$322,2,FALSE)</f>
        <v>Pure Cycles Western 3-Speed - Women's - 2015/2016</v>
      </c>
    </row>
    <row r="335" spans="1:8" x14ac:dyDescent="0.3">
      <c r="A335">
        <v>334</v>
      </c>
      <c r="B335">
        <v>1</v>
      </c>
      <c r="C335">
        <v>16</v>
      </c>
      <c r="D335" s="2">
        <v>2</v>
      </c>
      <c r="E335" s="2">
        <v>599.99</v>
      </c>
      <c r="F335">
        <v>0.2</v>
      </c>
      <c r="G335">
        <f t="shared" si="5"/>
        <v>1199.78</v>
      </c>
      <c r="H335" t="str">
        <f>VLOOKUP(C335,'products '!$A$1:$G$322,2,FALSE)</f>
        <v>Electra Townie Original 7D EQ - 2016</v>
      </c>
    </row>
    <row r="336" spans="1:8" x14ac:dyDescent="0.3">
      <c r="A336">
        <v>335</v>
      </c>
      <c r="B336">
        <v>1</v>
      </c>
      <c r="C336">
        <v>6</v>
      </c>
      <c r="D336" s="2">
        <v>1</v>
      </c>
      <c r="E336" s="2">
        <v>469.99</v>
      </c>
      <c r="F336">
        <v>0.1</v>
      </c>
      <c r="G336">
        <f t="shared" si="5"/>
        <v>469.89</v>
      </c>
      <c r="H336" t="str">
        <f>VLOOKUP(C336,'products '!$A$1:$G$322,2,FALSE)</f>
        <v>Surly Ice Cream Truck Frameset - 2016</v>
      </c>
    </row>
    <row r="337" spans="1:8" x14ac:dyDescent="0.3">
      <c r="A337">
        <v>336</v>
      </c>
      <c r="B337">
        <v>1</v>
      </c>
      <c r="C337">
        <v>4</v>
      </c>
      <c r="D337" s="2">
        <v>1</v>
      </c>
      <c r="E337" s="2">
        <v>2899.99</v>
      </c>
      <c r="F337">
        <v>0.1</v>
      </c>
      <c r="G337">
        <f t="shared" si="5"/>
        <v>2899.89</v>
      </c>
      <c r="H337" t="str">
        <f>VLOOKUP(C337,'products '!$A$1:$G$322,2,FALSE)</f>
        <v>Trek Fuel EX 8 29 - 2016</v>
      </c>
    </row>
    <row r="338" spans="1:8" x14ac:dyDescent="0.3">
      <c r="A338">
        <v>337</v>
      </c>
      <c r="B338">
        <v>1</v>
      </c>
      <c r="C338">
        <v>18</v>
      </c>
      <c r="D338" s="2">
        <v>1</v>
      </c>
      <c r="E338" s="2">
        <v>449</v>
      </c>
      <c r="F338">
        <v>0.05</v>
      </c>
      <c r="G338">
        <f t="shared" si="5"/>
        <v>448.95</v>
      </c>
      <c r="H338" t="str">
        <f>VLOOKUP(C338,'products '!$A$1:$G$322,2,FALSE)</f>
        <v>Pure Cycles Western 3-Speed - Women's - 2015/2016</v>
      </c>
    </row>
    <row r="339" spans="1:8" x14ac:dyDescent="0.3">
      <c r="A339">
        <v>338</v>
      </c>
      <c r="B339">
        <v>1</v>
      </c>
      <c r="C339">
        <v>6</v>
      </c>
      <c r="D339" s="2">
        <v>2</v>
      </c>
      <c r="E339" s="2">
        <v>469.99</v>
      </c>
      <c r="F339">
        <v>7.0000000000000007E-2</v>
      </c>
      <c r="G339">
        <f t="shared" si="5"/>
        <v>939.91</v>
      </c>
      <c r="H339" t="str">
        <f>VLOOKUP(C339,'products '!$A$1:$G$322,2,FALSE)</f>
        <v>Surly Ice Cream Truck Frameset - 2016</v>
      </c>
    </row>
    <row r="340" spans="1:8" x14ac:dyDescent="0.3">
      <c r="A340">
        <v>339</v>
      </c>
      <c r="B340">
        <v>1</v>
      </c>
      <c r="C340">
        <v>13</v>
      </c>
      <c r="D340" s="2">
        <v>1</v>
      </c>
      <c r="E340" s="2">
        <v>269.99</v>
      </c>
      <c r="F340">
        <v>0.1</v>
      </c>
      <c r="G340">
        <f t="shared" si="5"/>
        <v>269.89</v>
      </c>
      <c r="H340" t="str">
        <f>VLOOKUP(C340,'products '!$A$1:$G$322,2,FALSE)</f>
        <v>Electra Cruiser 1 (24-Inch) - 2016</v>
      </c>
    </row>
    <row r="341" spans="1:8" x14ac:dyDescent="0.3">
      <c r="A341">
        <v>340</v>
      </c>
      <c r="B341">
        <v>1</v>
      </c>
      <c r="C341">
        <v>11</v>
      </c>
      <c r="D341" s="2">
        <v>1</v>
      </c>
      <c r="E341" s="2">
        <v>1680.99</v>
      </c>
      <c r="F341">
        <v>0.05</v>
      </c>
      <c r="G341">
        <f t="shared" si="5"/>
        <v>1680.94</v>
      </c>
      <c r="H341" t="str">
        <f>VLOOKUP(C341,'products '!$A$1:$G$322,2,FALSE)</f>
        <v>Surly Straggler 650b - 2016</v>
      </c>
    </row>
    <row r="342" spans="1:8" x14ac:dyDescent="0.3">
      <c r="A342">
        <v>341</v>
      </c>
      <c r="B342">
        <v>1</v>
      </c>
      <c r="C342">
        <v>23</v>
      </c>
      <c r="D342" s="2">
        <v>2</v>
      </c>
      <c r="E342" s="2">
        <v>299.99</v>
      </c>
      <c r="F342">
        <v>0.05</v>
      </c>
      <c r="G342">
        <f t="shared" si="5"/>
        <v>599.93000000000006</v>
      </c>
      <c r="H342" t="str">
        <f>VLOOKUP(C342,'products '!$A$1:$G$322,2,FALSE)</f>
        <v>Electra Girl's Hawaii 1 (20-inch) - 2015/2016</v>
      </c>
    </row>
    <row r="343" spans="1:8" x14ac:dyDescent="0.3">
      <c r="A343">
        <v>342</v>
      </c>
      <c r="B343">
        <v>1</v>
      </c>
      <c r="C343">
        <v>26</v>
      </c>
      <c r="D343" s="2">
        <v>1</v>
      </c>
      <c r="E343" s="2">
        <v>599.99</v>
      </c>
      <c r="F343">
        <v>7.0000000000000007E-2</v>
      </c>
      <c r="G343">
        <f t="shared" si="5"/>
        <v>599.91999999999996</v>
      </c>
      <c r="H343" t="str">
        <f>VLOOKUP(C343,'products '!$A$1:$G$322,2,FALSE)</f>
        <v>Electra Townie Original 7D EQ - 2016</v>
      </c>
    </row>
    <row r="344" spans="1:8" x14ac:dyDescent="0.3">
      <c r="A344">
        <v>343</v>
      </c>
      <c r="B344">
        <v>1</v>
      </c>
      <c r="C344">
        <v>20</v>
      </c>
      <c r="D344" s="2">
        <v>2</v>
      </c>
      <c r="E344" s="2">
        <v>599.99</v>
      </c>
      <c r="F344">
        <v>0.2</v>
      </c>
      <c r="G344">
        <f t="shared" si="5"/>
        <v>1199.78</v>
      </c>
      <c r="H344" t="str">
        <f>VLOOKUP(C344,'products '!$A$1:$G$322,2,FALSE)</f>
        <v>Electra Townie Original 7D EQ - Women's - 2016</v>
      </c>
    </row>
    <row r="345" spans="1:8" x14ac:dyDescent="0.3">
      <c r="A345">
        <v>344</v>
      </c>
      <c r="B345">
        <v>1</v>
      </c>
      <c r="C345">
        <v>22</v>
      </c>
      <c r="D345" s="2">
        <v>1</v>
      </c>
      <c r="E345" s="2">
        <v>269.99</v>
      </c>
      <c r="F345">
        <v>0.05</v>
      </c>
      <c r="G345">
        <f t="shared" si="5"/>
        <v>269.94</v>
      </c>
      <c r="H345" t="str">
        <f>VLOOKUP(C345,'products '!$A$1:$G$322,2,FALSE)</f>
        <v>Electra Girl's Hawaii 1 (16-inch) - 2015/2016</v>
      </c>
    </row>
    <row r="346" spans="1:8" x14ac:dyDescent="0.3">
      <c r="A346">
        <v>345</v>
      </c>
      <c r="B346">
        <v>1</v>
      </c>
      <c r="C346">
        <v>18</v>
      </c>
      <c r="D346" s="2">
        <v>2</v>
      </c>
      <c r="E346" s="2">
        <v>449</v>
      </c>
      <c r="F346">
        <v>0.1</v>
      </c>
      <c r="G346">
        <f t="shared" si="5"/>
        <v>897.9</v>
      </c>
      <c r="H346" t="str">
        <f>VLOOKUP(C346,'products '!$A$1:$G$322,2,FALSE)</f>
        <v>Pure Cycles Western 3-Speed - Women's - 2015/2016</v>
      </c>
    </row>
    <row r="347" spans="1:8" x14ac:dyDescent="0.3">
      <c r="A347">
        <v>346</v>
      </c>
      <c r="B347">
        <v>1</v>
      </c>
      <c r="C347">
        <v>13</v>
      </c>
      <c r="D347" s="2">
        <v>1</v>
      </c>
      <c r="E347" s="2">
        <v>269.99</v>
      </c>
      <c r="F347">
        <v>7.0000000000000007E-2</v>
      </c>
      <c r="G347">
        <f t="shared" si="5"/>
        <v>269.92</v>
      </c>
      <c r="H347" t="str">
        <f>VLOOKUP(C347,'products '!$A$1:$G$322,2,FALSE)</f>
        <v>Electra Cruiser 1 (24-Inch) - 2016</v>
      </c>
    </row>
    <row r="348" spans="1:8" x14ac:dyDescent="0.3">
      <c r="A348">
        <v>347</v>
      </c>
      <c r="B348">
        <v>1</v>
      </c>
      <c r="C348">
        <v>23</v>
      </c>
      <c r="D348" s="2">
        <v>1</v>
      </c>
      <c r="E348" s="2">
        <v>299.99</v>
      </c>
      <c r="F348">
        <v>7.0000000000000007E-2</v>
      </c>
      <c r="G348">
        <f t="shared" si="5"/>
        <v>299.92</v>
      </c>
      <c r="H348" t="str">
        <f>VLOOKUP(C348,'products '!$A$1:$G$322,2,FALSE)</f>
        <v>Electra Girl's Hawaii 1 (20-inch) - 2015/2016</v>
      </c>
    </row>
    <row r="349" spans="1:8" x14ac:dyDescent="0.3">
      <c r="A349">
        <v>348</v>
      </c>
      <c r="B349">
        <v>1</v>
      </c>
      <c r="C349">
        <v>5</v>
      </c>
      <c r="D349" s="2">
        <v>2</v>
      </c>
      <c r="E349" s="2">
        <v>1320.99</v>
      </c>
      <c r="F349">
        <v>0.05</v>
      </c>
      <c r="G349">
        <f t="shared" si="5"/>
        <v>2641.93</v>
      </c>
      <c r="H349" t="str">
        <f>VLOOKUP(C349,'products '!$A$1:$G$322,2,FALSE)</f>
        <v>Heller Shagamaw Frame - 2016</v>
      </c>
    </row>
    <row r="350" spans="1:8" x14ac:dyDescent="0.3">
      <c r="A350">
        <v>349</v>
      </c>
      <c r="B350">
        <v>1</v>
      </c>
      <c r="C350">
        <v>20</v>
      </c>
      <c r="D350" s="2">
        <v>2</v>
      </c>
      <c r="E350" s="2">
        <v>599.99</v>
      </c>
      <c r="F350">
        <v>0.2</v>
      </c>
      <c r="G350">
        <f t="shared" si="5"/>
        <v>1199.78</v>
      </c>
      <c r="H350" t="str">
        <f>VLOOKUP(C350,'products '!$A$1:$G$322,2,FALSE)</f>
        <v>Electra Townie Original 7D EQ - Women's - 2016</v>
      </c>
    </row>
    <row r="351" spans="1:8" x14ac:dyDescent="0.3">
      <c r="A351">
        <v>350</v>
      </c>
      <c r="B351">
        <v>1</v>
      </c>
      <c r="C351">
        <v>6</v>
      </c>
      <c r="D351" s="2">
        <v>2</v>
      </c>
      <c r="E351" s="2">
        <v>469.99</v>
      </c>
      <c r="F351">
        <v>0.05</v>
      </c>
      <c r="G351">
        <f t="shared" si="5"/>
        <v>939.93000000000006</v>
      </c>
      <c r="H351" t="str">
        <f>VLOOKUP(C351,'products '!$A$1:$G$322,2,FALSE)</f>
        <v>Surly Ice Cream Truck Frameset - 2016</v>
      </c>
    </row>
    <row r="352" spans="1:8" x14ac:dyDescent="0.3">
      <c r="A352">
        <v>351</v>
      </c>
      <c r="B352">
        <v>1</v>
      </c>
      <c r="C352">
        <v>4</v>
      </c>
      <c r="D352" s="2">
        <v>2</v>
      </c>
      <c r="E352" s="2">
        <v>2899.99</v>
      </c>
      <c r="F352">
        <v>0.05</v>
      </c>
      <c r="G352">
        <f t="shared" si="5"/>
        <v>5799.9299999999994</v>
      </c>
      <c r="H352" t="str">
        <f>VLOOKUP(C352,'products '!$A$1:$G$322,2,FALSE)</f>
        <v>Trek Fuel EX 8 29 - 2016</v>
      </c>
    </row>
    <row r="353" spans="1:8" x14ac:dyDescent="0.3">
      <c r="A353">
        <v>352</v>
      </c>
      <c r="B353">
        <v>1</v>
      </c>
      <c r="C353">
        <v>11</v>
      </c>
      <c r="D353" s="2">
        <v>1</v>
      </c>
      <c r="E353" s="2">
        <v>1680.99</v>
      </c>
      <c r="F353">
        <v>0.2</v>
      </c>
      <c r="G353">
        <f t="shared" si="5"/>
        <v>1680.79</v>
      </c>
      <c r="H353" t="str">
        <f>VLOOKUP(C353,'products '!$A$1:$G$322,2,FALSE)</f>
        <v>Surly Straggler 650b - 2016</v>
      </c>
    </row>
    <row r="354" spans="1:8" x14ac:dyDescent="0.3">
      <c r="A354">
        <v>353</v>
      </c>
      <c r="B354">
        <v>1</v>
      </c>
      <c r="C354">
        <v>2</v>
      </c>
      <c r="D354" s="2">
        <v>2</v>
      </c>
      <c r="E354" s="2">
        <v>749.99</v>
      </c>
      <c r="F354">
        <v>0.2</v>
      </c>
      <c r="G354">
        <f t="shared" si="5"/>
        <v>1499.78</v>
      </c>
      <c r="H354" t="str">
        <f>VLOOKUP(C354,'products '!$A$1:$G$322,2,FALSE)</f>
        <v>Ritchey Timberwolf Frameset - 2016</v>
      </c>
    </row>
    <row r="355" spans="1:8" x14ac:dyDescent="0.3">
      <c r="A355">
        <v>354</v>
      </c>
      <c r="B355">
        <v>1</v>
      </c>
      <c r="C355">
        <v>21</v>
      </c>
      <c r="D355" s="2">
        <v>1</v>
      </c>
      <c r="E355" s="2">
        <v>269.99</v>
      </c>
      <c r="F355">
        <v>0.2</v>
      </c>
      <c r="G355">
        <f t="shared" si="5"/>
        <v>269.79000000000002</v>
      </c>
      <c r="H355" t="str">
        <f>VLOOKUP(C355,'products '!$A$1:$G$322,2,FALSE)</f>
        <v>Electra Cruiser 1 (24-Inch) - 2016</v>
      </c>
    </row>
    <row r="356" spans="1:8" x14ac:dyDescent="0.3">
      <c r="A356">
        <v>355</v>
      </c>
      <c r="B356">
        <v>1</v>
      </c>
      <c r="C356">
        <v>16</v>
      </c>
      <c r="D356" s="2">
        <v>1</v>
      </c>
      <c r="E356" s="2">
        <v>599.99</v>
      </c>
      <c r="F356">
        <v>0.1</v>
      </c>
      <c r="G356">
        <f t="shared" si="5"/>
        <v>599.89</v>
      </c>
      <c r="H356" t="str">
        <f>VLOOKUP(C356,'products '!$A$1:$G$322,2,FALSE)</f>
        <v>Electra Townie Original 7D EQ - 2016</v>
      </c>
    </row>
    <row r="357" spans="1:8" x14ac:dyDescent="0.3">
      <c r="A357">
        <v>356</v>
      </c>
      <c r="B357">
        <v>1</v>
      </c>
      <c r="C357">
        <v>23</v>
      </c>
      <c r="D357" s="2">
        <v>2</v>
      </c>
      <c r="E357" s="2">
        <v>299.99</v>
      </c>
      <c r="F357">
        <v>0.05</v>
      </c>
      <c r="G357">
        <f t="shared" si="5"/>
        <v>599.93000000000006</v>
      </c>
      <c r="H357" t="str">
        <f>VLOOKUP(C357,'products '!$A$1:$G$322,2,FALSE)</f>
        <v>Electra Girl's Hawaii 1 (20-inch) - 2015/2016</v>
      </c>
    </row>
    <row r="358" spans="1:8" x14ac:dyDescent="0.3">
      <c r="A358">
        <v>357</v>
      </c>
      <c r="B358">
        <v>1</v>
      </c>
      <c r="C358">
        <v>17</v>
      </c>
      <c r="D358" s="2">
        <v>2</v>
      </c>
      <c r="E358" s="2">
        <v>429</v>
      </c>
      <c r="F358">
        <v>0.05</v>
      </c>
      <c r="G358">
        <f t="shared" si="5"/>
        <v>857.95</v>
      </c>
      <c r="H358" t="str">
        <f>VLOOKUP(C358,'products '!$A$1:$G$322,2,FALSE)</f>
        <v>Pure Cycles Vine 8-Speed - 2016</v>
      </c>
    </row>
    <row r="359" spans="1:8" x14ac:dyDescent="0.3">
      <c r="A359">
        <v>358</v>
      </c>
      <c r="B359">
        <v>1</v>
      </c>
      <c r="C359">
        <v>21</v>
      </c>
      <c r="D359" s="2">
        <v>2</v>
      </c>
      <c r="E359" s="2">
        <v>269.99</v>
      </c>
      <c r="F359">
        <v>0.1</v>
      </c>
      <c r="G359">
        <f t="shared" si="5"/>
        <v>539.88</v>
      </c>
      <c r="H359" t="str">
        <f>VLOOKUP(C359,'products '!$A$1:$G$322,2,FALSE)</f>
        <v>Electra Cruiser 1 (24-Inch) - 2016</v>
      </c>
    </row>
    <row r="360" spans="1:8" x14ac:dyDescent="0.3">
      <c r="A360">
        <v>359</v>
      </c>
      <c r="B360">
        <v>1</v>
      </c>
      <c r="C360">
        <v>15</v>
      </c>
      <c r="D360" s="2">
        <v>2</v>
      </c>
      <c r="E360" s="2">
        <v>529.99</v>
      </c>
      <c r="F360">
        <v>7.0000000000000007E-2</v>
      </c>
      <c r="G360">
        <f t="shared" si="5"/>
        <v>1059.9100000000001</v>
      </c>
      <c r="H360" t="str">
        <f>VLOOKUP(C360,'products '!$A$1:$G$322,2,FALSE)</f>
        <v>Electra Moto 1 - 2016</v>
      </c>
    </row>
    <row r="361" spans="1:8" x14ac:dyDescent="0.3">
      <c r="A361">
        <v>360</v>
      </c>
      <c r="B361">
        <v>1</v>
      </c>
      <c r="C361">
        <v>26</v>
      </c>
      <c r="D361" s="2">
        <v>1</v>
      </c>
      <c r="E361" s="2">
        <v>599.99</v>
      </c>
      <c r="F361">
        <v>0.05</v>
      </c>
      <c r="G361">
        <f t="shared" si="5"/>
        <v>599.94000000000005</v>
      </c>
      <c r="H361" t="str">
        <f>VLOOKUP(C361,'products '!$A$1:$G$322,2,FALSE)</f>
        <v>Electra Townie Original 7D EQ - 2016</v>
      </c>
    </row>
    <row r="362" spans="1:8" x14ac:dyDescent="0.3">
      <c r="A362">
        <v>361</v>
      </c>
      <c r="B362">
        <v>1</v>
      </c>
      <c r="C362">
        <v>24</v>
      </c>
      <c r="D362" s="2">
        <v>2</v>
      </c>
      <c r="E362" s="2">
        <v>549.99</v>
      </c>
      <c r="F362">
        <v>0.05</v>
      </c>
      <c r="G362">
        <f t="shared" si="5"/>
        <v>1099.93</v>
      </c>
      <c r="H362" t="str">
        <f>VLOOKUP(C362,'products '!$A$1:$G$322,2,FALSE)</f>
        <v>Electra Townie Original 21D - 2016</v>
      </c>
    </row>
    <row r="363" spans="1:8" x14ac:dyDescent="0.3">
      <c r="A363">
        <v>362</v>
      </c>
      <c r="B363">
        <v>1</v>
      </c>
      <c r="C363">
        <v>2</v>
      </c>
      <c r="D363" s="2">
        <v>1</v>
      </c>
      <c r="E363" s="2">
        <v>749.99</v>
      </c>
      <c r="F363">
        <v>7.0000000000000007E-2</v>
      </c>
      <c r="G363">
        <f t="shared" si="5"/>
        <v>749.92</v>
      </c>
      <c r="H363" t="str">
        <f>VLOOKUP(C363,'products '!$A$1:$G$322,2,FALSE)</f>
        <v>Ritchey Timberwolf Frameset - 2016</v>
      </c>
    </row>
    <row r="364" spans="1:8" x14ac:dyDescent="0.3">
      <c r="A364">
        <v>363</v>
      </c>
      <c r="B364">
        <v>1</v>
      </c>
      <c r="C364">
        <v>21</v>
      </c>
      <c r="D364" s="2">
        <v>2</v>
      </c>
      <c r="E364" s="2">
        <v>269.99</v>
      </c>
      <c r="F364">
        <v>0.1</v>
      </c>
      <c r="G364">
        <f t="shared" si="5"/>
        <v>539.88</v>
      </c>
      <c r="H364" t="str">
        <f>VLOOKUP(C364,'products '!$A$1:$G$322,2,FALSE)</f>
        <v>Electra Cruiser 1 (24-Inch) - 2016</v>
      </c>
    </row>
    <row r="365" spans="1:8" x14ac:dyDescent="0.3">
      <c r="A365">
        <v>364</v>
      </c>
      <c r="B365">
        <v>1</v>
      </c>
      <c r="C365">
        <v>25</v>
      </c>
      <c r="D365" s="2">
        <v>2</v>
      </c>
      <c r="E365" s="2">
        <v>499.99</v>
      </c>
      <c r="F365">
        <v>0.05</v>
      </c>
      <c r="G365">
        <f t="shared" si="5"/>
        <v>999.93000000000006</v>
      </c>
      <c r="H365" t="str">
        <f>VLOOKUP(C365,'products '!$A$1:$G$322,2,FALSE)</f>
        <v>Electra Townie Original 7D - 2015/2016</v>
      </c>
    </row>
    <row r="366" spans="1:8" x14ac:dyDescent="0.3">
      <c r="A366">
        <v>365</v>
      </c>
      <c r="B366">
        <v>1</v>
      </c>
      <c r="C366">
        <v>24</v>
      </c>
      <c r="D366" s="2">
        <v>2</v>
      </c>
      <c r="E366" s="2">
        <v>549.99</v>
      </c>
      <c r="F366">
        <v>7.0000000000000007E-2</v>
      </c>
      <c r="G366">
        <f t="shared" si="5"/>
        <v>1099.9100000000001</v>
      </c>
      <c r="H366" t="str">
        <f>VLOOKUP(C366,'products '!$A$1:$G$322,2,FALSE)</f>
        <v>Electra Townie Original 21D - 2016</v>
      </c>
    </row>
    <row r="367" spans="1:8" x14ac:dyDescent="0.3">
      <c r="A367">
        <v>366</v>
      </c>
      <c r="B367">
        <v>1</v>
      </c>
      <c r="C367">
        <v>21</v>
      </c>
      <c r="D367" s="2">
        <v>1</v>
      </c>
      <c r="E367" s="2">
        <v>269.99</v>
      </c>
      <c r="F367">
        <v>0.1</v>
      </c>
      <c r="G367">
        <f t="shared" si="5"/>
        <v>269.89</v>
      </c>
      <c r="H367" t="str">
        <f>VLOOKUP(C367,'products '!$A$1:$G$322,2,FALSE)</f>
        <v>Electra Cruiser 1 (24-Inch) - 2016</v>
      </c>
    </row>
    <row r="368" spans="1:8" x14ac:dyDescent="0.3">
      <c r="A368">
        <v>367</v>
      </c>
      <c r="B368">
        <v>1</v>
      </c>
      <c r="C368">
        <v>26</v>
      </c>
      <c r="D368" s="2">
        <v>2</v>
      </c>
      <c r="E368" s="2">
        <v>599.99</v>
      </c>
      <c r="F368">
        <v>0.1</v>
      </c>
      <c r="G368">
        <f t="shared" si="5"/>
        <v>1199.8800000000001</v>
      </c>
      <c r="H368" t="str">
        <f>VLOOKUP(C368,'products '!$A$1:$G$322,2,FALSE)</f>
        <v>Electra Townie Original 7D EQ - 2016</v>
      </c>
    </row>
    <row r="369" spans="1:8" x14ac:dyDescent="0.3">
      <c r="A369">
        <v>368</v>
      </c>
      <c r="B369">
        <v>1</v>
      </c>
      <c r="C369">
        <v>5</v>
      </c>
      <c r="D369" s="2">
        <v>1</v>
      </c>
      <c r="E369" s="2">
        <v>1320.99</v>
      </c>
      <c r="F369">
        <v>0.2</v>
      </c>
      <c r="G369">
        <f t="shared" si="5"/>
        <v>1320.79</v>
      </c>
      <c r="H369" t="str">
        <f>VLOOKUP(C369,'products '!$A$1:$G$322,2,FALSE)</f>
        <v>Heller Shagamaw Frame - 2016</v>
      </c>
    </row>
    <row r="370" spans="1:8" x14ac:dyDescent="0.3">
      <c r="A370">
        <v>369</v>
      </c>
      <c r="B370">
        <v>1</v>
      </c>
      <c r="C370">
        <v>10</v>
      </c>
      <c r="D370" s="2">
        <v>2</v>
      </c>
      <c r="E370" s="2">
        <v>1549</v>
      </c>
      <c r="F370">
        <v>7.0000000000000007E-2</v>
      </c>
      <c r="G370">
        <f t="shared" si="5"/>
        <v>3097.93</v>
      </c>
      <c r="H370" t="str">
        <f>VLOOKUP(C370,'products '!$A$1:$G$322,2,FALSE)</f>
        <v>Surly Straggler - 2016</v>
      </c>
    </row>
    <row r="371" spans="1:8" x14ac:dyDescent="0.3">
      <c r="A371">
        <v>370</v>
      </c>
      <c r="B371">
        <v>1</v>
      </c>
      <c r="C371">
        <v>25</v>
      </c>
      <c r="D371" s="2">
        <v>2</v>
      </c>
      <c r="E371" s="2">
        <v>499.99</v>
      </c>
      <c r="F371">
        <v>0.05</v>
      </c>
      <c r="G371">
        <f t="shared" si="5"/>
        <v>999.93000000000006</v>
      </c>
      <c r="H371" t="str">
        <f>VLOOKUP(C371,'products '!$A$1:$G$322,2,FALSE)</f>
        <v>Electra Townie Original 7D - 2015/2016</v>
      </c>
    </row>
    <row r="372" spans="1:8" x14ac:dyDescent="0.3">
      <c r="A372">
        <v>371</v>
      </c>
      <c r="B372">
        <v>1</v>
      </c>
      <c r="C372">
        <v>14</v>
      </c>
      <c r="D372" s="2">
        <v>1</v>
      </c>
      <c r="E372" s="2">
        <v>269.99</v>
      </c>
      <c r="F372">
        <v>0.2</v>
      </c>
      <c r="G372">
        <f t="shared" si="5"/>
        <v>269.79000000000002</v>
      </c>
      <c r="H372" t="str">
        <f>VLOOKUP(C372,'products '!$A$1:$G$322,2,FALSE)</f>
        <v>Electra Girl's Hawaii 1 (16-inch) - 2015/2016</v>
      </c>
    </row>
    <row r="373" spans="1:8" x14ac:dyDescent="0.3">
      <c r="A373">
        <v>372</v>
      </c>
      <c r="B373">
        <v>1</v>
      </c>
      <c r="C373">
        <v>11</v>
      </c>
      <c r="D373" s="2">
        <v>1</v>
      </c>
      <c r="E373" s="2">
        <v>1680.99</v>
      </c>
      <c r="F373">
        <v>0.05</v>
      </c>
      <c r="G373">
        <f t="shared" si="5"/>
        <v>1680.94</v>
      </c>
      <c r="H373" t="str">
        <f>VLOOKUP(C373,'products '!$A$1:$G$322,2,FALSE)</f>
        <v>Surly Straggler 650b - 2016</v>
      </c>
    </row>
    <row r="374" spans="1:8" x14ac:dyDescent="0.3">
      <c r="A374">
        <v>373</v>
      </c>
      <c r="B374">
        <v>1</v>
      </c>
      <c r="C374">
        <v>8</v>
      </c>
      <c r="D374" s="2">
        <v>2</v>
      </c>
      <c r="E374" s="2">
        <v>1799.99</v>
      </c>
      <c r="F374">
        <v>0.05</v>
      </c>
      <c r="G374">
        <f t="shared" si="5"/>
        <v>3599.93</v>
      </c>
      <c r="H374" t="str">
        <f>VLOOKUP(C374,'products '!$A$1:$G$322,2,FALSE)</f>
        <v>Trek Remedy 29 Carbon Frameset - 2016</v>
      </c>
    </row>
    <row r="375" spans="1:8" x14ac:dyDescent="0.3">
      <c r="A375">
        <v>374</v>
      </c>
      <c r="B375">
        <v>1</v>
      </c>
      <c r="C375">
        <v>10</v>
      </c>
      <c r="D375" s="2">
        <v>1</v>
      </c>
      <c r="E375" s="2">
        <v>1549</v>
      </c>
      <c r="F375">
        <v>0.1</v>
      </c>
      <c r="G375">
        <f t="shared" si="5"/>
        <v>1548.9</v>
      </c>
      <c r="H375" t="str">
        <f>VLOOKUP(C375,'products '!$A$1:$G$322,2,FALSE)</f>
        <v>Surly Straggler - 2016</v>
      </c>
    </row>
    <row r="376" spans="1:8" x14ac:dyDescent="0.3">
      <c r="A376">
        <v>375</v>
      </c>
      <c r="B376">
        <v>1</v>
      </c>
      <c r="C376">
        <v>21</v>
      </c>
      <c r="D376" s="2">
        <v>2</v>
      </c>
      <c r="E376" s="2">
        <v>269.99</v>
      </c>
      <c r="F376">
        <v>0.05</v>
      </c>
      <c r="G376">
        <f t="shared" si="5"/>
        <v>539.93000000000006</v>
      </c>
      <c r="H376" t="str">
        <f>VLOOKUP(C376,'products '!$A$1:$G$322,2,FALSE)</f>
        <v>Electra Cruiser 1 (24-Inch) - 2016</v>
      </c>
    </row>
    <row r="377" spans="1:8" x14ac:dyDescent="0.3">
      <c r="A377">
        <v>376</v>
      </c>
      <c r="B377">
        <v>1</v>
      </c>
      <c r="C377">
        <v>2</v>
      </c>
      <c r="D377" s="2">
        <v>2</v>
      </c>
      <c r="E377" s="2">
        <v>749.99</v>
      </c>
      <c r="F377">
        <v>7.0000000000000007E-2</v>
      </c>
      <c r="G377">
        <f t="shared" si="5"/>
        <v>1499.91</v>
      </c>
      <c r="H377" t="str">
        <f>VLOOKUP(C377,'products '!$A$1:$G$322,2,FALSE)</f>
        <v>Ritchey Timberwolf Frameset - 2016</v>
      </c>
    </row>
    <row r="378" spans="1:8" x14ac:dyDescent="0.3">
      <c r="A378">
        <v>377</v>
      </c>
      <c r="B378">
        <v>1</v>
      </c>
      <c r="C378">
        <v>8</v>
      </c>
      <c r="D378" s="2">
        <v>1</v>
      </c>
      <c r="E378" s="2">
        <v>1799.99</v>
      </c>
      <c r="F378">
        <v>0.05</v>
      </c>
      <c r="G378">
        <f t="shared" si="5"/>
        <v>1799.94</v>
      </c>
      <c r="H378" t="str">
        <f>VLOOKUP(C378,'products '!$A$1:$G$322,2,FALSE)</f>
        <v>Trek Remedy 29 Carbon Frameset - 2016</v>
      </c>
    </row>
    <row r="379" spans="1:8" x14ac:dyDescent="0.3">
      <c r="A379">
        <v>378</v>
      </c>
      <c r="B379">
        <v>1</v>
      </c>
      <c r="C379">
        <v>26</v>
      </c>
      <c r="D379" s="2">
        <v>2</v>
      </c>
      <c r="E379" s="2">
        <v>599.99</v>
      </c>
      <c r="F379">
        <v>0.05</v>
      </c>
      <c r="G379">
        <f t="shared" si="5"/>
        <v>1199.93</v>
      </c>
      <c r="H379" t="str">
        <f>VLOOKUP(C379,'products '!$A$1:$G$322,2,FALSE)</f>
        <v>Electra Townie Original 7D EQ - 2016</v>
      </c>
    </row>
    <row r="380" spans="1:8" x14ac:dyDescent="0.3">
      <c r="A380">
        <v>379</v>
      </c>
      <c r="B380">
        <v>1</v>
      </c>
      <c r="C380">
        <v>9</v>
      </c>
      <c r="D380" s="2">
        <v>1</v>
      </c>
      <c r="E380" s="2">
        <v>2999.99</v>
      </c>
      <c r="F380">
        <v>7.0000000000000007E-2</v>
      </c>
      <c r="G380">
        <f t="shared" si="5"/>
        <v>2999.9199999999996</v>
      </c>
      <c r="H380" t="str">
        <f>VLOOKUP(C380,'products '!$A$1:$G$322,2,FALSE)</f>
        <v>Trek Conduit+ - 2016</v>
      </c>
    </row>
    <row r="381" spans="1:8" x14ac:dyDescent="0.3">
      <c r="A381">
        <v>380</v>
      </c>
      <c r="B381">
        <v>1</v>
      </c>
      <c r="C381">
        <v>16</v>
      </c>
      <c r="D381" s="2">
        <v>1</v>
      </c>
      <c r="E381" s="2">
        <v>599.99</v>
      </c>
      <c r="F381">
        <v>0.05</v>
      </c>
      <c r="G381">
        <f t="shared" si="5"/>
        <v>599.94000000000005</v>
      </c>
      <c r="H381" t="str">
        <f>VLOOKUP(C381,'products '!$A$1:$G$322,2,FALSE)</f>
        <v>Electra Townie Original 7D EQ - 2016</v>
      </c>
    </row>
    <row r="382" spans="1:8" x14ac:dyDescent="0.3">
      <c r="A382">
        <v>381</v>
      </c>
      <c r="B382">
        <v>1</v>
      </c>
      <c r="C382">
        <v>21</v>
      </c>
      <c r="D382" s="2">
        <v>2</v>
      </c>
      <c r="E382" s="2">
        <v>269.99</v>
      </c>
      <c r="F382">
        <v>7.0000000000000007E-2</v>
      </c>
      <c r="G382">
        <f t="shared" si="5"/>
        <v>539.91</v>
      </c>
      <c r="H382" t="str">
        <f>VLOOKUP(C382,'products '!$A$1:$G$322,2,FALSE)</f>
        <v>Electra Cruiser 1 (24-Inch) - 2016</v>
      </c>
    </row>
    <row r="383" spans="1:8" x14ac:dyDescent="0.3">
      <c r="A383">
        <v>382</v>
      </c>
      <c r="B383">
        <v>1</v>
      </c>
      <c r="C383">
        <v>8</v>
      </c>
      <c r="D383" s="2">
        <v>1</v>
      </c>
      <c r="E383" s="2">
        <v>1799.99</v>
      </c>
      <c r="F383">
        <v>0.1</v>
      </c>
      <c r="G383">
        <f t="shared" si="5"/>
        <v>1799.89</v>
      </c>
      <c r="H383" t="str">
        <f>VLOOKUP(C383,'products '!$A$1:$G$322,2,FALSE)</f>
        <v>Trek Remedy 29 Carbon Frameset - 2016</v>
      </c>
    </row>
    <row r="384" spans="1:8" x14ac:dyDescent="0.3">
      <c r="A384">
        <v>383</v>
      </c>
      <c r="B384">
        <v>1</v>
      </c>
      <c r="C384">
        <v>19</v>
      </c>
      <c r="D384" s="2">
        <v>1</v>
      </c>
      <c r="E384" s="2">
        <v>449</v>
      </c>
      <c r="F384">
        <v>7.0000000000000007E-2</v>
      </c>
      <c r="G384">
        <f t="shared" si="5"/>
        <v>448.93</v>
      </c>
      <c r="H384" t="str">
        <f>VLOOKUP(C384,'products '!$A$1:$G$322,2,FALSE)</f>
        <v>Pure Cycles William 3-Speed - 2016</v>
      </c>
    </row>
    <row r="385" spans="1:8" x14ac:dyDescent="0.3">
      <c r="A385">
        <v>384</v>
      </c>
      <c r="B385">
        <v>1</v>
      </c>
      <c r="C385">
        <v>20</v>
      </c>
      <c r="D385" s="2">
        <v>1</v>
      </c>
      <c r="E385" s="2">
        <v>599.99</v>
      </c>
      <c r="F385">
        <v>0.1</v>
      </c>
      <c r="G385">
        <f t="shared" si="5"/>
        <v>599.89</v>
      </c>
      <c r="H385" t="str">
        <f>VLOOKUP(C385,'products '!$A$1:$G$322,2,FALSE)</f>
        <v>Electra Townie Original 7D EQ - Women's - 2016</v>
      </c>
    </row>
    <row r="386" spans="1:8" x14ac:dyDescent="0.3">
      <c r="A386">
        <v>385</v>
      </c>
      <c r="B386">
        <v>1</v>
      </c>
      <c r="C386">
        <v>21</v>
      </c>
      <c r="D386" s="2">
        <v>1</v>
      </c>
      <c r="E386" s="2">
        <v>269.99</v>
      </c>
      <c r="F386">
        <v>7.0000000000000007E-2</v>
      </c>
      <c r="G386">
        <f t="shared" si="5"/>
        <v>269.92</v>
      </c>
      <c r="H386" t="str">
        <f>VLOOKUP(C386,'products '!$A$1:$G$322,2,FALSE)</f>
        <v>Electra Cruiser 1 (24-Inch) - 2016</v>
      </c>
    </row>
    <row r="387" spans="1:8" x14ac:dyDescent="0.3">
      <c r="A387">
        <v>386</v>
      </c>
      <c r="B387">
        <v>1</v>
      </c>
      <c r="C387">
        <v>8</v>
      </c>
      <c r="D387" s="2">
        <v>1</v>
      </c>
      <c r="E387" s="2">
        <v>1799.99</v>
      </c>
      <c r="F387">
        <v>0.2</v>
      </c>
      <c r="G387">
        <f t="shared" ref="G387:G450" si="6">E387*D387-F387</f>
        <v>1799.79</v>
      </c>
      <c r="H387" t="str">
        <f>VLOOKUP(C387,'products '!$A$1:$G$322,2,FALSE)</f>
        <v>Trek Remedy 29 Carbon Frameset - 2016</v>
      </c>
    </row>
    <row r="388" spans="1:8" x14ac:dyDescent="0.3">
      <c r="A388">
        <v>387</v>
      </c>
      <c r="B388">
        <v>1</v>
      </c>
      <c r="C388">
        <v>18</v>
      </c>
      <c r="D388" s="2">
        <v>1</v>
      </c>
      <c r="E388" s="2">
        <v>449</v>
      </c>
      <c r="F388">
        <v>0.2</v>
      </c>
      <c r="G388">
        <f t="shared" si="6"/>
        <v>448.8</v>
      </c>
      <c r="H388" t="str">
        <f>VLOOKUP(C388,'products '!$A$1:$G$322,2,FALSE)</f>
        <v>Pure Cycles Western 3-Speed - Women's - 2015/2016</v>
      </c>
    </row>
    <row r="389" spans="1:8" x14ac:dyDescent="0.3">
      <c r="A389">
        <v>388</v>
      </c>
      <c r="B389">
        <v>1</v>
      </c>
      <c r="C389">
        <v>19</v>
      </c>
      <c r="D389" s="2">
        <v>2</v>
      </c>
      <c r="E389" s="2">
        <v>449</v>
      </c>
      <c r="F389">
        <v>0.2</v>
      </c>
      <c r="G389">
        <f t="shared" si="6"/>
        <v>897.8</v>
      </c>
      <c r="H389" t="str">
        <f>VLOOKUP(C389,'products '!$A$1:$G$322,2,FALSE)</f>
        <v>Pure Cycles William 3-Speed - 2016</v>
      </c>
    </row>
    <row r="390" spans="1:8" x14ac:dyDescent="0.3">
      <c r="A390">
        <v>389</v>
      </c>
      <c r="B390">
        <v>1</v>
      </c>
      <c r="C390">
        <v>2</v>
      </c>
      <c r="D390" s="2">
        <v>1</v>
      </c>
      <c r="E390" s="2">
        <v>749.99</v>
      </c>
      <c r="F390">
        <v>7.0000000000000007E-2</v>
      </c>
      <c r="G390">
        <f t="shared" si="6"/>
        <v>749.92</v>
      </c>
      <c r="H390" t="str">
        <f>VLOOKUP(C390,'products '!$A$1:$G$322,2,FALSE)</f>
        <v>Ritchey Timberwolf Frameset - 2016</v>
      </c>
    </row>
    <row r="391" spans="1:8" x14ac:dyDescent="0.3">
      <c r="A391">
        <v>390</v>
      </c>
      <c r="B391">
        <v>1</v>
      </c>
      <c r="C391">
        <v>23</v>
      </c>
      <c r="D391" s="2">
        <v>1</v>
      </c>
      <c r="E391" s="2">
        <v>299.99</v>
      </c>
      <c r="F391">
        <v>0.05</v>
      </c>
      <c r="G391">
        <f t="shared" si="6"/>
        <v>299.94</v>
      </c>
      <c r="H391" t="str">
        <f>VLOOKUP(C391,'products '!$A$1:$G$322,2,FALSE)</f>
        <v>Electra Girl's Hawaii 1 (20-inch) - 2015/2016</v>
      </c>
    </row>
    <row r="392" spans="1:8" x14ac:dyDescent="0.3">
      <c r="A392">
        <v>391</v>
      </c>
      <c r="B392">
        <v>1</v>
      </c>
      <c r="C392">
        <v>8</v>
      </c>
      <c r="D392" s="2">
        <v>1</v>
      </c>
      <c r="E392" s="2">
        <v>1799.99</v>
      </c>
      <c r="F392">
        <v>7.0000000000000007E-2</v>
      </c>
      <c r="G392">
        <f t="shared" si="6"/>
        <v>1799.92</v>
      </c>
      <c r="H392" t="str">
        <f>VLOOKUP(C392,'products '!$A$1:$G$322,2,FALSE)</f>
        <v>Trek Remedy 29 Carbon Frameset - 2016</v>
      </c>
    </row>
    <row r="393" spans="1:8" x14ac:dyDescent="0.3">
      <c r="A393">
        <v>392</v>
      </c>
      <c r="B393">
        <v>1</v>
      </c>
      <c r="C393">
        <v>14</v>
      </c>
      <c r="D393" s="2">
        <v>2</v>
      </c>
      <c r="E393" s="2">
        <v>269.99</v>
      </c>
      <c r="F393">
        <v>0.1</v>
      </c>
      <c r="G393">
        <f t="shared" si="6"/>
        <v>539.88</v>
      </c>
      <c r="H393" t="str">
        <f>VLOOKUP(C393,'products '!$A$1:$G$322,2,FALSE)</f>
        <v>Electra Girl's Hawaii 1 (16-inch) - 2015/2016</v>
      </c>
    </row>
    <row r="394" spans="1:8" x14ac:dyDescent="0.3">
      <c r="A394">
        <v>393</v>
      </c>
      <c r="B394">
        <v>1</v>
      </c>
      <c r="C394">
        <v>6</v>
      </c>
      <c r="D394" s="2">
        <v>2</v>
      </c>
      <c r="E394" s="2">
        <v>469.99</v>
      </c>
      <c r="F394">
        <v>0.2</v>
      </c>
      <c r="G394">
        <f t="shared" si="6"/>
        <v>939.78</v>
      </c>
      <c r="H394" t="str">
        <f>VLOOKUP(C394,'products '!$A$1:$G$322,2,FALSE)</f>
        <v>Surly Ice Cream Truck Frameset - 2016</v>
      </c>
    </row>
    <row r="395" spans="1:8" x14ac:dyDescent="0.3">
      <c r="A395">
        <v>394</v>
      </c>
      <c r="B395">
        <v>1</v>
      </c>
      <c r="C395">
        <v>23</v>
      </c>
      <c r="D395" s="2">
        <v>1</v>
      </c>
      <c r="E395" s="2">
        <v>299.99</v>
      </c>
      <c r="F395">
        <v>0.05</v>
      </c>
      <c r="G395">
        <f t="shared" si="6"/>
        <v>299.94</v>
      </c>
      <c r="H395" t="str">
        <f>VLOOKUP(C395,'products '!$A$1:$G$322,2,FALSE)</f>
        <v>Electra Girl's Hawaii 1 (20-inch) - 2015/2016</v>
      </c>
    </row>
    <row r="396" spans="1:8" x14ac:dyDescent="0.3">
      <c r="A396">
        <v>395</v>
      </c>
      <c r="B396">
        <v>1</v>
      </c>
      <c r="C396">
        <v>14</v>
      </c>
      <c r="D396" s="2">
        <v>1</v>
      </c>
      <c r="E396" s="2">
        <v>269.99</v>
      </c>
      <c r="F396">
        <v>0.05</v>
      </c>
      <c r="G396">
        <f t="shared" si="6"/>
        <v>269.94</v>
      </c>
      <c r="H396" t="str">
        <f>VLOOKUP(C396,'products '!$A$1:$G$322,2,FALSE)</f>
        <v>Electra Girl's Hawaii 1 (16-inch) - 2015/2016</v>
      </c>
    </row>
    <row r="397" spans="1:8" x14ac:dyDescent="0.3">
      <c r="A397">
        <v>396</v>
      </c>
      <c r="B397">
        <v>1</v>
      </c>
      <c r="C397">
        <v>12</v>
      </c>
      <c r="D397" s="2">
        <v>1</v>
      </c>
      <c r="E397" s="2">
        <v>549.99</v>
      </c>
      <c r="F397">
        <v>0.1</v>
      </c>
      <c r="G397">
        <f t="shared" si="6"/>
        <v>549.89</v>
      </c>
      <c r="H397" t="str">
        <f>VLOOKUP(C397,'products '!$A$1:$G$322,2,FALSE)</f>
        <v>Electra Townie Original 21D - 2016</v>
      </c>
    </row>
    <row r="398" spans="1:8" x14ac:dyDescent="0.3">
      <c r="A398">
        <v>397</v>
      </c>
      <c r="B398">
        <v>1</v>
      </c>
      <c r="C398">
        <v>7</v>
      </c>
      <c r="D398" s="2">
        <v>1</v>
      </c>
      <c r="E398" s="2">
        <v>3999.99</v>
      </c>
      <c r="F398">
        <v>0.05</v>
      </c>
      <c r="G398">
        <f t="shared" si="6"/>
        <v>3999.9399999999996</v>
      </c>
      <c r="H398" t="str">
        <f>VLOOKUP(C398,'products '!$A$1:$G$322,2,FALSE)</f>
        <v>Trek Slash 8 27.5 - 2016</v>
      </c>
    </row>
    <row r="399" spans="1:8" x14ac:dyDescent="0.3">
      <c r="A399">
        <v>398</v>
      </c>
      <c r="B399">
        <v>1</v>
      </c>
      <c r="C399">
        <v>8</v>
      </c>
      <c r="D399" s="2">
        <v>2</v>
      </c>
      <c r="E399" s="2">
        <v>1799.99</v>
      </c>
      <c r="F399">
        <v>0.05</v>
      </c>
      <c r="G399">
        <f t="shared" si="6"/>
        <v>3599.93</v>
      </c>
      <c r="H399" t="str">
        <f>VLOOKUP(C399,'products '!$A$1:$G$322,2,FALSE)</f>
        <v>Trek Remedy 29 Carbon Frameset - 2016</v>
      </c>
    </row>
    <row r="400" spans="1:8" x14ac:dyDescent="0.3">
      <c r="A400">
        <v>399</v>
      </c>
      <c r="B400">
        <v>1</v>
      </c>
      <c r="C400">
        <v>25</v>
      </c>
      <c r="D400" s="2">
        <v>1</v>
      </c>
      <c r="E400" s="2">
        <v>499.99</v>
      </c>
      <c r="F400">
        <v>0.05</v>
      </c>
      <c r="G400">
        <f t="shared" si="6"/>
        <v>499.94</v>
      </c>
      <c r="H400" t="str">
        <f>VLOOKUP(C400,'products '!$A$1:$G$322,2,FALSE)</f>
        <v>Electra Townie Original 7D - 2015/2016</v>
      </c>
    </row>
    <row r="401" spans="1:8" x14ac:dyDescent="0.3">
      <c r="A401">
        <v>400</v>
      </c>
      <c r="B401">
        <v>1</v>
      </c>
      <c r="C401">
        <v>24</v>
      </c>
      <c r="D401" s="2">
        <v>2</v>
      </c>
      <c r="E401" s="2">
        <v>549.99</v>
      </c>
      <c r="F401">
        <v>7.0000000000000007E-2</v>
      </c>
      <c r="G401">
        <f t="shared" si="6"/>
        <v>1099.9100000000001</v>
      </c>
      <c r="H401" t="str">
        <f>VLOOKUP(C401,'products '!$A$1:$G$322,2,FALSE)</f>
        <v>Electra Townie Original 21D - 2016</v>
      </c>
    </row>
    <row r="402" spans="1:8" x14ac:dyDescent="0.3">
      <c r="A402">
        <v>401</v>
      </c>
      <c r="B402">
        <v>1</v>
      </c>
      <c r="C402">
        <v>23</v>
      </c>
      <c r="D402" s="2">
        <v>1</v>
      </c>
      <c r="E402" s="2">
        <v>299.99</v>
      </c>
      <c r="F402">
        <v>0.2</v>
      </c>
      <c r="G402">
        <f t="shared" si="6"/>
        <v>299.79000000000002</v>
      </c>
      <c r="H402" t="str">
        <f>VLOOKUP(C402,'products '!$A$1:$G$322,2,FALSE)</f>
        <v>Electra Girl's Hawaii 1 (20-inch) - 2015/2016</v>
      </c>
    </row>
    <row r="403" spans="1:8" x14ac:dyDescent="0.3">
      <c r="A403">
        <v>402</v>
      </c>
      <c r="B403">
        <v>1</v>
      </c>
      <c r="C403">
        <v>6</v>
      </c>
      <c r="D403" s="2">
        <v>2</v>
      </c>
      <c r="E403" s="2">
        <v>469.99</v>
      </c>
      <c r="F403">
        <v>7.0000000000000007E-2</v>
      </c>
      <c r="G403">
        <f t="shared" si="6"/>
        <v>939.91</v>
      </c>
      <c r="H403" t="str">
        <f>VLOOKUP(C403,'products '!$A$1:$G$322,2,FALSE)</f>
        <v>Surly Ice Cream Truck Frameset - 2016</v>
      </c>
    </row>
    <row r="404" spans="1:8" x14ac:dyDescent="0.3">
      <c r="A404">
        <v>403</v>
      </c>
      <c r="B404">
        <v>1</v>
      </c>
      <c r="C404">
        <v>12</v>
      </c>
      <c r="D404" s="2">
        <v>2</v>
      </c>
      <c r="E404" s="2">
        <v>549.99</v>
      </c>
      <c r="F404">
        <v>0.1</v>
      </c>
      <c r="G404">
        <f t="shared" si="6"/>
        <v>1099.8800000000001</v>
      </c>
      <c r="H404" t="str">
        <f>VLOOKUP(C404,'products '!$A$1:$G$322,2,FALSE)</f>
        <v>Electra Townie Original 21D - 2016</v>
      </c>
    </row>
    <row r="405" spans="1:8" x14ac:dyDescent="0.3">
      <c r="A405">
        <v>404</v>
      </c>
      <c r="B405">
        <v>1</v>
      </c>
      <c r="C405">
        <v>9</v>
      </c>
      <c r="D405" s="2">
        <v>1</v>
      </c>
      <c r="E405" s="2">
        <v>2999.99</v>
      </c>
      <c r="F405">
        <v>7.0000000000000007E-2</v>
      </c>
      <c r="G405">
        <f t="shared" si="6"/>
        <v>2999.9199999999996</v>
      </c>
      <c r="H405" t="str">
        <f>VLOOKUP(C405,'products '!$A$1:$G$322,2,FALSE)</f>
        <v>Trek Conduit+ - 2016</v>
      </c>
    </row>
    <row r="406" spans="1:8" x14ac:dyDescent="0.3">
      <c r="A406">
        <v>405</v>
      </c>
      <c r="B406">
        <v>1</v>
      </c>
      <c r="C406">
        <v>3</v>
      </c>
      <c r="D406" s="2">
        <v>2</v>
      </c>
      <c r="E406" s="2">
        <v>999.99</v>
      </c>
      <c r="F406">
        <v>0.2</v>
      </c>
      <c r="G406">
        <f t="shared" si="6"/>
        <v>1999.78</v>
      </c>
      <c r="H406" t="str">
        <f>VLOOKUP(C406,'products '!$A$1:$G$322,2,FALSE)</f>
        <v>Surly Wednesday Frameset - 2016</v>
      </c>
    </row>
    <row r="407" spans="1:8" x14ac:dyDescent="0.3">
      <c r="A407">
        <v>406</v>
      </c>
      <c r="B407">
        <v>1</v>
      </c>
      <c r="C407">
        <v>4</v>
      </c>
      <c r="D407" s="2">
        <v>1</v>
      </c>
      <c r="E407" s="2">
        <v>2899.99</v>
      </c>
      <c r="F407">
        <v>0.2</v>
      </c>
      <c r="G407">
        <f t="shared" si="6"/>
        <v>2899.79</v>
      </c>
      <c r="H407" t="str">
        <f>VLOOKUP(C407,'products '!$A$1:$G$322,2,FALSE)</f>
        <v>Trek Fuel EX 8 29 - 2016</v>
      </c>
    </row>
    <row r="408" spans="1:8" x14ac:dyDescent="0.3">
      <c r="A408">
        <v>407</v>
      </c>
      <c r="B408">
        <v>1</v>
      </c>
      <c r="C408">
        <v>20</v>
      </c>
      <c r="D408" s="2">
        <v>1</v>
      </c>
      <c r="E408" s="2">
        <v>599.99</v>
      </c>
      <c r="F408">
        <v>0.2</v>
      </c>
      <c r="G408">
        <f t="shared" si="6"/>
        <v>599.79</v>
      </c>
      <c r="H408" t="str">
        <f>VLOOKUP(C408,'products '!$A$1:$G$322,2,FALSE)</f>
        <v>Electra Townie Original 7D EQ - Women's - 2016</v>
      </c>
    </row>
    <row r="409" spans="1:8" x14ac:dyDescent="0.3">
      <c r="A409">
        <v>408</v>
      </c>
      <c r="B409">
        <v>1</v>
      </c>
      <c r="C409">
        <v>18</v>
      </c>
      <c r="D409" s="2">
        <v>1</v>
      </c>
      <c r="E409" s="2">
        <v>449</v>
      </c>
      <c r="F409">
        <v>0.2</v>
      </c>
      <c r="G409">
        <f t="shared" si="6"/>
        <v>448.8</v>
      </c>
      <c r="H409" t="str">
        <f>VLOOKUP(C409,'products '!$A$1:$G$322,2,FALSE)</f>
        <v>Pure Cycles Western 3-Speed - Women's - 2015/2016</v>
      </c>
    </row>
    <row r="410" spans="1:8" x14ac:dyDescent="0.3">
      <c r="A410">
        <v>409</v>
      </c>
      <c r="B410">
        <v>1</v>
      </c>
      <c r="C410">
        <v>15</v>
      </c>
      <c r="D410" s="2">
        <v>1</v>
      </c>
      <c r="E410" s="2">
        <v>529.99</v>
      </c>
      <c r="F410">
        <v>7.0000000000000007E-2</v>
      </c>
      <c r="G410">
        <f t="shared" si="6"/>
        <v>529.91999999999996</v>
      </c>
      <c r="H410" t="str">
        <f>VLOOKUP(C410,'products '!$A$1:$G$322,2,FALSE)</f>
        <v>Electra Moto 1 - 2016</v>
      </c>
    </row>
    <row r="411" spans="1:8" x14ac:dyDescent="0.3">
      <c r="A411">
        <v>410</v>
      </c>
      <c r="B411">
        <v>1</v>
      </c>
      <c r="C411">
        <v>25</v>
      </c>
      <c r="D411" s="2">
        <v>1</v>
      </c>
      <c r="E411" s="2">
        <v>499.99</v>
      </c>
      <c r="F411">
        <v>0.1</v>
      </c>
      <c r="G411">
        <f t="shared" si="6"/>
        <v>499.89</v>
      </c>
      <c r="H411" t="str">
        <f>VLOOKUP(C411,'products '!$A$1:$G$322,2,FALSE)</f>
        <v>Electra Townie Original 7D - 2015/2016</v>
      </c>
    </row>
    <row r="412" spans="1:8" x14ac:dyDescent="0.3">
      <c r="A412">
        <v>411</v>
      </c>
      <c r="B412">
        <v>1</v>
      </c>
      <c r="C412">
        <v>2</v>
      </c>
      <c r="D412" s="2">
        <v>1</v>
      </c>
      <c r="E412" s="2">
        <v>749.99</v>
      </c>
      <c r="F412">
        <v>7.0000000000000007E-2</v>
      </c>
      <c r="G412">
        <f t="shared" si="6"/>
        <v>749.92</v>
      </c>
      <c r="H412" t="str">
        <f>VLOOKUP(C412,'products '!$A$1:$G$322,2,FALSE)</f>
        <v>Ritchey Timberwolf Frameset - 2016</v>
      </c>
    </row>
    <row r="413" spans="1:8" x14ac:dyDescent="0.3">
      <c r="A413">
        <v>412</v>
      </c>
      <c r="B413">
        <v>1</v>
      </c>
      <c r="C413">
        <v>7</v>
      </c>
      <c r="D413" s="2">
        <v>1</v>
      </c>
      <c r="E413" s="2">
        <v>3999.99</v>
      </c>
      <c r="F413">
        <v>0.1</v>
      </c>
      <c r="G413">
        <f t="shared" si="6"/>
        <v>3999.89</v>
      </c>
      <c r="H413" t="str">
        <f>VLOOKUP(C413,'products '!$A$1:$G$322,2,FALSE)</f>
        <v>Trek Slash 8 27.5 - 2016</v>
      </c>
    </row>
    <row r="414" spans="1:8" x14ac:dyDescent="0.3">
      <c r="A414">
        <v>413</v>
      </c>
      <c r="B414">
        <v>1</v>
      </c>
      <c r="C414">
        <v>8</v>
      </c>
      <c r="D414" s="2">
        <v>2</v>
      </c>
      <c r="E414" s="2">
        <v>1799.99</v>
      </c>
      <c r="F414">
        <v>0.05</v>
      </c>
      <c r="G414">
        <f t="shared" si="6"/>
        <v>3599.93</v>
      </c>
      <c r="H414" t="str">
        <f>VLOOKUP(C414,'products '!$A$1:$G$322,2,FALSE)</f>
        <v>Trek Remedy 29 Carbon Frameset - 2016</v>
      </c>
    </row>
    <row r="415" spans="1:8" x14ac:dyDescent="0.3">
      <c r="A415">
        <v>414</v>
      </c>
      <c r="B415">
        <v>1</v>
      </c>
      <c r="C415">
        <v>4</v>
      </c>
      <c r="D415" s="2">
        <v>2</v>
      </c>
      <c r="E415" s="2">
        <v>2899.99</v>
      </c>
      <c r="F415">
        <v>0.1</v>
      </c>
      <c r="G415">
        <f t="shared" si="6"/>
        <v>5799.8799999999992</v>
      </c>
      <c r="H415" t="str">
        <f>VLOOKUP(C415,'products '!$A$1:$G$322,2,FALSE)</f>
        <v>Trek Fuel EX 8 29 - 2016</v>
      </c>
    </row>
    <row r="416" spans="1:8" x14ac:dyDescent="0.3">
      <c r="A416">
        <v>415</v>
      </c>
      <c r="B416">
        <v>1</v>
      </c>
      <c r="C416">
        <v>3</v>
      </c>
      <c r="D416" s="2">
        <v>1</v>
      </c>
      <c r="E416" s="2">
        <v>999.99</v>
      </c>
      <c r="F416">
        <v>7.0000000000000007E-2</v>
      </c>
      <c r="G416">
        <f t="shared" si="6"/>
        <v>999.92</v>
      </c>
      <c r="H416" t="str">
        <f>VLOOKUP(C416,'products '!$A$1:$G$322,2,FALSE)</f>
        <v>Surly Wednesday Frameset - 2016</v>
      </c>
    </row>
    <row r="417" spans="1:8" x14ac:dyDescent="0.3">
      <c r="A417">
        <v>416</v>
      </c>
      <c r="B417">
        <v>1</v>
      </c>
      <c r="C417">
        <v>22</v>
      </c>
      <c r="D417" s="2">
        <v>1</v>
      </c>
      <c r="E417" s="2">
        <v>269.99</v>
      </c>
      <c r="F417">
        <v>7.0000000000000007E-2</v>
      </c>
      <c r="G417">
        <f t="shared" si="6"/>
        <v>269.92</v>
      </c>
      <c r="H417" t="str">
        <f>VLOOKUP(C417,'products '!$A$1:$G$322,2,FALSE)</f>
        <v>Electra Girl's Hawaii 1 (16-inch) - 2015/2016</v>
      </c>
    </row>
    <row r="418" spans="1:8" x14ac:dyDescent="0.3">
      <c r="A418">
        <v>417</v>
      </c>
      <c r="B418">
        <v>1</v>
      </c>
      <c r="C418">
        <v>26</v>
      </c>
      <c r="D418" s="2">
        <v>2</v>
      </c>
      <c r="E418" s="2">
        <v>599.99</v>
      </c>
      <c r="F418">
        <v>7.0000000000000007E-2</v>
      </c>
      <c r="G418">
        <f t="shared" si="6"/>
        <v>1199.9100000000001</v>
      </c>
      <c r="H418" t="str">
        <f>VLOOKUP(C418,'products '!$A$1:$G$322,2,FALSE)</f>
        <v>Electra Townie Original 7D EQ - 2016</v>
      </c>
    </row>
    <row r="419" spans="1:8" x14ac:dyDescent="0.3">
      <c r="A419">
        <v>418</v>
      </c>
      <c r="B419">
        <v>1</v>
      </c>
      <c r="C419">
        <v>12</v>
      </c>
      <c r="D419" s="2">
        <v>1</v>
      </c>
      <c r="E419" s="2">
        <v>549.99</v>
      </c>
      <c r="F419">
        <v>0.05</v>
      </c>
      <c r="G419">
        <f t="shared" si="6"/>
        <v>549.94000000000005</v>
      </c>
      <c r="H419" t="str">
        <f>VLOOKUP(C419,'products '!$A$1:$G$322,2,FALSE)</f>
        <v>Electra Townie Original 21D - 2016</v>
      </c>
    </row>
    <row r="420" spans="1:8" x14ac:dyDescent="0.3">
      <c r="A420">
        <v>419</v>
      </c>
      <c r="B420">
        <v>1</v>
      </c>
      <c r="C420">
        <v>9</v>
      </c>
      <c r="D420" s="2">
        <v>1</v>
      </c>
      <c r="E420" s="2">
        <v>2999.99</v>
      </c>
      <c r="F420">
        <v>0.05</v>
      </c>
      <c r="G420">
        <f t="shared" si="6"/>
        <v>2999.9399999999996</v>
      </c>
      <c r="H420" t="str">
        <f>VLOOKUP(C420,'products '!$A$1:$G$322,2,FALSE)</f>
        <v>Trek Conduit+ - 2016</v>
      </c>
    </row>
    <row r="421" spans="1:8" x14ac:dyDescent="0.3">
      <c r="A421">
        <v>420</v>
      </c>
      <c r="B421">
        <v>1</v>
      </c>
      <c r="C421">
        <v>17</v>
      </c>
      <c r="D421" s="2">
        <v>2</v>
      </c>
      <c r="E421" s="2">
        <v>429</v>
      </c>
      <c r="F421">
        <v>0.2</v>
      </c>
      <c r="G421">
        <f t="shared" si="6"/>
        <v>857.8</v>
      </c>
      <c r="H421" t="str">
        <f>VLOOKUP(C421,'products '!$A$1:$G$322,2,FALSE)</f>
        <v>Pure Cycles Vine 8-Speed - 2016</v>
      </c>
    </row>
    <row r="422" spans="1:8" x14ac:dyDescent="0.3">
      <c r="A422">
        <v>421</v>
      </c>
      <c r="B422">
        <v>1</v>
      </c>
      <c r="C422">
        <v>6</v>
      </c>
      <c r="D422" s="2">
        <v>2</v>
      </c>
      <c r="E422" s="2">
        <v>469.99</v>
      </c>
      <c r="F422">
        <v>7.0000000000000007E-2</v>
      </c>
      <c r="G422">
        <f t="shared" si="6"/>
        <v>939.91</v>
      </c>
      <c r="H422" t="str">
        <f>VLOOKUP(C422,'products '!$A$1:$G$322,2,FALSE)</f>
        <v>Surly Ice Cream Truck Frameset - 2016</v>
      </c>
    </row>
    <row r="423" spans="1:8" x14ac:dyDescent="0.3">
      <c r="A423">
        <v>422</v>
      </c>
      <c r="B423">
        <v>1</v>
      </c>
      <c r="C423">
        <v>20</v>
      </c>
      <c r="D423" s="2">
        <v>2</v>
      </c>
      <c r="E423" s="2">
        <v>599.99</v>
      </c>
      <c r="F423">
        <v>0.05</v>
      </c>
      <c r="G423">
        <f t="shared" si="6"/>
        <v>1199.93</v>
      </c>
      <c r="H423" t="str">
        <f>VLOOKUP(C423,'products '!$A$1:$G$322,2,FALSE)</f>
        <v>Electra Townie Original 7D EQ - Women's - 2016</v>
      </c>
    </row>
    <row r="424" spans="1:8" x14ac:dyDescent="0.3">
      <c r="A424">
        <v>423</v>
      </c>
      <c r="B424">
        <v>1</v>
      </c>
      <c r="C424">
        <v>8</v>
      </c>
      <c r="D424" s="2">
        <v>2</v>
      </c>
      <c r="E424" s="2">
        <v>1799.99</v>
      </c>
      <c r="F424">
        <v>0.05</v>
      </c>
      <c r="G424">
        <f t="shared" si="6"/>
        <v>3599.93</v>
      </c>
      <c r="H424" t="str">
        <f>VLOOKUP(C424,'products '!$A$1:$G$322,2,FALSE)</f>
        <v>Trek Remedy 29 Carbon Frameset - 2016</v>
      </c>
    </row>
    <row r="425" spans="1:8" x14ac:dyDescent="0.3">
      <c r="A425">
        <v>424</v>
      </c>
      <c r="B425">
        <v>1</v>
      </c>
      <c r="C425">
        <v>22</v>
      </c>
      <c r="D425" s="2">
        <v>1</v>
      </c>
      <c r="E425" s="2">
        <v>269.99</v>
      </c>
      <c r="F425">
        <v>0.1</v>
      </c>
      <c r="G425">
        <f t="shared" si="6"/>
        <v>269.89</v>
      </c>
      <c r="H425" t="str">
        <f>VLOOKUP(C425,'products '!$A$1:$G$322,2,FALSE)</f>
        <v>Electra Girl's Hawaii 1 (16-inch) - 2015/2016</v>
      </c>
    </row>
    <row r="426" spans="1:8" x14ac:dyDescent="0.3">
      <c r="A426">
        <v>425</v>
      </c>
      <c r="B426">
        <v>1</v>
      </c>
      <c r="C426">
        <v>6</v>
      </c>
      <c r="D426" s="2">
        <v>1</v>
      </c>
      <c r="E426" s="2">
        <v>469.99</v>
      </c>
      <c r="F426">
        <v>0.1</v>
      </c>
      <c r="G426">
        <f t="shared" si="6"/>
        <v>469.89</v>
      </c>
      <c r="H426" t="str">
        <f>VLOOKUP(C426,'products '!$A$1:$G$322,2,FALSE)</f>
        <v>Surly Ice Cream Truck Frameset - 2016</v>
      </c>
    </row>
    <row r="427" spans="1:8" x14ac:dyDescent="0.3">
      <c r="A427">
        <v>426</v>
      </c>
      <c r="B427">
        <v>1</v>
      </c>
      <c r="C427">
        <v>10</v>
      </c>
      <c r="D427" s="2">
        <v>1</v>
      </c>
      <c r="E427" s="2">
        <v>1549</v>
      </c>
      <c r="F427">
        <v>0.1</v>
      </c>
      <c r="G427">
        <f t="shared" si="6"/>
        <v>1548.9</v>
      </c>
      <c r="H427" t="str">
        <f>VLOOKUP(C427,'products '!$A$1:$G$322,2,FALSE)</f>
        <v>Surly Straggler - 2016</v>
      </c>
    </row>
    <row r="428" spans="1:8" x14ac:dyDescent="0.3">
      <c r="A428">
        <v>427</v>
      </c>
      <c r="B428">
        <v>1</v>
      </c>
      <c r="C428">
        <v>12</v>
      </c>
      <c r="D428" s="2">
        <v>2</v>
      </c>
      <c r="E428" s="2">
        <v>549.99</v>
      </c>
      <c r="F428">
        <v>7.0000000000000007E-2</v>
      </c>
      <c r="G428">
        <f t="shared" si="6"/>
        <v>1099.9100000000001</v>
      </c>
      <c r="H428" t="str">
        <f>VLOOKUP(C428,'products '!$A$1:$G$322,2,FALSE)</f>
        <v>Electra Townie Original 21D - 2016</v>
      </c>
    </row>
    <row r="429" spans="1:8" x14ac:dyDescent="0.3">
      <c r="A429">
        <v>428</v>
      </c>
      <c r="B429">
        <v>1</v>
      </c>
      <c r="C429">
        <v>5</v>
      </c>
      <c r="D429" s="2">
        <v>2</v>
      </c>
      <c r="E429" s="2">
        <v>1320.99</v>
      </c>
      <c r="F429">
        <v>0.2</v>
      </c>
      <c r="G429">
        <f t="shared" si="6"/>
        <v>2641.78</v>
      </c>
      <c r="H429" t="str">
        <f>VLOOKUP(C429,'products '!$A$1:$G$322,2,FALSE)</f>
        <v>Heller Shagamaw Frame - 2016</v>
      </c>
    </row>
    <row r="430" spans="1:8" x14ac:dyDescent="0.3">
      <c r="A430">
        <v>429</v>
      </c>
      <c r="B430">
        <v>1</v>
      </c>
      <c r="C430">
        <v>11</v>
      </c>
      <c r="D430" s="2">
        <v>1</v>
      </c>
      <c r="E430" s="2">
        <v>1680.99</v>
      </c>
      <c r="F430">
        <v>0.2</v>
      </c>
      <c r="G430">
        <f t="shared" si="6"/>
        <v>1680.79</v>
      </c>
      <c r="H430" t="str">
        <f>VLOOKUP(C430,'products '!$A$1:$G$322,2,FALSE)</f>
        <v>Surly Straggler 650b - 2016</v>
      </c>
    </row>
    <row r="431" spans="1:8" x14ac:dyDescent="0.3">
      <c r="A431">
        <v>430</v>
      </c>
      <c r="B431">
        <v>1</v>
      </c>
      <c r="C431">
        <v>22</v>
      </c>
      <c r="D431" s="2">
        <v>2</v>
      </c>
      <c r="E431" s="2">
        <v>269.99</v>
      </c>
      <c r="F431">
        <v>0.1</v>
      </c>
      <c r="G431">
        <f t="shared" si="6"/>
        <v>539.88</v>
      </c>
      <c r="H431" t="str">
        <f>VLOOKUP(C431,'products '!$A$1:$G$322,2,FALSE)</f>
        <v>Electra Girl's Hawaii 1 (16-inch) - 2015/2016</v>
      </c>
    </row>
    <row r="432" spans="1:8" x14ac:dyDescent="0.3">
      <c r="A432">
        <v>431</v>
      </c>
      <c r="B432">
        <v>1</v>
      </c>
      <c r="C432">
        <v>14</v>
      </c>
      <c r="D432" s="2">
        <v>2</v>
      </c>
      <c r="E432" s="2">
        <v>269.99</v>
      </c>
      <c r="F432">
        <v>0.2</v>
      </c>
      <c r="G432">
        <f t="shared" si="6"/>
        <v>539.78</v>
      </c>
      <c r="H432" t="str">
        <f>VLOOKUP(C432,'products '!$A$1:$G$322,2,FALSE)</f>
        <v>Electra Girl's Hawaii 1 (16-inch) - 2015/2016</v>
      </c>
    </row>
    <row r="433" spans="1:8" x14ac:dyDescent="0.3">
      <c r="A433">
        <v>432</v>
      </c>
      <c r="B433">
        <v>1</v>
      </c>
      <c r="C433">
        <v>10</v>
      </c>
      <c r="D433" s="2">
        <v>2</v>
      </c>
      <c r="E433" s="2">
        <v>1549</v>
      </c>
      <c r="F433">
        <v>0.2</v>
      </c>
      <c r="G433">
        <f t="shared" si="6"/>
        <v>3097.8</v>
      </c>
      <c r="H433" t="str">
        <f>VLOOKUP(C433,'products '!$A$1:$G$322,2,FALSE)</f>
        <v>Surly Straggler - 2016</v>
      </c>
    </row>
    <row r="434" spans="1:8" x14ac:dyDescent="0.3">
      <c r="A434">
        <v>433</v>
      </c>
      <c r="B434">
        <v>1</v>
      </c>
      <c r="C434">
        <v>6</v>
      </c>
      <c r="D434" s="2">
        <v>1</v>
      </c>
      <c r="E434" s="2">
        <v>469.99</v>
      </c>
      <c r="F434">
        <v>0.1</v>
      </c>
      <c r="G434">
        <f t="shared" si="6"/>
        <v>469.89</v>
      </c>
      <c r="H434" t="str">
        <f>VLOOKUP(C434,'products '!$A$1:$G$322,2,FALSE)</f>
        <v>Surly Ice Cream Truck Frameset - 2016</v>
      </c>
    </row>
    <row r="435" spans="1:8" x14ac:dyDescent="0.3">
      <c r="A435">
        <v>434</v>
      </c>
      <c r="B435">
        <v>1</v>
      </c>
      <c r="C435">
        <v>21</v>
      </c>
      <c r="D435" s="2">
        <v>1</v>
      </c>
      <c r="E435" s="2">
        <v>269.99</v>
      </c>
      <c r="F435">
        <v>0.05</v>
      </c>
      <c r="G435">
        <f t="shared" si="6"/>
        <v>269.94</v>
      </c>
      <c r="H435" t="str">
        <f>VLOOKUP(C435,'products '!$A$1:$G$322,2,FALSE)</f>
        <v>Electra Cruiser 1 (24-Inch) - 2016</v>
      </c>
    </row>
    <row r="436" spans="1:8" x14ac:dyDescent="0.3">
      <c r="A436">
        <v>435</v>
      </c>
      <c r="B436">
        <v>1</v>
      </c>
      <c r="C436">
        <v>22</v>
      </c>
      <c r="D436" s="2">
        <v>1</v>
      </c>
      <c r="E436" s="2">
        <v>269.99</v>
      </c>
      <c r="F436">
        <v>0.05</v>
      </c>
      <c r="G436">
        <f t="shared" si="6"/>
        <v>269.94</v>
      </c>
      <c r="H436" t="str">
        <f>VLOOKUP(C436,'products '!$A$1:$G$322,2,FALSE)</f>
        <v>Electra Girl's Hawaii 1 (16-inch) - 2015/2016</v>
      </c>
    </row>
    <row r="437" spans="1:8" x14ac:dyDescent="0.3">
      <c r="A437">
        <v>436</v>
      </c>
      <c r="B437">
        <v>1</v>
      </c>
      <c r="C437">
        <v>3</v>
      </c>
      <c r="D437" s="2">
        <v>1</v>
      </c>
      <c r="E437" s="2">
        <v>999.99</v>
      </c>
      <c r="F437">
        <v>0.05</v>
      </c>
      <c r="G437">
        <f t="shared" si="6"/>
        <v>999.94</v>
      </c>
      <c r="H437" t="str">
        <f>VLOOKUP(C437,'products '!$A$1:$G$322,2,FALSE)</f>
        <v>Surly Wednesday Frameset - 2016</v>
      </c>
    </row>
    <row r="438" spans="1:8" x14ac:dyDescent="0.3">
      <c r="A438">
        <v>437</v>
      </c>
      <c r="B438">
        <v>1</v>
      </c>
      <c r="C438">
        <v>3</v>
      </c>
      <c r="D438" s="2">
        <v>1</v>
      </c>
      <c r="E438" s="2">
        <v>999.99</v>
      </c>
      <c r="F438">
        <v>0.05</v>
      </c>
      <c r="G438">
        <f t="shared" si="6"/>
        <v>999.94</v>
      </c>
      <c r="H438" t="str">
        <f>VLOOKUP(C438,'products '!$A$1:$G$322,2,FALSE)</f>
        <v>Surly Wednesday Frameset - 2016</v>
      </c>
    </row>
    <row r="439" spans="1:8" x14ac:dyDescent="0.3">
      <c r="A439">
        <v>438</v>
      </c>
      <c r="B439">
        <v>1</v>
      </c>
      <c r="C439">
        <v>4</v>
      </c>
      <c r="D439" s="2">
        <v>1</v>
      </c>
      <c r="E439" s="2">
        <v>2899.99</v>
      </c>
      <c r="F439">
        <v>7.0000000000000007E-2</v>
      </c>
      <c r="G439">
        <f t="shared" si="6"/>
        <v>2899.9199999999996</v>
      </c>
      <c r="H439" t="str">
        <f>VLOOKUP(C439,'products '!$A$1:$G$322,2,FALSE)</f>
        <v>Trek Fuel EX 8 29 - 2016</v>
      </c>
    </row>
    <row r="440" spans="1:8" x14ac:dyDescent="0.3">
      <c r="A440">
        <v>439</v>
      </c>
      <c r="B440">
        <v>1</v>
      </c>
      <c r="C440">
        <v>6</v>
      </c>
      <c r="D440" s="2">
        <v>2</v>
      </c>
      <c r="E440" s="2">
        <v>469.99</v>
      </c>
      <c r="F440">
        <v>7.0000000000000007E-2</v>
      </c>
      <c r="G440">
        <f t="shared" si="6"/>
        <v>939.91</v>
      </c>
      <c r="H440" t="str">
        <f>VLOOKUP(C440,'products '!$A$1:$G$322,2,FALSE)</f>
        <v>Surly Ice Cream Truck Frameset - 2016</v>
      </c>
    </row>
    <row r="441" spans="1:8" x14ac:dyDescent="0.3">
      <c r="A441">
        <v>440</v>
      </c>
      <c r="B441">
        <v>1</v>
      </c>
      <c r="C441">
        <v>19</v>
      </c>
      <c r="D441" s="2">
        <v>2</v>
      </c>
      <c r="E441" s="2">
        <v>449</v>
      </c>
      <c r="F441">
        <v>7.0000000000000007E-2</v>
      </c>
      <c r="G441">
        <f t="shared" si="6"/>
        <v>897.93</v>
      </c>
      <c r="H441" t="str">
        <f>VLOOKUP(C441,'products '!$A$1:$G$322,2,FALSE)</f>
        <v>Pure Cycles William 3-Speed - 2016</v>
      </c>
    </row>
    <row r="442" spans="1:8" x14ac:dyDescent="0.3">
      <c r="A442">
        <v>441</v>
      </c>
      <c r="B442">
        <v>1</v>
      </c>
      <c r="C442">
        <v>12</v>
      </c>
      <c r="D442" s="2">
        <v>1</v>
      </c>
      <c r="E442" s="2">
        <v>549.99</v>
      </c>
      <c r="F442">
        <v>7.0000000000000007E-2</v>
      </c>
      <c r="G442">
        <f t="shared" si="6"/>
        <v>549.91999999999996</v>
      </c>
      <c r="H442" t="str">
        <f>VLOOKUP(C442,'products '!$A$1:$G$322,2,FALSE)</f>
        <v>Electra Townie Original 21D - 2016</v>
      </c>
    </row>
    <row r="443" spans="1:8" x14ac:dyDescent="0.3">
      <c r="A443">
        <v>442</v>
      </c>
      <c r="B443">
        <v>1</v>
      </c>
      <c r="C443">
        <v>16</v>
      </c>
      <c r="D443" s="2">
        <v>2</v>
      </c>
      <c r="E443" s="2">
        <v>599.99</v>
      </c>
      <c r="F443">
        <v>7.0000000000000007E-2</v>
      </c>
      <c r="G443">
        <f t="shared" si="6"/>
        <v>1199.9100000000001</v>
      </c>
      <c r="H443" t="str">
        <f>VLOOKUP(C443,'products '!$A$1:$G$322,2,FALSE)</f>
        <v>Electra Townie Original 7D EQ - 2016</v>
      </c>
    </row>
    <row r="444" spans="1:8" x14ac:dyDescent="0.3">
      <c r="A444">
        <v>443</v>
      </c>
      <c r="B444">
        <v>1</v>
      </c>
      <c r="C444">
        <v>5</v>
      </c>
      <c r="D444" s="2">
        <v>1</v>
      </c>
      <c r="E444" s="2">
        <v>1320.99</v>
      </c>
      <c r="F444">
        <v>0.05</v>
      </c>
      <c r="G444">
        <f t="shared" si="6"/>
        <v>1320.94</v>
      </c>
      <c r="H444" t="str">
        <f>VLOOKUP(C444,'products '!$A$1:$G$322,2,FALSE)</f>
        <v>Heller Shagamaw Frame - 2016</v>
      </c>
    </row>
    <row r="445" spans="1:8" x14ac:dyDescent="0.3">
      <c r="A445">
        <v>444</v>
      </c>
      <c r="B445">
        <v>1</v>
      </c>
      <c r="C445">
        <v>22</v>
      </c>
      <c r="D445" s="2">
        <v>1</v>
      </c>
      <c r="E445" s="2">
        <v>269.99</v>
      </c>
      <c r="F445">
        <v>7.0000000000000007E-2</v>
      </c>
      <c r="G445">
        <f t="shared" si="6"/>
        <v>269.92</v>
      </c>
      <c r="H445" t="str">
        <f>VLOOKUP(C445,'products '!$A$1:$G$322,2,FALSE)</f>
        <v>Electra Girl's Hawaii 1 (16-inch) - 2015/2016</v>
      </c>
    </row>
    <row r="446" spans="1:8" x14ac:dyDescent="0.3">
      <c r="A446">
        <v>445</v>
      </c>
      <c r="B446">
        <v>1</v>
      </c>
      <c r="C446">
        <v>7</v>
      </c>
      <c r="D446" s="2">
        <v>1</v>
      </c>
      <c r="E446" s="2">
        <v>3999.99</v>
      </c>
      <c r="F446">
        <v>0.2</v>
      </c>
      <c r="G446">
        <f t="shared" si="6"/>
        <v>3999.79</v>
      </c>
      <c r="H446" t="str">
        <f>VLOOKUP(C446,'products '!$A$1:$G$322,2,FALSE)</f>
        <v>Trek Slash 8 27.5 - 2016</v>
      </c>
    </row>
    <row r="447" spans="1:8" x14ac:dyDescent="0.3">
      <c r="A447">
        <v>446</v>
      </c>
      <c r="B447">
        <v>1</v>
      </c>
      <c r="C447">
        <v>22</v>
      </c>
      <c r="D447" s="2">
        <v>1</v>
      </c>
      <c r="E447" s="2">
        <v>269.99</v>
      </c>
      <c r="F447">
        <v>0.2</v>
      </c>
      <c r="G447">
        <f t="shared" si="6"/>
        <v>269.79000000000002</v>
      </c>
      <c r="H447" t="str">
        <f>VLOOKUP(C447,'products '!$A$1:$G$322,2,FALSE)</f>
        <v>Electra Girl's Hawaii 1 (16-inch) - 2015/2016</v>
      </c>
    </row>
    <row r="448" spans="1:8" x14ac:dyDescent="0.3">
      <c r="A448">
        <v>447</v>
      </c>
      <c r="B448">
        <v>1</v>
      </c>
      <c r="C448">
        <v>4</v>
      </c>
      <c r="D448" s="2">
        <v>2</v>
      </c>
      <c r="E448" s="2">
        <v>2899.99</v>
      </c>
      <c r="F448">
        <v>0.05</v>
      </c>
      <c r="G448">
        <f t="shared" si="6"/>
        <v>5799.9299999999994</v>
      </c>
      <c r="H448" t="str">
        <f>VLOOKUP(C448,'products '!$A$1:$G$322,2,FALSE)</f>
        <v>Trek Fuel EX 8 29 - 2016</v>
      </c>
    </row>
    <row r="449" spans="1:8" x14ac:dyDescent="0.3">
      <c r="A449">
        <v>448</v>
      </c>
      <c r="B449">
        <v>1</v>
      </c>
      <c r="C449">
        <v>13</v>
      </c>
      <c r="D449" s="2">
        <v>2</v>
      </c>
      <c r="E449" s="2">
        <v>269.99</v>
      </c>
      <c r="F449">
        <v>0.05</v>
      </c>
      <c r="G449">
        <f t="shared" si="6"/>
        <v>539.93000000000006</v>
      </c>
      <c r="H449" t="str">
        <f>VLOOKUP(C449,'products '!$A$1:$G$322,2,FALSE)</f>
        <v>Electra Cruiser 1 (24-Inch) - 2016</v>
      </c>
    </row>
    <row r="450" spans="1:8" x14ac:dyDescent="0.3">
      <c r="A450">
        <v>449</v>
      </c>
      <c r="B450">
        <v>1</v>
      </c>
      <c r="C450">
        <v>17</v>
      </c>
      <c r="D450" s="2">
        <v>2</v>
      </c>
      <c r="E450" s="2">
        <v>429</v>
      </c>
      <c r="F450">
        <v>0.05</v>
      </c>
      <c r="G450">
        <f t="shared" si="6"/>
        <v>857.95</v>
      </c>
      <c r="H450" t="str">
        <f>VLOOKUP(C450,'products '!$A$1:$G$322,2,FALSE)</f>
        <v>Pure Cycles Vine 8-Speed - 2016</v>
      </c>
    </row>
    <row r="451" spans="1:8" x14ac:dyDescent="0.3">
      <c r="A451">
        <v>450</v>
      </c>
      <c r="B451">
        <v>1</v>
      </c>
      <c r="C451">
        <v>24</v>
      </c>
      <c r="D451" s="2">
        <v>1</v>
      </c>
      <c r="E451" s="2">
        <v>549.99</v>
      </c>
      <c r="F451">
        <v>0.05</v>
      </c>
      <c r="G451">
        <f t="shared" ref="G451:G514" si="7">E451*D451-F451</f>
        <v>549.94000000000005</v>
      </c>
      <c r="H451" t="str">
        <f>VLOOKUP(C451,'products '!$A$1:$G$322,2,FALSE)</f>
        <v>Electra Townie Original 21D - 2016</v>
      </c>
    </row>
    <row r="452" spans="1:8" x14ac:dyDescent="0.3">
      <c r="A452">
        <v>451</v>
      </c>
      <c r="B452">
        <v>1</v>
      </c>
      <c r="C452">
        <v>14</v>
      </c>
      <c r="D452" s="2">
        <v>2</v>
      </c>
      <c r="E452" s="2">
        <v>269.99</v>
      </c>
      <c r="F452">
        <v>0.05</v>
      </c>
      <c r="G452">
        <f t="shared" si="7"/>
        <v>539.93000000000006</v>
      </c>
      <c r="H452" t="str">
        <f>VLOOKUP(C452,'products '!$A$1:$G$322,2,FALSE)</f>
        <v>Electra Girl's Hawaii 1 (16-inch) - 2015/2016</v>
      </c>
    </row>
    <row r="453" spans="1:8" x14ac:dyDescent="0.3">
      <c r="A453">
        <v>452</v>
      </c>
      <c r="B453">
        <v>1</v>
      </c>
      <c r="C453">
        <v>11</v>
      </c>
      <c r="D453" s="2">
        <v>1</v>
      </c>
      <c r="E453" s="2">
        <v>1680.99</v>
      </c>
      <c r="F453">
        <v>0.05</v>
      </c>
      <c r="G453">
        <f t="shared" si="7"/>
        <v>1680.94</v>
      </c>
      <c r="H453" t="str">
        <f>VLOOKUP(C453,'products '!$A$1:$G$322,2,FALSE)</f>
        <v>Surly Straggler 650b - 2016</v>
      </c>
    </row>
    <row r="454" spans="1:8" x14ac:dyDescent="0.3">
      <c r="A454">
        <v>453</v>
      </c>
      <c r="B454">
        <v>1</v>
      </c>
      <c r="C454">
        <v>23</v>
      </c>
      <c r="D454" s="2">
        <v>1</v>
      </c>
      <c r="E454" s="2">
        <v>299.99</v>
      </c>
      <c r="F454">
        <v>0.05</v>
      </c>
      <c r="G454">
        <f t="shared" si="7"/>
        <v>299.94</v>
      </c>
      <c r="H454" t="str">
        <f>VLOOKUP(C454,'products '!$A$1:$G$322,2,FALSE)</f>
        <v>Electra Girl's Hawaii 1 (20-inch) - 2015/2016</v>
      </c>
    </row>
    <row r="455" spans="1:8" x14ac:dyDescent="0.3">
      <c r="A455">
        <v>454</v>
      </c>
      <c r="B455">
        <v>1</v>
      </c>
      <c r="C455">
        <v>25</v>
      </c>
      <c r="D455" s="2">
        <v>2</v>
      </c>
      <c r="E455" s="2">
        <v>499.99</v>
      </c>
      <c r="F455">
        <v>7.0000000000000007E-2</v>
      </c>
      <c r="G455">
        <f t="shared" si="7"/>
        <v>999.91</v>
      </c>
      <c r="H455" t="str">
        <f>VLOOKUP(C455,'products '!$A$1:$G$322,2,FALSE)</f>
        <v>Electra Townie Original 7D - 2015/2016</v>
      </c>
    </row>
    <row r="456" spans="1:8" x14ac:dyDescent="0.3">
      <c r="A456">
        <v>455</v>
      </c>
      <c r="B456">
        <v>1</v>
      </c>
      <c r="C456">
        <v>9</v>
      </c>
      <c r="D456" s="2">
        <v>1</v>
      </c>
      <c r="E456" s="2">
        <v>2999.99</v>
      </c>
      <c r="F456">
        <v>0.05</v>
      </c>
      <c r="G456">
        <f t="shared" si="7"/>
        <v>2999.9399999999996</v>
      </c>
      <c r="H456" t="str">
        <f>VLOOKUP(C456,'products '!$A$1:$G$322,2,FALSE)</f>
        <v>Trek Conduit+ - 2016</v>
      </c>
    </row>
    <row r="457" spans="1:8" x14ac:dyDescent="0.3">
      <c r="A457">
        <v>456</v>
      </c>
      <c r="B457">
        <v>1</v>
      </c>
      <c r="C457">
        <v>17</v>
      </c>
      <c r="D457" s="2">
        <v>2</v>
      </c>
      <c r="E457" s="2">
        <v>429</v>
      </c>
      <c r="F457">
        <v>7.0000000000000007E-2</v>
      </c>
      <c r="G457">
        <f t="shared" si="7"/>
        <v>857.93</v>
      </c>
      <c r="H457" t="str">
        <f>VLOOKUP(C457,'products '!$A$1:$G$322,2,FALSE)</f>
        <v>Pure Cycles Vine 8-Speed - 2016</v>
      </c>
    </row>
    <row r="458" spans="1:8" x14ac:dyDescent="0.3">
      <c r="A458">
        <v>457</v>
      </c>
      <c r="B458">
        <v>1</v>
      </c>
      <c r="C458">
        <v>24</v>
      </c>
      <c r="D458" s="2">
        <v>2</v>
      </c>
      <c r="E458" s="2">
        <v>549.99</v>
      </c>
      <c r="F458">
        <v>7.0000000000000007E-2</v>
      </c>
      <c r="G458">
        <f t="shared" si="7"/>
        <v>1099.9100000000001</v>
      </c>
      <c r="H458" t="str">
        <f>VLOOKUP(C458,'products '!$A$1:$G$322,2,FALSE)</f>
        <v>Electra Townie Original 21D - 2016</v>
      </c>
    </row>
    <row r="459" spans="1:8" x14ac:dyDescent="0.3">
      <c r="A459">
        <v>458</v>
      </c>
      <c r="B459">
        <v>1</v>
      </c>
      <c r="C459">
        <v>2</v>
      </c>
      <c r="D459" s="2">
        <v>1</v>
      </c>
      <c r="E459" s="2">
        <v>749.99</v>
      </c>
      <c r="F459">
        <v>0.2</v>
      </c>
      <c r="G459">
        <f t="shared" si="7"/>
        <v>749.79</v>
      </c>
      <c r="H459" t="str">
        <f>VLOOKUP(C459,'products '!$A$1:$G$322,2,FALSE)</f>
        <v>Ritchey Timberwolf Frameset - 2016</v>
      </c>
    </row>
    <row r="460" spans="1:8" x14ac:dyDescent="0.3">
      <c r="A460">
        <v>459</v>
      </c>
      <c r="B460">
        <v>1</v>
      </c>
      <c r="C460">
        <v>11</v>
      </c>
      <c r="D460" s="2">
        <v>1</v>
      </c>
      <c r="E460" s="2">
        <v>1680.99</v>
      </c>
      <c r="F460">
        <v>0.2</v>
      </c>
      <c r="G460">
        <f t="shared" si="7"/>
        <v>1680.79</v>
      </c>
      <c r="H460" t="str">
        <f>VLOOKUP(C460,'products '!$A$1:$G$322,2,FALSE)</f>
        <v>Surly Straggler 650b - 2016</v>
      </c>
    </row>
    <row r="461" spans="1:8" x14ac:dyDescent="0.3">
      <c r="A461">
        <v>460</v>
      </c>
      <c r="B461">
        <v>1</v>
      </c>
      <c r="C461">
        <v>19</v>
      </c>
      <c r="D461" s="2">
        <v>1</v>
      </c>
      <c r="E461" s="2">
        <v>449</v>
      </c>
      <c r="F461">
        <v>0.05</v>
      </c>
      <c r="G461">
        <f t="shared" si="7"/>
        <v>448.95</v>
      </c>
      <c r="H461" t="str">
        <f>VLOOKUP(C461,'products '!$A$1:$G$322,2,FALSE)</f>
        <v>Pure Cycles William 3-Speed - 2016</v>
      </c>
    </row>
    <row r="462" spans="1:8" x14ac:dyDescent="0.3">
      <c r="A462">
        <v>461</v>
      </c>
      <c r="B462">
        <v>1</v>
      </c>
      <c r="C462">
        <v>16</v>
      </c>
      <c r="D462" s="2">
        <v>1</v>
      </c>
      <c r="E462" s="2">
        <v>599.99</v>
      </c>
      <c r="F462">
        <v>7.0000000000000007E-2</v>
      </c>
      <c r="G462">
        <f t="shared" si="7"/>
        <v>599.91999999999996</v>
      </c>
      <c r="H462" t="str">
        <f>VLOOKUP(C462,'products '!$A$1:$G$322,2,FALSE)</f>
        <v>Electra Townie Original 7D EQ - 2016</v>
      </c>
    </row>
    <row r="463" spans="1:8" x14ac:dyDescent="0.3">
      <c r="A463">
        <v>462</v>
      </c>
      <c r="B463">
        <v>1</v>
      </c>
      <c r="C463">
        <v>12</v>
      </c>
      <c r="D463" s="2">
        <v>2</v>
      </c>
      <c r="E463" s="2">
        <v>549.99</v>
      </c>
      <c r="F463">
        <v>0.1</v>
      </c>
      <c r="G463">
        <f t="shared" si="7"/>
        <v>1099.8800000000001</v>
      </c>
      <c r="H463" t="str">
        <f>VLOOKUP(C463,'products '!$A$1:$G$322,2,FALSE)</f>
        <v>Electra Townie Original 21D - 2016</v>
      </c>
    </row>
    <row r="464" spans="1:8" x14ac:dyDescent="0.3">
      <c r="A464">
        <v>463</v>
      </c>
      <c r="B464">
        <v>1</v>
      </c>
      <c r="C464">
        <v>13</v>
      </c>
      <c r="D464" s="2">
        <v>2</v>
      </c>
      <c r="E464" s="2">
        <v>269.99</v>
      </c>
      <c r="F464">
        <v>7.0000000000000007E-2</v>
      </c>
      <c r="G464">
        <f t="shared" si="7"/>
        <v>539.91</v>
      </c>
      <c r="H464" t="str">
        <f>VLOOKUP(C464,'products '!$A$1:$G$322,2,FALSE)</f>
        <v>Electra Cruiser 1 (24-Inch) - 2016</v>
      </c>
    </row>
    <row r="465" spans="1:8" x14ac:dyDescent="0.3">
      <c r="A465">
        <v>464</v>
      </c>
      <c r="B465">
        <v>1</v>
      </c>
      <c r="C465">
        <v>7</v>
      </c>
      <c r="D465" s="2">
        <v>1</v>
      </c>
      <c r="E465" s="2">
        <v>3999.99</v>
      </c>
      <c r="F465">
        <v>0.1</v>
      </c>
      <c r="G465">
        <f t="shared" si="7"/>
        <v>3999.89</v>
      </c>
      <c r="H465" t="str">
        <f>VLOOKUP(C465,'products '!$A$1:$G$322,2,FALSE)</f>
        <v>Trek Slash 8 27.5 - 2016</v>
      </c>
    </row>
    <row r="466" spans="1:8" x14ac:dyDescent="0.3">
      <c r="A466">
        <v>465</v>
      </c>
      <c r="B466">
        <v>1</v>
      </c>
      <c r="C466">
        <v>6</v>
      </c>
      <c r="D466" s="2">
        <v>2</v>
      </c>
      <c r="E466" s="2">
        <v>469.99</v>
      </c>
      <c r="F466">
        <v>0.1</v>
      </c>
      <c r="G466">
        <f t="shared" si="7"/>
        <v>939.88</v>
      </c>
      <c r="H466" t="str">
        <f>VLOOKUP(C466,'products '!$A$1:$G$322,2,FALSE)</f>
        <v>Surly Ice Cream Truck Frameset - 2016</v>
      </c>
    </row>
    <row r="467" spans="1:8" x14ac:dyDescent="0.3">
      <c r="A467">
        <v>466</v>
      </c>
      <c r="B467">
        <v>1</v>
      </c>
      <c r="C467">
        <v>19</v>
      </c>
      <c r="D467" s="2">
        <v>2</v>
      </c>
      <c r="E467" s="2">
        <v>449</v>
      </c>
      <c r="F467">
        <v>0.2</v>
      </c>
      <c r="G467">
        <f t="shared" si="7"/>
        <v>897.8</v>
      </c>
      <c r="H467" t="str">
        <f>VLOOKUP(C467,'products '!$A$1:$G$322,2,FALSE)</f>
        <v>Pure Cycles William 3-Speed - 2016</v>
      </c>
    </row>
    <row r="468" spans="1:8" x14ac:dyDescent="0.3">
      <c r="A468">
        <v>467</v>
      </c>
      <c r="B468">
        <v>1</v>
      </c>
      <c r="C468">
        <v>19</v>
      </c>
      <c r="D468" s="2">
        <v>1</v>
      </c>
      <c r="E468" s="2">
        <v>449</v>
      </c>
      <c r="F468">
        <v>7.0000000000000007E-2</v>
      </c>
      <c r="G468">
        <f t="shared" si="7"/>
        <v>448.93</v>
      </c>
      <c r="H468" t="str">
        <f>VLOOKUP(C468,'products '!$A$1:$G$322,2,FALSE)</f>
        <v>Pure Cycles William 3-Speed - 2016</v>
      </c>
    </row>
    <row r="469" spans="1:8" x14ac:dyDescent="0.3">
      <c r="A469">
        <v>468</v>
      </c>
      <c r="B469">
        <v>1</v>
      </c>
      <c r="C469">
        <v>19</v>
      </c>
      <c r="D469" s="2">
        <v>1</v>
      </c>
      <c r="E469" s="2">
        <v>449</v>
      </c>
      <c r="F469">
        <v>0.1</v>
      </c>
      <c r="G469">
        <f t="shared" si="7"/>
        <v>448.9</v>
      </c>
      <c r="H469" t="str">
        <f>VLOOKUP(C469,'products '!$A$1:$G$322,2,FALSE)</f>
        <v>Pure Cycles William 3-Speed - 2016</v>
      </c>
    </row>
    <row r="470" spans="1:8" x14ac:dyDescent="0.3">
      <c r="A470">
        <v>469</v>
      </c>
      <c r="B470">
        <v>1</v>
      </c>
      <c r="C470">
        <v>8</v>
      </c>
      <c r="D470" s="2">
        <v>2</v>
      </c>
      <c r="E470" s="2">
        <v>1799.99</v>
      </c>
      <c r="F470">
        <v>0.1</v>
      </c>
      <c r="G470">
        <f t="shared" si="7"/>
        <v>3599.88</v>
      </c>
      <c r="H470" t="str">
        <f>VLOOKUP(C470,'products '!$A$1:$G$322,2,FALSE)</f>
        <v>Trek Remedy 29 Carbon Frameset - 2016</v>
      </c>
    </row>
    <row r="471" spans="1:8" x14ac:dyDescent="0.3">
      <c r="A471">
        <v>470</v>
      </c>
      <c r="B471">
        <v>1</v>
      </c>
      <c r="C471">
        <v>18</v>
      </c>
      <c r="D471" s="2">
        <v>1</v>
      </c>
      <c r="E471" s="2">
        <v>449</v>
      </c>
      <c r="F471">
        <v>0.05</v>
      </c>
      <c r="G471">
        <f t="shared" si="7"/>
        <v>448.95</v>
      </c>
      <c r="H471" t="str">
        <f>VLOOKUP(C471,'products '!$A$1:$G$322,2,FALSE)</f>
        <v>Pure Cycles Western 3-Speed - Women's - 2015/2016</v>
      </c>
    </row>
    <row r="472" spans="1:8" x14ac:dyDescent="0.3">
      <c r="A472">
        <v>471</v>
      </c>
      <c r="B472">
        <v>1</v>
      </c>
      <c r="C472">
        <v>14</v>
      </c>
      <c r="D472" s="2">
        <v>1</v>
      </c>
      <c r="E472" s="2">
        <v>269.99</v>
      </c>
      <c r="F472">
        <v>0.2</v>
      </c>
      <c r="G472">
        <f t="shared" si="7"/>
        <v>269.79000000000002</v>
      </c>
      <c r="H472" t="str">
        <f>VLOOKUP(C472,'products '!$A$1:$G$322,2,FALSE)</f>
        <v>Electra Girl's Hawaii 1 (16-inch) - 2015/2016</v>
      </c>
    </row>
    <row r="473" spans="1:8" x14ac:dyDescent="0.3">
      <c r="A473">
        <v>472</v>
      </c>
      <c r="B473">
        <v>1</v>
      </c>
      <c r="C473">
        <v>15</v>
      </c>
      <c r="D473" s="2">
        <v>1</v>
      </c>
      <c r="E473" s="2">
        <v>529.99</v>
      </c>
      <c r="F473">
        <v>0.1</v>
      </c>
      <c r="G473">
        <f t="shared" si="7"/>
        <v>529.89</v>
      </c>
      <c r="H473" t="str">
        <f>VLOOKUP(C473,'products '!$A$1:$G$322,2,FALSE)</f>
        <v>Electra Moto 1 - 2016</v>
      </c>
    </row>
    <row r="474" spans="1:8" x14ac:dyDescent="0.3">
      <c r="A474">
        <v>473</v>
      </c>
      <c r="B474">
        <v>1</v>
      </c>
      <c r="C474">
        <v>26</v>
      </c>
      <c r="D474" s="2">
        <v>1</v>
      </c>
      <c r="E474" s="2">
        <v>599.99</v>
      </c>
      <c r="F474">
        <v>7.0000000000000007E-2</v>
      </c>
      <c r="G474">
        <f t="shared" si="7"/>
        <v>599.91999999999996</v>
      </c>
      <c r="H474" t="str">
        <f>VLOOKUP(C474,'products '!$A$1:$G$322,2,FALSE)</f>
        <v>Electra Townie Original 7D EQ - 2016</v>
      </c>
    </row>
    <row r="475" spans="1:8" x14ac:dyDescent="0.3">
      <c r="A475">
        <v>474</v>
      </c>
      <c r="B475">
        <v>1</v>
      </c>
      <c r="C475">
        <v>19</v>
      </c>
      <c r="D475" s="2">
        <v>2</v>
      </c>
      <c r="E475" s="2">
        <v>449</v>
      </c>
      <c r="F475">
        <v>0.05</v>
      </c>
      <c r="G475">
        <f t="shared" si="7"/>
        <v>897.95</v>
      </c>
      <c r="H475" t="str">
        <f>VLOOKUP(C475,'products '!$A$1:$G$322,2,FALSE)</f>
        <v>Pure Cycles William 3-Speed - 2016</v>
      </c>
    </row>
    <row r="476" spans="1:8" x14ac:dyDescent="0.3">
      <c r="A476">
        <v>475</v>
      </c>
      <c r="B476">
        <v>1</v>
      </c>
      <c r="C476">
        <v>17</v>
      </c>
      <c r="D476" s="2">
        <v>2</v>
      </c>
      <c r="E476" s="2">
        <v>429</v>
      </c>
      <c r="F476">
        <v>7.0000000000000007E-2</v>
      </c>
      <c r="G476">
        <f t="shared" si="7"/>
        <v>857.93</v>
      </c>
      <c r="H476" t="str">
        <f>VLOOKUP(C476,'products '!$A$1:$G$322,2,FALSE)</f>
        <v>Pure Cycles Vine 8-Speed - 2016</v>
      </c>
    </row>
    <row r="477" spans="1:8" x14ac:dyDescent="0.3">
      <c r="A477">
        <v>476</v>
      </c>
      <c r="B477">
        <v>1</v>
      </c>
      <c r="C477">
        <v>22</v>
      </c>
      <c r="D477" s="2">
        <v>2</v>
      </c>
      <c r="E477" s="2">
        <v>269.99</v>
      </c>
      <c r="F477">
        <v>7.0000000000000007E-2</v>
      </c>
      <c r="G477">
        <f t="shared" si="7"/>
        <v>539.91</v>
      </c>
      <c r="H477" t="str">
        <f>VLOOKUP(C477,'products '!$A$1:$G$322,2,FALSE)</f>
        <v>Electra Girl's Hawaii 1 (16-inch) - 2015/2016</v>
      </c>
    </row>
    <row r="478" spans="1:8" x14ac:dyDescent="0.3">
      <c r="A478">
        <v>477</v>
      </c>
      <c r="B478">
        <v>1</v>
      </c>
      <c r="C478">
        <v>6</v>
      </c>
      <c r="D478" s="2">
        <v>1</v>
      </c>
      <c r="E478" s="2">
        <v>469.99</v>
      </c>
      <c r="F478">
        <v>0.1</v>
      </c>
      <c r="G478">
        <f t="shared" si="7"/>
        <v>469.89</v>
      </c>
      <c r="H478" t="str">
        <f>VLOOKUP(C478,'products '!$A$1:$G$322,2,FALSE)</f>
        <v>Surly Ice Cream Truck Frameset - 2016</v>
      </c>
    </row>
    <row r="479" spans="1:8" x14ac:dyDescent="0.3">
      <c r="A479">
        <v>478</v>
      </c>
      <c r="B479">
        <v>1</v>
      </c>
      <c r="C479">
        <v>21</v>
      </c>
      <c r="D479" s="2">
        <v>2</v>
      </c>
      <c r="E479" s="2">
        <v>269.99</v>
      </c>
      <c r="F479">
        <v>7.0000000000000007E-2</v>
      </c>
      <c r="G479">
        <f t="shared" si="7"/>
        <v>539.91</v>
      </c>
      <c r="H479" t="str">
        <f>VLOOKUP(C479,'products '!$A$1:$G$322,2,FALSE)</f>
        <v>Electra Cruiser 1 (24-Inch) - 2016</v>
      </c>
    </row>
    <row r="480" spans="1:8" x14ac:dyDescent="0.3">
      <c r="A480">
        <v>479</v>
      </c>
      <c r="B480">
        <v>1</v>
      </c>
      <c r="C480">
        <v>26</v>
      </c>
      <c r="D480" s="2">
        <v>1</v>
      </c>
      <c r="E480" s="2">
        <v>599.99</v>
      </c>
      <c r="F480">
        <v>7.0000000000000007E-2</v>
      </c>
      <c r="G480">
        <f t="shared" si="7"/>
        <v>599.91999999999996</v>
      </c>
      <c r="H480" t="str">
        <f>VLOOKUP(C480,'products '!$A$1:$G$322,2,FALSE)</f>
        <v>Electra Townie Original 7D EQ - 2016</v>
      </c>
    </row>
    <row r="481" spans="1:8" x14ac:dyDescent="0.3">
      <c r="A481">
        <v>480</v>
      </c>
      <c r="B481">
        <v>1</v>
      </c>
      <c r="C481">
        <v>4</v>
      </c>
      <c r="D481" s="2">
        <v>1</v>
      </c>
      <c r="E481" s="2">
        <v>2899.99</v>
      </c>
      <c r="F481">
        <v>0.05</v>
      </c>
      <c r="G481">
        <f t="shared" si="7"/>
        <v>2899.9399999999996</v>
      </c>
      <c r="H481" t="str">
        <f>VLOOKUP(C481,'products '!$A$1:$G$322,2,FALSE)</f>
        <v>Trek Fuel EX 8 29 - 2016</v>
      </c>
    </row>
    <row r="482" spans="1:8" x14ac:dyDescent="0.3">
      <c r="A482">
        <v>481</v>
      </c>
      <c r="B482">
        <v>1</v>
      </c>
      <c r="C482">
        <v>13</v>
      </c>
      <c r="D482" s="2">
        <v>2</v>
      </c>
      <c r="E482" s="2">
        <v>269.99</v>
      </c>
      <c r="F482">
        <v>0.2</v>
      </c>
      <c r="G482">
        <f t="shared" si="7"/>
        <v>539.78</v>
      </c>
      <c r="H482" t="str">
        <f>VLOOKUP(C482,'products '!$A$1:$G$322,2,FALSE)</f>
        <v>Electra Cruiser 1 (24-Inch) - 2016</v>
      </c>
    </row>
    <row r="483" spans="1:8" x14ac:dyDescent="0.3">
      <c r="A483">
        <v>482</v>
      </c>
      <c r="B483">
        <v>1</v>
      </c>
      <c r="C483">
        <v>13</v>
      </c>
      <c r="D483" s="2">
        <v>1</v>
      </c>
      <c r="E483" s="2">
        <v>269.99</v>
      </c>
      <c r="F483">
        <v>0.2</v>
      </c>
      <c r="G483">
        <f t="shared" si="7"/>
        <v>269.79000000000002</v>
      </c>
      <c r="H483" t="str">
        <f>VLOOKUP(C483,'products '!$A$1:$G$322,2,FALSE)</f>
        <v>Electra Cruiser 1 (24-Inch) - 2016</v>
      </c>
    </row>
    <row r="484" spans="1:8" x14ac:dyDescent="0.3">
      <c r="A484">
        <v>483</v>
      </c>
      <c r="B484">
        <v>1</v>
      </c>
      <c r="C484">
        <v>17</v>
      </c>
      <c r="D484" s="2">
        <v>1</v>
      </c>
      <c r="E484" s="2">
        <v>429</v>
      </c>
      <c r="F484">
        <v>7.0000000000000007E-2</v>
      </c>
      <c r="G484">
        <f t="shared" si="7"/>
        <v>428.93</v>
      </c>
      <c r="H484" t="str">
        <f>VLOOKUP(C484,'products '!$A$1:$G$322,2,FALSE)</f>
        <v>Pure Cycles Vine 8-Speed - 2016</v>
      </c>
    </row>
    <row r="485" spans="1:8" x14ac:dyDescent="0.3">
      <c r="A485">
        <v>484</v>
      </c>
      <c r="B485">
        <v>1</v>
      </c>
      <c r="C485">
        <v>8</v>
      </c>
      <c r="D485" s="2">
        <v>2</v>
      </c>
      <c r="E485" s="2">
        <v>1799.99</v>
      </c>
      <c r="F485">
        <v>0.1</v>
      </c>
      <c r="G485">
        <f t="shared" si="7"/>
        <v>3599.88</v>
      </c>
      <c r="H485" t="str">
        <f>VLOOKUP(C485,'products '!$A$1:$G$322,2,FALSE)</f>
        <v>Trek Remedy 29 Carbon Frameset - 2016</v>
      </c>
    </row>
    <row r="486" spans="1:8" x14ac:dyDescent="0.3">
      <c r="A486">
        <v>485</v>
      </c>
      <c r="B486">
        <v>1</v>
      </c>
      <c r="C486">
        <v>13</v>
      </c>
      <c r="D486" s="2">
        <v>1</v>
      </c>
      <c r="E486" s="2">
        <v>269.99</v>
      </c>
      <c r="F486">
        <v>0.1</v>
      </c>
      <c r="G486">
        <f t="shared" si="7"/>
        <v>269.89</v>
      </c>
      <c r="H486" t="str">
        <f>VLOOKUP(C486,'products '!$A$1:$G$322,2,FALSE)</f>
        <v>Electra Cruiser 1 (24-Inch) - 2016</v>
      </c>
    </row>
    <row r="487" spans="1:8" x14ac:dyDescent="0.3">
      <c r="A487">
        <v>486</v>
      </c>
      <c r="B487">
        <v>1</v>
      </c>
      <c r="C487">
        <v>9</v>
      </c>
      <c r="D487" s="2">
        <v>1</v>
      </c>
      <c r="E487" s="2">
        <v>2999.99</v>
      </c>
      <c r="F487">
        <v>7.0000000000000007E-2</v>
      </c>
      <c r="G487">
        <f t="shared" si="7"/>
        <v>2999.9199999999996</v>
      </c>
      <c r="H487" t="str">
        <f>VLOOKUP(C487,'products '!$A$1:$G$322,2,FALSE)</f>
        <v>Trek Conduit+ - 2016</v>
      </c>
    </row>
    <row r="488" spans="1:8" x14ac:dyDescent="0.3">
      <c r="A488">
        <v>487</v>
      </c>
      <c r="B488">
        <v>1</v>
      </c>
      <c r="C488">
        <v>6</v>
      </c>
      <c r="D488" s="2">
        <v>1</v>
      </c>
      <c r="E488" s="2">
        <v>469.99</v>
      </c>
      <c r="F488">
        <v>0.2</v>
      </c>
      <c r="G488">
        <f t="shared" si="7"/>
        <v>469.79</v>
      </c>
      <c r="H488" t="str">
        <f>VLOOKUP(C488,'products '!$A$1:$G$322,2,FALSE)</f>
        <v>Surly Ice Cream Truck Frameset - 2016</v>
      </c>
    </row>
    <row r="489" spans="1:8" x14ac:dyDescent="0.3">
      <c r="A489">
        <v>488</v>
      </c>
      <c r="B489">
        <v>1</v>
      </c>
      <c r="C489">
        <v>13</v>
      </c>
      <c r="D489" s="2">
        <v>2</v>
      </c>
      <c r="E489" s="2">
        <v>269.99</v>
      </c>
      <c r="F489">
        <v>7.0000000000000007E-2</v>
      </c>
      <c r="G489">
        <f t="shared" si="7"/>
        <v>539.91</v>
      </c>
      <c r="H489" t="str">
        <f>VLOOKUP(C489,'products '!$A$1:$G$322,2,FALSE)</f>
        <v>Electra Cruiser 1 (24-Inch) - 2016</v>
      </c>
    </row>
    <row r="490" spans="1:8" x14ac:dyDescent="0.3">
      <c r="A490">
        <v>489</v>
      </c>
      <c r="B490">
        <v>1</v>
      </c>
      <c r="C490">
        <v>8</v>
      </c>
      <c r="D490" s="2">
        <v>2</v>
      </c>
      <c r="E490" s="2">
        <v>1799.99</v>
      </c>
      <c r="F490">
        <v>0.1</v>
      </c>
      <c r="G490">
        <f t="shared" si="7"/>
        <v>3599.88</v>
      </c>
      <c r="H490" t="str">
        <f>VLOOKUP(C490,'products '!$A$1:$G$322,2,FALSE)</f>
        <v>Trek Remedy 29 Carbon Frameset - 2016</v>
      </c>
    </row>
    <row r="491" spans="1:8" x14ac:dyDescent="0.3">
      <c r="A491">
        <v>490</v>
      </c>
      <c r="B491">
        <v>1</v>
      </c>
      <c r="C491">
        <v>12</v>
      </c>
      <c r="D491" s="2">
        <v>1</v>
      </c>
      <c r="E491" s="2">
        <v>549.99</v>
      </c>
      <c r="F491">
        <v>0.1</v>
      </c>
      <c r="G491">
        <f t="shared" si="7"/>
        <v>549.89</v>
      </c>
      <c r="H491" t="str">
        <f>VLOOKUP(C491,'products '!$A$1:$G$322,2,FALSE)</f>
        <v>Electra Townie Original 21D - 2016</v>
      </c>
    </row>
    <row r="492" spans="1:8" x14ac:dyDescent="0.3">
      <c r="A492">
        <v>491</v>
      </c>
      <c r="B492">
        <v>1</v>
      </c>
      <c r="C492">
        <v>9</v>
      </c>
      <c r="D492" s="2">
        <v>2</v>
      </c>
      <c r="E492" s="2">
        <v>2999.99</v>
      </c>
      <c r="F492">
        <v>0.2</v>
      </c>
      <c r="G492">
        <f t="shared" si="7"/>
        <v>5999.78</v>
      </c>
      <c r="H492" t="str">
        <f>VLOOKUP(C492,'products '!$A$1:$G$322,2,FALSE)</f>
        <v>Trek Conduit+ - 2016</v>
      </c>
    </row>
    <row r="493" spans="1:8" x14ac:dyDescent="0.3">
      <c r="A493">
        <v>492</v>
      </c>
      <c r="B493">
        <v>1</v>
      </c>
      <c r="C493">
        <v>6</v>
      </c>
      <c r="D493" s="2">
        <v>1</v>
      </c>
      <c r="E493" s="2">
        <v>469.99</v>
      </c>
      <c r="F493">
        <v>0.1</v>
      </c>
      <c r="G493">
        <f t="shared" si="7"/>
        <v>469.89</v>
      </c>
      <c r="H493" t="str">
        <f>VLOOKUP(C493,'products '!$A$1:$G$322,2,FALSE)</f>
        <v>Surly Ice Cream Truck Frameset - 2016</v>
      </c>
    </row>
    <row r="494" spans="1:8" x14ac:dyDescent="0.3">
      <c r="A494">
        <v>493</v>
      </c>
      <c r="B494">
        <v>1</v>
      </c>
      <c r="C494">
        <v>15</v>
      </c>
      <c r="D494" s="2">
        <v>1</v>
      </c>
      <c r="E494" s="2">
        <v>529.99</v>
      </c>
      <c r="F494">
        <v>0.05</v>
      </c>
      <c r="G494">
        <f t="shared" si="7"/>
        <v>529.94000000000005</v>
      </c>
      <c r="H494" t="str">
        <f>VLOOKUP(C494,'products '!$A$1:$G$322,2,FALSE)</f>
        <v>Electra Moto 1 - 2016</v>
      </c>
    </row>
    <row r="495" spans="1:8" x14ac:dyDescent="0.3">
      <c r="A495">
        <v>494</v>
      </c>
      <c r="B495">
        <v>1</v>
      </c>
      <c r="C495">
        <v>23</v>
      </c>
      <c r="D495" s="2">
        <v>1</v>
      </c>
      <c r="E495" s="2">
        <v>299.99</v>
      </c>
      <c r="F495">
        <v>0.1</v>
      </c>
      <c r="G495">
        <f t="shared" si="7"/>
        <v>299.89</v>
      </c>
      <c r="H495" t="str">
        <f>VLOOKUP(C495,'products '!$A$1:$G$322,2,FALSE)</f>
        <v>Electra Girl's Hawaii 1 (20-inch) - 2015/2016</v>
      </c>
    </row>
    <row r="496" spans="1:8" x14ac:dyDescent="0.3">
      <c r="A496">
        <v>495</v>
      </c>
      <c r="B496">
        <v>1</v>
      </c>
      <c r="C496">
        <v>22</v>
      </c>
      <c r="D496" s="2">
        <v>1</v>
      </c>
      <c r="E496" s="2">
        <v>269.99</v>
      </c>
      <c r="F496">
        <v>0.2</v>
      </c>
      <c r="G496">
        <f t="shared" si="7"/>
        <v>269.79000000000002</v>
      </c>
      <c r="H496" t="str">
        <f>VLOOKUP(C496,'products '!$A$1:$G$322,2,FALSE)</f>
        <v>Electra Girl's Hawaii 1 (16-inch) - 2015/2016</v>
      </c>
    </row>
    <row r="497" spans="1:8" x14ac:dyDescent="0.3">
      <c r="A497">
        <v>496</v>
      </c>
      <c r="B497">
        <v>1</v>
      </c>
      <c r="C497">
        <v>23</v>
      </c>
      <c r="D497" s="2">
        <v>1</v>
      </c>
      <c r="E497" s="2">
        <v>299.99</v>
      </c>
      <c r="F497">
        <v>0.2</v>
      </c>
      <c r="G497">
        <f t="shared" si="7"/>
        <v>299.79000000000002</v>
      </c>
      <c r="H497" t="str">
        <f>VLOOKUP(C497,'products '!$A$1:$G$322,2,FALSE)</f>
        <v>Electra Girl's Hawaii 1 (20-inch) - 2015/2016</v>
      </c>
    </row>
    <row r="498" spans="1:8" x14ac:dyDescent="0.3">
      <c r="A498">
        <v>497</v>
      </c>
      <c r="B498">
        <v>1</v>
      </c>
      <c r="C498">
        <v>25</v>
      </c>
      <c r="D498" s="2">
        <v>2</v>
      </c>
      <c r="E498" s="2">
        <v>499.99</v>
      </c>
      <c r="F498">
        <v>7.0000000000000007E-2</v>
      </c>
      <c r="G498">
        <f t="shared" si="7"/>
        <v>999.91</v>
      </c>
      <c r="H498" t="str">
        <f>VLOOKUP(C498,'products '!$A$1:$G$322,2,FALSE)</f>
        <v>Electra Townie Original 7D - 2015/2016</v>
      </c>
    </row>
    <row r="499" spans="1:8" x14ac:dyDescent="0.3">
      <c r="A499">
        <v>498</v>
      </c>
      <c r="B499">
        <v>1</v>
      </c>
      <c r="C499">
        <v>24</v>
      </c>
      <c r="D499" s="2">
        <v>1</v>
      </c>
      <c r="E499" s="2">
        <v>549.99</v>
      </c>
      <c r="F499">
        <v>7.0000000000000007E-2</v>
      </c>
      <c r="G499">
        <f t="shared" si="7"/>
        <v>549.91999999999996</v>
      </c>
      <c r="H499" t="str">
        <f>VLOOKUP(C499,'products '!$A$1:$G$322,2,FALSE)</f>
        <v>Electra Townie Original 21D - 2016</v>
      </c>
    </row>
    <row r="500" spans="1:8" x14ac:dyDescent="0.3">
      <c r="A500">
        <v>499</v>
      </c>
      <c r="B500">
        <v>1</v>
      </c>
      <c r="C500">
        <v>11</v>
      </c>
      <c r="D500" s="2">
        <v>1</v>
      </c>
      <c r="E500" s="2">
        <v>1680.99</v>
      </c>
      <c r="F500">
        <v>0.2</v>
      </c>
      <c r="G500">
        <f t="shared" si="7"/>
        <v>1680.79</v>
      </c>
      <c r="H500" t="str">
        <f>VLOOKUP(C500,'products '!$A$1:$G$322,2,FALSE)</f>
        <v>Surly Straggler 650b - 2016</v>
      </c>
    </row>
    <row r="501" spans="1:8" x14ac:dyDescent="0.3">
      <c r="A501">
        <v>500</v>
      </c>
      <c r="B501">
        <v>1</v>
      </c>
      <c r="C501">
        <v>12</v>
      </c>
      <c r="D501" s="2">
        <v>2</v>
      </c>
      <c r="E501" s="2">
        <v>549.99</v>
      </c>
      <c r="F501">
        <v>0.05</v>
      </c>
      <c r="G501">
        <f t="shared" si="7"/>
        <v>1099.93</v>
      </c>
      <c r="H501" t="str">
        <f>VLOOKUP(C501,'products '!$A$1:$G$322,2,FALSE)</f>
        <v>Electra Townie Original 21D - 2016</v>
      </c>
    </row>
    <row r="502" spans="1:8" x14ac:dyDescent="0.3">
      <c r="A502">
        <v>501</v>
      </c>
      <c r="B502">
        <v>1</v>
      </c>
      <c r="C502">
        <v>19</v>
      </c>
      <c r="D502" s="2">
        <v>2</v>
      </c>
      <c r="E502" s="2">
        <v>449</v>
      </c>
      <c r="F502">
        <v>0.05</v>
      </c>
      <c r="G502">
        <f t="shared" si="7"/>
        <v>897.95</v>
      </c>
      <c r="H502" t="str">
        <f>VLOOKUP(C502,'products '!$A$1:$G$322,2,FALSE)</f>
        <v>Pure Cycles William 3-Speed - 2016</v>
      </c>
    </row>
    <row r="503" spans="1:8" x14ac:dyDescent="0.3">
      <c r="A503">
        <v>502</v>
      </c>
      <c r="B503">
        <v>1</v>
      </c>
      <c r="C503">
        <v>13</v>
      </c>
      <c r="D503" s="2">
        <v>1</v>
      </c>
      <c r="E503" s="2">
        <v>269.99</v>
      </c>
      <c r="F503">
        <v>0.05</v>
      </c>
      <c r="G503">
        <f t="shared" si="7"/>
        <v>269.94</v>
      </c>
      <c r="H503" t="str">
        <f>VLOOKUP(C503,'products '!$A$1:$G$322,2,FALSE)</f>
        <v>Electra Cruiser 1 (24-Inch) - 2016</v>
      </c>
    </row>
    <row r="504" spans="1:8" x14ac:dyDescent="0.3">
      <c r="A504">
        <v>503</v>
      </c>
      <c r="B504">
        <v>1</v>
      </c>
      <c r="C504">
        <v>13</v>
      </c>
      <c r="D504" s="2">
        <v>2</v>
      </c>
      <c r="E504" s="2">
        <v>269.99</v>
      </c>
      <c r="F504">
        <v>7.0000000000000007E-2</v>
      </c>
      <c r="G504">
        <f t="shared" si="7"/>
        <v>539.91</v>
      </c>
      <c r="H504" t="str">
        <f>VLOOKUP(C504,'products '!$A$1:$G$322,2,FALSE)</f>
        <v>Electra Cruiser 1 (24-Inch) - 2016</v>
      </c>
    </row>
    <row r="505" spans="1:8" x14ac:dyDescent="0.3">
      <c r="A505">
        <v>504</v>
      </c>
      <c r="B505">
        <v>1</v>
      </c>
      <c r="C505">
        <v>24</v>
      </c>
      <c r="D505" s="2">
        <v>2</v>
      </c>
      <c r="E505" s="2">
        <v>549.99</v>
      </c>
      <c r="F505">
        <v>0.1</v>
      </c>
      <c r="G505">
        <f t="shared" si="7"/>
        <v>1099.8800000000001</v>
      </c>
      <c r="H505" t="str">
        <f>VLOOKUP(C505,'products '!$A$1:$G$322,2,FALSE)</f>
        <v>Electra Townie Original 21D - 2016</v>
      </c>
    </row>
    <row r="506" spans="1:8" x14ac:dyDescent="0.3">
      <c r="A506">
        <v>505</v>
      </c>
      <c r="B506">
        <v>1</v>
      </c>
      <c r="C506">
        <v>26</v>
      </c>
      <c r="D506" s="2">
        <v>1</v>
      </c>
      <c r="E506" s="2">
        <v>599.99</v>
      </c>
      <c r="F506">
        <v>0.2</v>
      </c>
      <c r="G506">
        <f t="shared" si="7"/>
        <v>599.79</v>
      </c>
      <c r="H506" t="str">
        <f>VLOOKUP(C506,'products '!$A$1:$G$322,2,FALSE)</f>
        <v>Electra Townie Original 7D EQ - 2016</v>
      </c>
    </row>
    <row r="507" spans="1:8" x14ac:dyDescent="0.3">
      <c r="A507">
        <v>506</v>
      </c>
      <c r="B507">
        <v>1</v>
      </c>
      <c r="C507">
        <v>25</v>
      </c>
      <c r="D507" s="2">
        <v>1</v>
      </c>
      <c r="E507" s="2">
        <v>499.99</v>
      </c>
      <c r="F507">
        <v>0.1</v>
      </c>
      <c r="G507">
        <f t="shared" si="7"/>
        <v>499.89</v>
      </c>
      <c r="H507" t="str">
        <f>VLOOKUP(C507,'products '!$A$1:$G$322,2,FALSE)</f>
        <v>Electra Townie Original 7D - 2015/2016</v>
      </c>
    </row>
    <row r="508" spans="1:8" x14ac:dyDescent="0.3">
      <c r="A508">
        <v>507</v>
      </c>
      <c r="B508">
        <v>1</v>
      </c>
      <c r="C508">
        <v>11</v>
      </c>
      <c r="D508" s="2">
        <v>2</v>
      </c>
      <c r="E508" s="2">
        <v>1680.99</v>
      </c>
      <c r="F508">
        <v>0.05</v>
      </c>
      <c r="G508">
        <f t="shared" si="7"/>
        <v>3361.93</v>
      </c>
      <c r="H508" t="str">
        <f>VLOOKUP(C508,'products '!$A$1:$G$322,2,FALSE)</f>
        <v>Surly Straggler 650b - 2016</v>
      </c>
    </row>
    <row r="509" spans="1:8" x14ac:dyDescent="0.3">
      <c r="A509">
        <v>508</v>
      </c>
      <c r="B509">
        <v>1</v>
      </c>
      <c r="C509">
        <v>8</v>
      </c>
      <c r="D509" s="2">
        <v>1</v>
      </c>
      <c r="E509" s="2">
        <v>1799.99</v>
      </c>
      <c r="F509">
        <v>0.05</v>
      </c>
      <c r="G509">
        <f t="shared" si="7"/>
        <v>1799.94</v>
      </c>
      <c r="H509" t="str">
        <f>VLOOKUP(C509,'products '!$A$1:$G$322,2,FALSE)</f>
        <v>Trek Remedy 29 Carbon Frameset - 2016</v>
      </c>
    </row>
    <row r="510" spans="1:8" x14ac:dyDescent="0.3">
      <c r="A510">
        <v>509</v>
      </c>
      <c r="B510">
        <v>1</v>
      </c>
      <c r="C510">
        <v>23</v>
      </c>
      <c r="D510" s="2">
        <v>2</v>
      </c>
      <c r="E510" s="2">
        <v>299.99</v>
      </c>
      <c r="F510">
        <v>0.2</v>
      </c>
      <c r="G510">
        <f t="shared" si="7"/>
        <v>599.78</v>
      </c>
      <c r="H510" t="str">
        <f>VLOOKUP(C510,'products '!$A$1:$G$322,2,FALSE)</f>
        <v>Electra Girl's Hawaii 1 (20-inch) - 2015/2016</v>
      </c>
    </row>
    <row r="511" spans="1:8" x14ac:dyDescent="0.3">
      <c r="A511">
        <v>510</v>
      </c>
      <c r="B511">
        <v>1</v>
      </c>
      <c r="C511">
        <v>17</v>
      </c>
      <c r="D511" s="2">
        <v>1</v>
      </c>
      <c r="E511" s="2">
        <v>429</v>
      </c>
      <c r="F511">
        <v>0.1</v>
      </c>
      <c r="G511">
        <f t="shared" si="7"/>
        <v>428.9</v>
      </c>
      <c r="H511" t="str">
        <f>VLOOKUP(C511,'products '!$A$1:$G$322,2,FALSE)</f>
        <v>Pure Cycles Vine 8-Speed - 2016</v>
      </c>
    </row>
    <row r="512" spans="1:8" x14ac:dyDescent="0.3">
      <c r="A512">
        <v>511</v>
      </c>
      <c r="B512">
        <v>1</v>
      </c>
      <c r="C512">
        <v>22</v>
      </c>
      <c r="D512" s="2">
        <v>2</v>
      </c>
      <c r="E512" s="2">
        <v>269.99</v>
      </c>
      <c r="F512">
        <v>0.05</v>
      </c>
      <c r="G512">
        <f t="shared" si="7"/>
        <v>539.93000000000006</v>
      </c>
      <c r="H512" t="str">
        <f>VLOOKUP(C512,'products '!$A$1:$G$322,2,FALSE)</f>
        <v>Electra Girl's Hawaii 1 (16-inch) - 2015/2016</v>
      </c>
    </row>
    <row r="513" spans="1:8" x14ac:dyDescent="0.3">
      <c r="A513">
        <v>512</v>
      </c>
      <c r="B513">
        <v>1</v>
      </c>
      <c r="C513">
        <v>21</v>
      </c>
      <c r="D513" s="2">
        <v>1</v>
      </c>
      <c r="E513" s="2">
        <v>269.99</v>
      </c>
      <c r="F513">
        <v>7.0000000000000007E-2</v>
      </c>
      <c r="G513">
        <f t="shared" si="7"/>
        <v>269.92</v>
      </c>
      <c r="H513" t="str">
        <f>VLOOKUP(C513,'products '!$A$1:$G$322,2,FALSE)</f>
        <v>Electra Cruiser 1 (24-Inch) - 2016</v>
      </c>
    </row>
    <row r="514" spans="1:8" x14ac:dyDescent="0.3">
      <c r="A514">
        <v>513</v>
      </c>
      <c r="B514">
        <v>1</v>
      </c>
      <c r="C514">
        <v>7</v>
      </c>
      <c r="D514" s="2">
        <v>1</v>
      </c>
      <c r="E514" s="2">
        <v>3999.99</v>
      </c>
      <c r="F514">
        <v>7.0000000000000007E-2</v>
      </c>
      <c r="G514">
        <f t="shared" si="7"/>
        <v>3999.9199999999996</v>
      </c>
      <c r="H514" t="str">
        <f>VLOOKUP(C514,'products '!$A$1:$G$322,2,FALSE)</f>
        <v>Trek Slash 8 27.5 - 2016</v>
      </c>
    </row>
    <row r="515" spans="1:8" x14ac:dyDescent="0.3">
      <c r="A515">
        <v>514</v>
      </c>
      <c r="B515">
        <v>1</v>
      </c>
      <c r="C515">
        <v>18</v>
      </c>
      <c r="D515" s="2">
        <v>2</v>
      </c>
      <c r="E515" s="2">
        <v>449</v>
      </c>
      <c r="F515">
        <v>0.2</v>
      </c>
      <c r="G515">
        <f t="shared" ref="G515:G578" si="8">E515*D515-F515</f>
        <v>897.8</v>
      </c>
      <c r="H515" t="str">
        <f>VLOOKUP(C515,'products '!$A$1:$G$322,2,FALSE)</f>
        <v>Pure Cycles Western 3-Speed - Women's - 2015/2016</v>
      </c>
    </row>
    <row r="516" spans="1:8" x14ac:dyDescent="0.3">
      <c r="A516">
        <v>515</v>
      </c>
      <c r="B516">
        <v>1</v>
      </c>
      <c r="C516">
        <v>8</v>
      </c>
      <c r="D516" s="2">
        <v>1</v>
      </c>
      <c r="E516" s="2">
        <v>1799.99</v>
      </c>
      <c r="F516">
        <v>7.0000000000000007E-2</v>
      </c>
      <c r="G516">
        <f t="shared" si="8"/>
        <v>1799.92</v>
      </c>
      <c r="H516" t="str">
        <f>VLOOKUP(C516,'products '!$A$1:$G$322,2,FALSE)</f>
        <v>Trek Remedy 29 Carbon Frameset - 2016</v>
      </c>
    </row>
    <row r="517" spans="1:8" x14ac:dyDescent="0.3">
      <c r="A517">
        <v>516</v>
      </c>
      <c r="B517">
        <v>1</v>
      </c>
      <c r="C517">
        <v>7</v>
      </c>
      <c r="D517" s="2">
        <v>1</v>
      </c>
      <c r="E517" s="2">
        <v>3999.99</v>
      </c>
      <c r="F517">
        <v>0.05</v>
      </c>
      <c r="G517">
        <f t="shared" si="8"/>
        <v>3999.9399999999996</v>
      </c>
      <c r="H517" t="str">
        <f>VLOOKUP(C517,'products '!$A$1:$G$322,2,FALSE)</f>
        <v>Trek Slash 8 27.5 - 2016</v>
      </c>
    </row>
    <row r="518" spans="1:8" x14ac:dyDescent="0.3">
      <c r="A518">
        <v>517</v>
      </c>
      <c r="B518">
        <v>1</v>
      </c>
      <c r="C518">
        <v>21</v>
      </c>
      <c r="D518" s="2">
        <v>2</v>
      </c>
      <c r="E518" s="2">
        <v>269.99</v>
      </c>
      <c r="F518">
        <v>7.0000000000000007E-2</v>
      </c>
      <c r="G518">
        <f t="shared" si="8"/>
        <v>539.91</v>
      </c>
      <c r="H518" t="str">
        <f>VLOOKUP(C518,'products '!$A$1:$G$322,2,FALSE)</f>
        <v>Electra Cruiser 1 (24-Inch) - 2016</v>
      </c>
    </row>
    <row r="519" spans="1:8" x14ac:dyDescent="0.3">
      <c r="A519">
        <v>518</v>
      </c>
      <c r="B519">
        <v>1</v>
      </c>
      <c r="C519">
        <v>16</v>
      </c>
      <c r="D519" s="2">
        <v>2</v>
      </c>
      <c r="E519" s="2">
        <v>599.99</v>
      </c>
      <c r="F519">
        <v>0.2</v>
      </c>
      <c r="G519">
        <f t="shared" si="8"/>
        <v>1199.78</v>
      </c>
      <c r="H519" t="str">
        <f>VLOOKUP(C519,'products '!$A$1:$G$322,2,FALSE)</f>
        <v>Electra Townie Original 7D EQ - 2016</v>
      </c>
    </row>
    <row r="520" spans="1:8" x14ac:dyDescent="0.3">
      <c r="A520">
        <v>519</v>
      </c>
      <c r="B520">
        <v>1</v>
      </c>
      <c r="C520">
        <v>6</v>
      </c>
      <c r="D520" s="2">
        <v>1</v>
      </c>
      <c r="E520" s="2">
        <v>469.99</v>
      </c>
      <c r="F520">
        <v>7.0000000000000007E-2</v>
      </c>
      <c r="G520">
        <f t="shared" si="8"/>
        <v>469.92</v>
      </c>
      <c r="H520" t="str">
        <f>VLOOKUP(C520,'products '!$A$1:$G$322,2,FALSE)</f>
        <v>Surly Ice Cream Truck Frameset - 2016</v>
      </c>
    </row>
    <row r="521" spans="1:8" x14ac:dyDescent="0.3">
      <c r="A521">
        <v>520</v>
      </c>
      <c r="B521">
        <v>1</v>
      </c>
      <c r="C521">
        <v>26</v>
      </c>
      <c r="D521" s="2">
        <v>1</v>
      </c>
      <c r="E521" s="2">
        <v>599.99</v>
      </c>
      <c r="F521">
        <v>0.1</v>
      </c>
      <c r="G521">
        <f t="shared" si="8"/>
        <v>599.89</v>
      </c>
      <c r="H521" t="str">
        <f>VLOOKUP(C521,'products '!$A$1:$G$322,2,FALSE)</f>
        <v>Electra Townie Original 7D EQ - 2016</v>
      </c>
    </row>
    <row r="522" spans="1:8" x14ac:dyDescent="0.3">
      <c r="A522">
        <v>521</v>
      </c>
      <c r="B522">
        <v>1</v>
      </c>
      <c r="C522">
        <v>5</v>
      </c>
      <c r="D522" s="2">
        <v>1</v>
      </c>
      <c r="E522" s="2">
        <v>1320.99</v>
      </c>
      <c r="F522">
        <v>0.2</v>
      </c>
      <c r="G522">
        <f t="shared" si="8"/>
        <v>1320.79</v>
      </c>
      <c r="H522" t="str">
        <f>VLOOKUP(C522,'products '!$A$1:$G$322,2,FALSE)</f>
        <v>Heller Shagamaw Frame - 2016</v>
      </c>
    </row>
    <row r="523" spans="1:8" x14ac:dyDescent="0.3">
      <c r="A523">
        <v>522</v>
      </c>
      <c r="B523">
        <v>1</v>
      </c>
      <c r="C523">
        <v>4</v>
      </c>
      <c r="D523" s="2">
        <v>2</v>
      </c>
      <c r="E523" s="2">
        <v>2899.99</v>
      </c>
      <c r="F523">
        <v>7.0000000000000007E-2</v>
      </c>
      <c r="G523">
        <f t="shared" si="8"/>
        <v>5799.91</v>
      </c>
      <c r="H523" t="str">
        <f>VLOOKUP(C523,'products '!$A$1:$G$322,2,FALSE)</f>
        <v>Trek Fuel EX 8 29 - 2016</v>
      </c>
    </row>
    <row r="524" spans="1:8" x14ac:dyDescent="0.3">
      <c r="A524">
        <v>523</v>
      </c>
      <c r="B524">
        <v>1</v>
      </c>
      <c r="C524">
        <v>12</v>
      </c>
      <c r="D524" s="2">
        <v>1</v>
      </c>
      <c r="E524" s="2">
        <v>549.99</v>
      </c>
      <c r="F524">
        <v>0.2</v>
      </c>
      <c r="G524">
        <f t="shared" si="8"/>
        <v>549.79</v>
      </c>
      <c r="H524" t="str">
        <f>VLOOKUP(C524,'products '!$A$1:$G$322,2,FALSE)</f>
        <v>Electra Townie Original 21D - 2016</v>
      </c>
    </row>
    <row r="525" spans="1:8" x14ac:dyDescent="0.3">
      <c r="A525">
        <v>524</v>
      </c>
      <c r="B525">
        <v>1</v>
      </c>
      <c r="C525">
        <v>11</v>
      </c>
      <c r="D525" s="2">
        <v>1</v>
      </c>
      <c r="E525" s="2">
        <v>1680.99</v>
      </c>
      <c r="F525">
        <v>7.0000000000000007E-2</v>
      </c>
      <c r="G525">
        <f t="shared" si="8"/>
        <v>1680.92</v>
      </c>
      <c r="H525" t="str">
        <f>VLOOKUP(C525,'products '!$A$1:$G$322,2,FALSE)</f>
        <v>Surly Straggler 650b - 2016</v>
      </c>
    </row>
    <row r="526" spans="1:8" x14ac:dyDescent="0.3">
      <c r="A526">
        <v>525</v>
      </c>
      <c r="B526">
        <v>1</v>
      </c>
      <c r="C526">
        <v>9</v>
      </c>
      <c r="D526" s="2">
        <v>2</v>
      </c>
      <c r="E526" s="2">
        <v>2999.99</v>
      </c>
      <c r="F526">
        <v>7.0000000000000007E-2</v>
      </c>
      <c r="G526">
        <f t="shared" si="8"/>
        <v>5999.91</v>
      </c>
      <c r="H526" t="str">
        <f>VLOOKUP(C526,'products '!$A$1:$G$322,2,FALSE)</f>
        <v>Trek Conduit+ - 2016</v>
      </c>
    </row>
    <row r="527" spans="1:8" x14ac:dyDescent="0.3">
      <c r="A527">
        <v>526</v>
      </c>
      <c r="B527">
        <v>1</v>
      </c>
      <c r="C527">
        <v>3</v>
      </c>
      <c r="D527" s="2">
        <v>2</v>
      </c>
      <c r="E527" s="2">
        <v>999.99</v>
      </c>
      <c r="F527">
        <v>0.1</v>
      </c>
      <c r="G527">
        <f t="shared" si="8"/>
        <v>1999.88</v>
      </c>
      <c r="H527" t="str">
        <f>VLOOKUP(C527,'products '!$A$1:$G$322,2,FALSE)</f>
        <v>Surly Wednesday Frameset - 2016</v>
      </c>
    </row>
    <row r="528" spans="1:8" x14ac:dyDescent="0.3">
      <c r="A528">
        <v>527</v>
      </c>
      <c r="B528">
        <v>1</v>
      </c>
      <c r="C528">
        <v>18</v>
      </c>
      <c r="D528" s="2">
        <v>2</v>
      </c>
      <c r="E528" s="2">
        <v>449</v>
      </c>
      <c r="F528">
        <v>7.0000000000000007E-2</v>
      </c>
      <c r="G528">
        <f t="shared" si="8"/>
        <v>897.93</v>
      </c>
      <c r="H528" t="str">
        <f>VLOOKUP(C528,'products '!$A$1:$G$322,2,FALSE)</f>
        <v>Pure Cycles Western 3-Speed - Women's - 2015/2016</v>
      </c>
    </row>
    <row r="529" spans="1:8" x14ac:dyDescent="0.3">
      <c r="A529">
        <v>528</v>
      </c>
      <c r="B529">
        <v>1</v>
      </c>
      <c r="C529">
        <v>21</v>
      </c>
      <c r="D529" s="2">
        <v>2</v>
      </c>
      <c r="E529" s="2">
        <v>269.99</v>
      </c>
      <c r="F529">
        <v>0.05</v>
      </c>
      <c r="G529">
        <f t="shared" si="8"/>
        <v>539.93000000000006</v>
      </c>
      <c r="H529" t="str">
        <f>VLOOKUP(C529,'products '!$A$1:$G$322,2,FALSE)</f>
        <v>Electra Cruiser 1 (24-Inch) - 2016</v>
      </c>
    </row>
    <row r="530" spans="1:8" x14ac:dyDescent="0.3">
      <c r="A530">
        <v>529</v>
      </c>
      <c r="B530">
        <v>1</v>
      </c>
      <c r="C530">
        <v>12</v>
      </c>
      <c r="D530" s="2">
        <v>2</v>
      </c>
      <c r="E530" s="2">
        <v>549.99</v>
      </c>
      <c r="F530">
        <v>7.0000000000000007E-2</v>
      </c>
      <c r="G530">
        <f t="shared" si="8"/>
        <v>1099.9100000000001</v>
      </c>
      <c r="H530" t="str">
        <f>VLOOKUP(C530,'products '!$A$1:$G$322,2,FALSE)</f>
        <v>Electra Townie Original 21D - 2016</v>
      </c>
    </row>
    <row r="531" spans="1:8" x14ac:dyDescent="0.3">
      <c r="A531">
        <v>530</v>
      </c>
      <c r="B531">
        <v>1</v>
      </c>
      <c r="C531">
        <v>2</v>
      </c>
      <c r="D531" s="2">
        <v>2</v>
      </c>
      <c r="E531" s="2">
        <v>749.99</v>
      </c>
      <c r="F531">
        <v>0.05</v>
      </c>
      <c r="G531">
        <f t="shared" si="8"/>
        <v>1499.93</v>
      </c>
      <c r="H531" t="str">
        <f>VLOOKUP(C531,'products '!$A$1:$G$322,2,FALSE)</f>
        <v>Ritchey Timberwolf Frameset - 2016</v>
      </c>
    </row>
    <row r="532" spans="1:8" x14ac:dyDescent="0.3">
      <c r="A532">
        <v>531</v>
      </c>
      <c r="B532">
        <v>1</v>
      </c>
      <c r="C532">
        <v>6</v>
      </c>
      <c r="D532" s="2">
        <v>1</v>
      </c>
      <c r="E532" s="2">
        <v>469.99</v>
      </c>
      <c r="F532">
        <v>0.2</v>
      </c>
      <c r="G532">
        <f t="shared" si="8"/>
        <v>469.79</v>
      </c>
      <c r="H532" t="str">
        <f>VLOOKUP(C532,'products '!$A$1:$G$322,2,FALSE)</f>
        <v>Surly Ice Cream Truck Frameset - 2016</v>
      </c>
    </row>
    <row r="533" spans="1:8" x14ac:dyDescent="0.3">
      <c r="A533">
        <v>532</v>
      </c>
      <c r="B533">
        <v>1</v>
      </c>
      <c r="C533">
        <v>17</v>
      </c>
      <c r="D533" s="2">
        <v>2</v>
      </c>
      <c r="E533" s="2">
        <v>429</v>
      </c>
      <c r="F533">
        <v>7.0000000000000007E-2</v>
      </c>
      <c r="G533">
        <f t="shared" si="8"/>
        <v>857.93</v>
      </c>
      <c r="H533" t="str">
        <f>VLOOKUP(C533,'products '!$A$1:$G$322,2,FALSE)</f>
        <v>Pure Cycles Vine 8-Speed - 2016</v>
      </c>
    </row>
    <row r="534" spans="1:8" x14ac:dyDescent="0.3">
      <c r="A534">
        <v>533</v>
      </c>
      <c r="B534">
        <v>1</v>
      </c>
      <c r="C534">
        <v>4</v>
      </c>
      <c r="D534" s="2">
        <v>1</v>
      </c>
      <c r="E534" s="2">
        <v>2899.99</v>
      </c>
      <c r="F534">
        <v>0.2</v>
      </c>
      <c r="G534">
        <f t="shared" si="8"/>
        <v>2899.79</v>
      </c>
      <c r="H534" t="str">
        <f>VLOOKUP(C534,'products '!$A$1:$G$322,2,FALSE)</f>
        <v>Trek Fuel EX 8 29 - 2016</v>
      </c>
    </row>
    <row r="535" spans="1:8" x14ac:dyDescent="0.3">
      <c r="A535">
        <v>534</v>
      </c>
      <c r="B535">
        <v>1</v>
      </c>
      <c r="C535">
        <v>21</v>
      </c>
      <c r="D535" s="2">
        <v>2</v>
      </c>
      <c r="E535" s="2">
        <v>269.99</v>
      </c>
      <c r="F535">
        <v>0.05</v>
      </c>
      <c r="G535">
        <f t="shared" si="8"/>
        <v>539.93000000000006</v>
      </c>
      <c r="H535" t="str">
        <f>VLOOKUP(C535,'products '!$A$1:$G$322,2,FALSE)</f>
        <v>Electra Cruiser 1 (24-Inch) - 2016</v>
      </c>
    </row>
    <row r="536" spans="1:8" x14ac:dyDescent="0.3">
      <c r="A536">
        <v>535</v>
      </c>
      <c r="B536">
        <v>1</v>
      </c>
      <c r="C536">
        <v>24</v>
      </c>
      <c r="D536" s="2">
        <v>1</v>
      </c>
      <c r="E536" s="2">
        <v>549.99</v>
      </c>
      <c r="F536">
        <v>0.05</v>
      </c>
      <c r="G536">
        <f t="shared" si="8"/>
        <v>549.94000000000005</v>
      </c>
      <c r="H536" t="str">
        <f>VLOOKUP(C536,'products '!$A$1:$G$322,2,FALSE)</f>
        <v>Electra Townie Original 21D - 2016</v>
      </c>
    </row>
    <row r="537" spans="1:8" x14ac:dyDescent="0.3">
      <c r="A537">
        <v>536</v>
      </c>
      <c r="B537">
        <v>1</v>
      </c>
      <c r="C537">
        <v>22</v>
      </c>
      <c r="D537" s="2">
        <v>1</v>
      </c>
      <c r="E537" s="2">
        <v>269.99</v>
      </c>
      <c r="F537">
        <v>0.1</v>
      </c>
      <c r="G537">
        <f t="shared" si="8"/>
        <v>269.89</v>
      </c>
      <c r="H537" t="str">
        <f>VLOOKUP(C537,'products '!$A$1:$G$322,2,FALSE)</f>
        <v>Electra Girl's Hawaii 1 (16-inch) - 2015/2016</v>
      </c>
    </row>
    <row r="538" spans="1:8" x14ac:dyDescent="0.3">
      <c r="A538">
        <v>537</v>
      </c>
      <c r="B538">
        <v>1</v>
      </c>
      <c r="C538">
        <v>10</v>
      </c>
      <c r="D538" s="2">
        <v>1</v>
      </c>
      <c r="E538" s="2">
        <v>1549</v>
      </c>
      <c r="F538">
        <v>0.05</v>
      </c>
      <c r="G538">
        <f t="shared" si="8"/>
        <v>1548.95</v>
      </c>
      <c r="H538" t="str">
        <f>VLOOKUP(C538,'products '!$A$1:$G$322,2,FALSE)</f>
        <v>Surly Straggler - 2016</v>
      </c>
    </row>
    <row r="539" spans="1:8" x14ac:dyDescent="0.3">
      <c r="A539">
        <v>538</v>
      </c>
      <c r="B539">
        <v>1</v>
      </c>
      <c r="C539">
        <v>2</v>
      </c>
      <c r="D539" s="2">
        <v>2</v>
      </c>
      <c r="E539" s="2">
        <v>749.99</v>
      </c>
      <c r="F539">
        <v>0.2</v>
      </c>
      <c r="G539">
        <f t="shared" si="8"/>
        <v>1499.78</v>
      </c>
      <c r="H539" t="str">
        <f>VLOOKUP(C539,'products '!$A$1:$G$322,2,FALSE)</f>
        <v>Ritchey Timberwolf Frameset - 2016</v>
      </c>
    </row>
    <row r="540" spans="1:8" x14ac:dyDescent="0.3">
      <c r="A540">
        <v>539</v>
      </c>
      <c r="B540">
        <v>1</v>
      </c>
      <c r="C540">
        <v>9</v>
      </c>
      <c r="D540" s="2">
        <v>2</v>
      </c>
      <c r="E540" s="2">
        <v>2999.99</v>
      </c>
      <c r="F540">
        <v>0.1</v>
      </c>
      <c r="G540">
        <f t="shared" si="8"/>
        <v>5999.8799999999992</v>
      </c>
      <c r="H540" t="str">
        <f>VLOOKUP(C540,'products '!$A$1:$G$322,2,FALSE)</f>
        <v>Trek Conduit+ - 2016</v>
      </c>
    </row>
    <row r="541" spans="1:8" x14ac:dyDescent="0.3">
      <c r="A541">
        <v>540</v>
      </c>
      <c r="B541">
        <v>1</v>
      </c>
      <c r="C541">
        <v>19</v>
      </c>
      <c r="D541" s="2">
        <v>1</v>
      </c>
      <c r="E541" s="2">
        <v>449</v>
      </c>
      <c r="F541">
        <v>0.1</v>
      </c>
      <c r="G541">
        <f t="shared" si="8"/>
        <v>448.9</v>
      </c>
      <c r="H541" t="str">
        <f>VLOOKUP(C541,'products '!$A$1:$G$322,2,FALSE)</f>
        <v>Pure Cycles William 3-Speed - 2016</v>
      </c>
    </row>
    <row r="542" spans="1:8" x14ac:dyDescent="0.3">
      <c r="A542">
        <v>541</v>
      </c>
      <c r="B542">
        <v>1</v>
      </c>
      <c r="C542">
        <v>22</v>
      </c>
      <c r="D542" s="2">
        <v>2</v>
      </c>
      <c r="E542" s="2">
        <v>269.99</v>
      </c>
      <c r="F542">
        <v>0.05</v>
      </c>
      <c r="G542">
        <f t="shared" si="8"/>
        <v>539.93000000000006</v>
      </c>
      <c r="H542" t="str">
        <f>VLOOKUP(C542,'products '!$A$1:$G$322,2,FALSE)</f>
        <v>Electra Girl's Hawaii 1 (16-inch) - 2015/2016</v>
      </c>
    </row>
    <row r="543" spans="1:8" x14ac:dyDescent="0.3">
      <c r="A543">
        <v>542</v>
      </c>
      <c r="B543">
        <v>1</v>
      </c>
      <c r="C543">
        <v>16</v>
      </c>
      <c r="D543" s="2">
        <v>2</v>
      </c>
      <c r="E543" s="2">
        <v>599.99</v>
      </c>
      <c r="F543">
        <v>0.2</v>
      </c>
      <c r="G543">
        <f t="shared" si="8"/>
        <v>1199.78</v>
      </c>
      <c r="H543" t="str">
        <f>VLOOKUP(C543,'products '!$A$1:$G$322,2,FALSE)</f>
        <v>Electra Townie Original 7D EQ - 2016</v>
      </c>
    </row>
    <row r="544" spans="1:8" x14ac:dyDescent="0.3">
      <c r="A544">
        <v>543</v>
      </c>
      <c r="B544">
        <v>1</v>
      </c>
      <c r="C544">
        <v>25</v>
      </c>
      <c r="D544" s="2">
        <v>1</v>
      </c>
      <c r="E544" s="2">
        <v>499.99</v>
      </c>
      <c r="F544">
        <v>0.2</v>
      </c>
      <c r="G544">
        <f t="shared" si="8"/>
        <v>499.79</v>
      </c>
      <c r="H544" t="str">
        <f>VLOOKUP(C544,'products '!$A$1:$G$322,2,FALSE)</f>
        <v>Electra Townie Original 7D - 2015/2016</v>
      </c>
    </row>
    <row r="545" spans="1:8" x14ac:dyDescent="0.3">
      <c r="A545">
        <v>544</v>
      </c>
      <c r="B545">
        <v>1</v>
      </c>
      <c r="C545">
        <v>12</v>
      </c>
      <c r="D545" s="2">
        <v>1</v>
      </c>
      <c r="E545" s="2">
        <v>549.99</v>
      </c>
      <c r="F545">
        <v>0.05</v>
      </c>
      <c r="G545">
        <f t="shared" si="8"/>
        <v>549.94000000000005</v>
      </c>
      <c r="H545" t="str">
        <f>VLOOKUP(C545,'products '!$A$1:$G$322,2,FALSE)</f>
        <v>Electra Townie Original 21D - 2016</v>
      </c>
    </row>
    <row r="546" spans="1:8" x14ac:dyDescent="0.3">
      <c r="A546">
        <v>545</v>
      </c>
      <c r="B546">
        <v>1</v>
      </c>
      <c r="C546">
        <v>25</v>
      </c>
      <c r="D546" s="2">
        <v>2</v>
      </c>
      <c r="E546" s="2">
        <v>499.99</v>
      </c>
      <c r="F546">
        <v>0.2</v>
      </c>
      <c r="G546">
        <f t="shared" si="8"/>
        <v>999.78</v>
      </c>
      <c r="H546" t="str">
        <f>VLOOKUP(C546,'products '!$A$1:$G$322,2,FALSE)</f>
        <v>Electra Townie Original 7D - 2015/2016</v>
      </c>
    </row>
    <row r="547" spans="1:8" x14ac:dyDescent="0.3">
      <c r="A547">
        <v>546</v>
      </c>
      <c r="B547">
        <v>1</v>
      </c>
      <c r="C547">
        <v>17</v>
      </c>
      <c r="D547" s="2">
        <v>2</v>
      </c>
      <c r="E547" s="2">
        <v>429</v>
      </c>
      <c r="F547">
        <v>0.05</v>
      </c>
      <c r="G547">
        <f t="shared" si="8"/>
        <v>857.95</v>
      </c>
      <c r="H547" t="str">
        <f>VLOOKUP(C547,'products '!$A$1:$G$322,2,FALSE)</f>
        <v>Pure Cycles Vine 8-Speed - 2016</v>
      </c>
    </row>
    <row r="548" spans="1:8" x14ac:dyDescent="0.3">
      <c r="A548">
        <v>547</v>
      </c>
      <c r="B548">
        <v>1</v>
      </c>
      <c r="C548">
        <v>11</v>
      </c>
      <c r="D548" s="2">
        <v>2</v>
      </c>
      <c r="E548" s="2">
        <v>1680.99</v>
      </c>
      <c r="F548">
        <v>0.05</v>
      </c>
      <c r="G548">
        <f t="shared" si="8"/>
        <v>3361.93</v>
      </c>
      <c r="H548" t="str">
        <f>VLOOKUP(C548,'products '!$A$1:$G$322,2,FALSE)</f>
        <v>Surly Straggler 650b - 2016</v>
      </c>
    </row>
    <row r="549" spans="1:8" x14ac:dyDescent="0.3">
      <c r="A549">
        <v>548</v>
      </c>
      <c r="B549">
        <v>1</v>
      </c>
      <c r="C549">
        <v>8</v>
      </c>
      <c r="D549" s="2">
        <v>1</v>
      </c>
      <c r="E549" s="2">
        <v>1799.99</v>
      </c>
      <c r="F549">
        <v>0.1</v>
      </c>
      <c r="G549">
        <f t="shared" si="8"/>
        <v>1799.89</v>
      </c>
      <c r="H549" t="str">
        <f>VLOOKUP(C549,'products '!$A$1:$G$322,2,FALSE)</f>
        <v>Trek Remedy 29 Carbon Frameset - 2016</v>
      </c>
    </row>
    <row r="550" spans="1:8" x14ac:dyDescent="0.3">
      <c r="A550">
        <v>549</v>
      </c>
      <c r="B550">
        <v>1</v>
      </c>
      <c r="C550">
        <v>15</v>
      </c>
      <c r="D550" s="2">
        <v>1</v>
      </c>
      <c r="E550" s="2">
        <v>529.99</v>
      </c>
      <c r="F550">
        <v>7.0000000000000007E-2</v>
      </c>
      <c r="G550">
        <f t="shared" si="8"/>
        <v>529.91999999999996</v>
      </c>
      <c r="H550" t="str">
        <f>VLOOKUP(C550,'products '!$A$1:$G$322,2,FALSE)</f>
        <v>Electra Moto 1 - 2016</v>
      </c>
    </row>
    <row r="551" spans="1:8" x14ac:dyDescent="0.3">
      <c r="A551">
        <v>550</v>
      </c>
      <c r="B551">
        <v>1</v>
      </c>
      <c r="C551">
        <v>4</v>
      </c>
      <c r="D551" s="2">
        <v>1</v>
      </c>
      <c r="E551" s="2">
        <v>2899.99</v>
      </c>
      <c r="F551">
        <v>0.05</v>
      </c>
      <c r="G551">
        <f t="shared" si="8"/>
        <v>2899.9399999999996</v>
      </c>
      <c r="H551" t="str">
        <f>VLOOKUP(C551,'products '!$A$1:$G$322,2,FALSE)</f>
        <v>Trek Fuel EX 8 29 - 2016</v>
      </c>
    </row>
    <row r="552" spans="1:8" x14ac:dyDescent="0.3">
      <c r="A552">
        <v>551</v>
      </c>
      <c r="B552">
        <v>1</v>
      </c>
      <c r="C552">
        <v>16</v>
      </c>
      <c r="D552" s="2">
        <v>1</v>
      </c>
      <c r="E552" s="2">
        <v>599.99</v>
      </c>
      <c r="F552">
        <v>0.05</v>
      </c>
      <c r="G552">
        <f t="shared" si="8"/>
        <v>599.94000000000005</v>
      </c>
      <c r="H552" t="str">
        <f>VLOOKUP(C552,'products '!$A$1:$G$322,2,FALSE)</f>
        <v>Electra Townie Original 7D EQ - 2016</v>
      </c>
    </row>
    <row r="553" spans="1:8" x14ac:dyDescent="0.3">
      <c r="A553">
        <v>552</v>
      </c>
      <c r="B553">
        <v>1</v>
      </c>
      <c r="C553">
        <v>23</v>
      </c>
      <c r="D553" s="2">
        <v>1</v>
      </c>
      <c r="E553" s="2">
        <v>299.99</v>
      </c>
      <c r="F553">
        <v>0.2</v>
      </c>
      <c r="G553">
        <f t="shared" si="8"/>
        <v>299.79000000000002</v>
      </c>
      <c r="H553" t="str">
        <f>VLOOKUP(C553,'products '!$A$1:$G$322,2,FALSE)</f>
        <v>Electra Girl's Hawaii 1 (20-inch) - 2015/2016</v>
      </c>
    </row>
    <row r="554" spans="1:8" x14ac:dyDescent="0.3">
      <c r="A554">
        <v>553</v>
      </c>
      <c r="B554">
        <v>1</v>
      </c>
      <c r="C554">
        <v>24</v>
      </c>
      <c r="D554" s="2">
        <v>1</v>
      </c>
      <c r="E554" s="2">
        <v>549.99</v>
      </c>
      <c r="F554">
        <v>0.1</v>
      </c>
      <c r="G554">
        <f t="shared" si="8"/>
        <v>549.89</v>
      </c>
      <c r="H554" t="str">
        <f>VLOOKUP(C554,'products '!$A$1:$G$322,2,FALSE)</f>
        <v>Electra Townie Original 21D - 2016</v>
      </c>
    </row>
    <row r="555" spans="1:8" x14ac:dyDescent="0.3">
      <c r="A555">
        <v>554</v>
      </c>
      <c r="B555">
        <v>1</v>
      </c>
      <c r="C555">
        <v>3</v>
      </c>
      <c r="D555" s="2">
        <v>2</v>
      </c>
      <c r="E555" s="2">
        <v>999.99</v>
      </c>
      <c r="F555">
        <v>7.0000000000000007E-2</v>
      </c>
      <c r="G555">
        <f t="shared" si="8"/>
        <v>1999.91</v>
      </c>
      <c r="H555" t="str">
        <f>VLOOKUP(C555,'products '!$A$1:$G$322,2,FALSE)</f>
        <v>Surly Wednesday Frameset - 2016</v>
      </c>
    </row>
    <row r="556" spans="1:8" x14ac:dyDescent="0.3">
      <c r="A556">
        <v>555</v>
      </c>
      <c r="B556">
        <v>1</v>
      </c>
      <c r="C556">
        <v>8</v>
      </c>
      <c r="D556" s="2">
        <v>1</v>
      </c>
      <c r="E556" s="2">
        <v>1799.99</v>
      </c>
      <c r="F556">
        <v>0.2</v>
      </c>
      <c r="G556">
        <f t="shared" si="8"/>
        <v>1799.79</v>
      </c>
      <c r="H556" t="str">
        <f>VLOOKUP(C556,'products '!$A$1:$G$322,2,FALSE)</f>
        <v>Trek Remedy 29 Carbon Frameset - 2016</v>
      </c>
    </row>
    <row r="557" spans="1:8" x14ac:dyDescent="0.3">
      <c r="A557">
        <v>556</v>
      </c>
      <c r="B557">
        <v>1</v>
      </c>
      <c r="C557">
        <v>16</v>
      </c>
      <c r="D557" s="2">
        <v>1</v>
      </c>
      <c r="E557" s="2">
        <v>599.99</v>
      </c>
      <c r="F557">
        <v>0.1</v>
      </c>
      <c r="G557">
        <f t="shared" si="8"/>
        <v>599.89</v>
      </c>
      <c r="H557" t="str">
        <f>VLOOKUP(C557,'products '!$A$1:$G$322,2,FALSE)</f>
        <v>Electra Townie Original 7D EQ - 2016</v>
      </c>
    </row>
    <row r="558" spans="1:8" x14ac:dyDescent="0.3">
      <c r="A558">
        <v>557</v>
      </c>
      <c r="B558">
        <v>1</v>
      </c>
      <c r="C558">
        <v>9</v>
      </c>
      <c r="D558" s="2">
        <v>2</v>
      </c>
      <c r="E558" s="2">
        <v>2999.99</v>
      </c>
      <c r="F558">
        <v>0.1</v>
      </c>
      <c r="G558">
        <f t="shared" si="8"/>
        <v>5999.8799999999992</v>
      </c>
      <c r="H558" t="str">
        <f>VLOOKUP(C558,'products '!$A$1:$G$322,2,FALSE)</f>
        <v>Trek Conduit+ - 2016</v>
      </c>
    </row>
    <row r="559" spans="1:8" x14ac:dyDescent="0.3">
      <c r="A559">
        <v>558</v>
      </c>
      <c r="B559">
        <v>1</v>
      </c>
      <c r="C559">
        <v>7</v>
      </c>
      <c r="D559" s="2">
        <v>1</v>
      </c>
      <c r="E559" s="2">
        <v>3999.99</v>
      </c>
      <c r="F559">
        <v>7.0000000000000007E-2</v>
      </c>
      <c r="G559">
        <f t="shared" si="8"/>
        <v>3999.9199999999996</v>
      </c>
      <c r="H559" t="str">
        <f>VLOOKUP(C559,'products '!$A$1:$G$322,2,FALSE)</f>
        <v>Trek Slash 8 27.5 - 2016</v>
      </c>
    </row>
    <row r="560" spans="1:8" x14ac:dyDescent="0.3">
      <c r="A560">
        <v>559</v>
      </c>
      <c r="B560">
        <v>1</v>
      </c>
      <c r="C560">
        <v>15</v>
      </c>
      <c r="D560" s="2">
        <v>2</v>
      </c>
      <c r="E560" s="2">
        <v>529.99</v>
      </c>
      <c r="F560">
        <v>0.1</v>
      </c>
      <c r="G560">
        <f t="shared" si="8"/>
        <v>1059.8800000000001</v>
      </c>
      <c r="H560" t="str">
        <f>VLOOKUP(C560,'products '!$A$1:$G$322,2,FALSE)</f>
        <v>Electra Moto 1 - 2016</v>
      </c>
    </row>
    <row r="561" spans="1:8" x14ac:dyDescent="0.3">
      <c r="A561">
        <v>560</v>
      </c>
      <c r="B561">
        <v>1</v>
      </c>
      <c r="C561">
        <v>16</v>
      </c>
      <c r="D561" s="2">
        <v>1</v>
      </c>
      <c r="E561" s="2">
        <v>599.99</v>
      </c>
      <c r="F561">
        <v>0.05</v>
      </c>
      <c r="G561">
        <f t="shared" si="8"/>
        <v>599.94000000000005</v>
      </c>
      <c r="H561" t="str">
        <f>VLOOKUP(C561,'products '!$A$1:$G$322,2,FALSE)</f>
        <v>Electra Townie Original 7D EQ - 2016</v>
      </c>
    </row>
    <row r="562" spans="1:8" x14ac:dyDescent="0.3">
      <c r="A562">
        <v>561</v>
      </c>
      <c r="B562">
        <v>1</v>
      </c>
      <c r="C562">
        <v>15</v>
      </c>
      <c r="D562" s="2">
        <v>2</v>
      </c>
      <c r="E562" s="2">
        <v>529.99</v>
      </c>
      <c r="F562">
        <v>0.05</v>
      </c>
      <c r="G562">
        <f t="shared" si="8"/>
        <v>1059.93</v>
      </c>
      <c r="H562" t="str">
        <f>VLOOKUP(C562,'products '!$A$1:$G$322,2,FALSE)</f>
        <v>Electra Moto 1 - 2016</v>
      </c>
    </row>
    <row r="563" spans="1:8" x14ac:dyDescent="0.3">
      <c r="A563">
        <v>562</v>
      </c>
      <c r="B563">
        <v>1</v>
      </c>
      <c r="C563">
        <v>25</v>
      </c>
      <c r="D563" s="2">
        <v>2</v>
      </c>
      <c r="E563" s="2">
        <v>499.99</v>
      </c>
      <c r="F563">
        <v>7.0000000000000007E-2</v>
      </c>
      <c r="G563">
        <f t="shared" si="8"/>
        <v>999.91</v>
      </c>
      <c r="H563" t="str">
        <f>VLOOKUP(C563,'products '!$A$1:$G$322,2,FALSE)</f>
        <v>Electra Townie Original 7D - 2015/2016</v>
      </c>
    </row>
    <row r="564" spans="1:8" x14ac:dyDescent="0.3">
      <c r="A564">
        <v>563</v>
      </c>
      <c r="B564">
        <v>1</v>
      </c>
      <c r="C564">
        <v>6</v>
      </c>
      <c r="D564" s="2">
        <v>2</v>
      </c>
      <c r="E564" s="2">
        <v>469.99</v>
      </c>
      <c r="F564">
        <v>0.1</v>
      </c>
      <c r="G564">
        <f t="shared" si="8"/>
        <v>939.88</v>
      </c>
      <c r="H564" t="str">
        <f>VLOOKUP(C564,'products '!$A$1:$G$322,2,FALSE)</f>
        <v>Surly Ice Cream Truck Frameset - 2016</v>
      </c>
    </row>
    <row r="565" spans="1:8" x14ac:dyDescent="0.3">
      <c r="A565">
        <v>564</v>
      </c>
      <c r="B565">
        <v>1</v>
      </c>
      <c r="C565">
        <v>4</v>
      </c>
      <c r="D565" s="2">
        <v>1</v>
      </c>
      <c r="E565" s="2">
        <v>2899.99</v>
      </c>
      <c r="F565">
        <v>0.2</v>
      </c>
      <c r="G565">
        <f t="shared" si="8"/>
        <v>2899.79</v>
      </c>
      <c r="H565" t="str">
        <f>VLOOKUP(C565,'products '!$A$1:$G$322,2,FALSE)</f>
        <v>Trek Fuel EX 8 29 - 2016</v>
      </c>
    </row>
    <row r="566" spans="1:8" x14ac:dyDescent="0.3">
      <c r="A566">
        <v>565</v>
      </c>
      <c r="B566">
        <v>1</v>
      </c>
      <c r="C566">
        <v>18</v>
      </c>
      <c r="D566" s="2">
        <v>1</v>
      </c>
      <c r="E566" s="2">
        <v>449</v>
      </c>
      <c r="F566">
        <v>0.2</v>
      </c>
      <c r="G566">
        <f t="shared" si="8"/>
        <v>448.8</v>
      </c>
      <c r="H566" t="str">
        <f>VLOOKUP(C566,'products '!$A$1:$G$322,2,FALSE)</f>
        <v>Pure Cycles Western 3-Speed - Women's - 2015/2016</v>
      </c>
    </row>
    <row r="567" spans="1:8" x14ac:dyDescent="0.3">
      <c r="A567">
        <v>566</v>
      </c>
      <c r="B567">
        <v>1</v>
      </c>
      <c r="C567">
        <v>24</v>
      </c>
      <c r="D567" s="2">
        <v>2</v>
      </c>
      <c r="E567" s="2">
        <v>549.99</v>
      </c>
      <c r="F567">
        <v>7.0000000000000007E-2</v>
      </c>
      <c r="G567">
        <f t="shared" si="8"/>
        <v>1099.9100000000001</v>
      </c>
      <c r="H567" t="str">
        <f>VLOOKUP(C567,'products '!$A$1:$G$322,2,FALSE)</f>
        <v>Electra Townie Original 21D - 2016</v>
      </c>
    </row>
    <row r="568" spans="1:8" x14ac:dyDescent="0.3">
      <c r="A568">
        <v>567</v>
      </c>
      <c r="B568">
        <v>1</v>
      </c>
      <c r="C568">
        <v>9</v>
      </c>
      <c r="D568" s="2">
        <v>1</v>
      </c>
      <c r="E568" s="2">
        <v>2999.99</v>
      </c>
      <c r="F568">
        <v>0.2</v>
      </c>
      <c r="G568">
        <f t="shared" si="8"/>
        <v>2999.79</v>
      </c>
      <c r="H568" t="str">
        <f>VLOOKUP(C568,'products '!$A$1:$G$322,2,FALSE)</f>
        <v>Trek Conduit+ - 2016</v>
      </c>
    </row>
    <row r="569" spans="1:8" x14ac:dyDescent="0.3">
      <c r="A569">
        <v>568</v>
      </c>
      <c r="B569">
        <v>1</v>
      </c>
      <c r="C569">
        <v>5</v>
      </c>
      <c r="D569" s="2">
        <v>1</v>
      </c>
      <c r="E569" s="2">
        <v>1320.99</v>
      </c>
      <c r="F569">
        <v>0.05</v>
      </c>
      <c r="G569">
        <f t="shared" si="8"/>
        <v>1320.94</v>
      </c>
      <c r="H569" t="str">
        <f>VLOOKUP(C569,'products '!$A$1:$G$322,2,FALSE)</f>
        <v>Heller Shagamaw Frame - 2016</v>
      </c>
    </row>
    <row r="570" spans="1:8" x14ac:dyDescent="0.3">
      <c r="A570">
        <v>569</v>
      </c>
      <c r="B570">
        <v>1</v>
      </c>
      <c r="C570">
        <v>16</v>
      </c>
      <c r="D570" s="2">
        <v>1</v>
      </c>
      <c r="E570" s="2">
        <v>599.99</v>
      </c>
      <c r="F570">
        <v>0.05</v>
      </c>
      <c r="G570">
        <f t="shared" si="8"/>
        <v>599.94000000000005</v>
      </c>
      <c r="H570" t="str">
        <f>VLOOKUP(C570,'products '!$A$1:$G$322,2,FALSE)</f>
        <v>Electra Townie Original 7D EQ - 2016</v>
      </c>
    </row>
    <row r="571" spans="1:8" x14ac:dyDescent="0.3">
      <c r="A571">
        <v>570</v>
      </c>
      <c r="B571">
        <v>1</v>
      </c>
      <c r="C571">
        <v>18</v>
      </c>
      <c r="D571" s="2">
        <v>1</v>
      </c>
      <c r="E571" s="2">
        <v>449</v>
      </c>
      <c r="F571">
        <v>7.0000000000000007E-2</v>
      </c>
      <c r="G571">
        <f t="shared" si="8"/>
        <v>448.93</v>
      </c>
      <c r="H571" t="str">
        <f>VLOOKUP(C571,'products '!$A$1:$G$322,2,FALSE)</f>
        <v>Pure Cycles Western 3-Speed - Women's - 2015/2016</v>
      </c>
    </row>
    <row r="572" spans="1:8" x14ac:dyDescent="0.3">
      <c r="A572">
        <v>571</v>
      </c>
      <c r="B572">
        <v>1</v>
      </c>
      <c r="C572">
        <v>4</v>
      </c>
      <c r="D572" s="2">
        <v>1</v>
      </c>
      <c r="E572" s="2">
        <v>2899.99</v>
      </c>
      <c r="F572">
        <v>0.05</v>
      </c>
      <c r="G572">
        <f t="shared" si="8"/>
        <v>2899.9399999999996</v>
      </c>
      <c r="H572" t="str">
        <f>VLOOKUP(C572,'products '!$A$1:$G$322,2,FALSE)</f>
        <v>Trek Fuel EX 8 29 - 2016</v>
      </c>
    </row>
    <row r="573" spans="1:8" x14ac:dyDescent="0.3">
      <c r="A573">
        <v>572</v>
      </c>
      <c r="B573">
        <v>1</v>
      </c>
      <c r="C573">
        <v>3</v>
      </c>
      <c r="D573" s="2">
        <v>1</v>
      </c>
      <c r="E573" s="2">
        <v>999.99</v>
      </c>
      <c r="F573">
        <v>0.05</v>
      </c>
      <c r="G573">
        <f t="shared" si="8"/>
        <v>999.94</v>
      </c>
      <c r="H573" t="str">
        <f>VLOOKUP(C573,'products '!$A$1:$G$322,2,FALSE)</f>
        <v>Surly Wednesday Frameset - 2016</v>
      </c>
    </row>
    <row r="574" spans="1:8" x14ac:dyDescent="0.3">
      <c r="A574">
        <v>573</v>
      </c>
      <c r="B574">
        <v>1</v>
      </c>
      <c r="C574">
        <v>2</v>
      </c>
      <c r="D574" s="2">
        <v>1</v>
      </c>
      <c r="E574" s="2">
        <v>749.99</v>
      </c>
      <c r="F574">
        <v>0.2</v>
      </c>
      <c r="G574">
        <f t="shared" si="8"/>
        <v>749.79</v>
      </c>
      <c r="H574" t="str">
        <f>VLOOKUP(C574,'products '!$A$1:$G$322,2,FALSE)</f>
        <v>Ritchey Timberwolf Frameset - 2016</v>
      </c>
    </row>
    <row r="575" spans="1:8" x14ac:dyDescent="0.3">
      <c r="A575">
        <v>574</v>
      </c>
      <c r="B575">
        <v>1</v>
      </c>
      <c r="C575">
        <v>26</v>
      </c>
      <c r="D575" s="2">
        <v>1</v>
      </c>
      <c r="E575" s="2">
        <v>599.99</v>
      </c>
      <c r="F575">
        <v>0.05</v>
      </c>
      <c r="G575">
        <f t="shared" si="8"/>
        <v>599.94000000000005</v>
      </c>
      <c r="H575" t="str">
        <f>VLOOKUP(C575,'products '!$A$1:$G$322,2,FALSE)</f>
        <v>Electra Townie Original 7D EQ - 2016</v>
      </c>
    </row>
    <row r="576" spans="1:8" x14ac:dyDescent="0.3">
      <c r="A576">
        <v>575</v>
      </c>
      <c r="B576">
        <v>1</v>
      </c>
      <c r="C576">
        <v>4</v>
      </c>
      <c r="D576" s="2">
        <v>2</v>
      </c>
      <c r="E576" s="2">
        <v>2899.99</v>
      </c>
      <c r="F576">
        <v>7.0000000000000007E-2</v>
      </c>
      <c r="G576">
        <f t="shared" si="8"/>
        <v>5799.91</v>
      </c>
      <c r="H576" t="str">
        <f>VLOOKUP(C576,'products '!$A$1:$G$322,2,FALSE)</f>
        <v>Trek Fuel EX 8 29 - 2016</v>
      </c>
    </row>
    <row r="577" spans="1:8" x14ac:dyDescent="0.3">
      <c r="A577">
        <v>576</v>
      </c>
      <c r="B577">
        <v>1</v>
      </c>
      <c r="C577">
        <v>9</v>
      </c>
      <c r="D577" s="2">
        <v>1</v>
      </c>
      <c r="E577" s="2">
        <v>2999.99</v>
      </c>
      <c r="F577">
        <v>0.1</v>
      </c>
      <c r="G577">
        <f t="shared" si="8"/>
        <v>2999.89</v>
      </c>
      <c r="H577" t="str">
        <f>VLOOKUP(C577,'products '!$A$1:$G$322,2,FALSE)</f>
        <v>Trek Conduit+ - 2016</v>
      </c>
    </row>
    <row r="578" spans="1:8" x14ac:dyDescent="0.3">
      <c r="A578">
        <v>577</v>
      </c>
      <c r="B578">
        <v>1</v>
      </c>
      <c r="C578">
        <v>3</v>
      </c>
      <c r="D578" s="2">
        <v>2</v>
      </c>
      <c r="E578" s="2">
        <v>999.99</v>
      </c>
      <c r="F578">
        <v>0.2</v>
      </c>
      <c r="G578">
        <f t="shared" si="8"/>
        <v>1999.78</v>
      </c>
      <c r="H578" t="str">
        <f>VLOOKUP(C578,'products '!$A$1:$G$322,2,FALSE)</f>
        <v>Surly Wednesday Frameset - 2016</v>
      </c>
    </row>
    <row r="579" spans="1:8" x14ac:dyDescent="0.3">
      <c r="A579">
        <v>578</v>
      </c>
      <c r="B579">
        <v>1</v>
      </c>
      <c r="C579">
        <v>21</v>
      </c>
      <c r="D579" s="2">
        <v>1</v>
      </c>
      <c r="E579" s="2">
        <v>269.99</v>
      </c>
      <c r="F579">
        <v>7.0000000000000007E-2</v>
      </c>
      <c r="G579">
        <f t="shared" ref="G579:G642" si="9">E579*D579-F579</f>
        <v>269.92</v>
      </c>
      <c r="H579" t="str">
        <f>VLOOKUP(C579,'products '!$A$1:$G$322,2,FALSE)</f>
        <v>Electra Cruiser 1 (24-Inch) - 2016</v>
      </c>
    </row>
    <row r="580" spans="1:8" x14ac:dyDescent="0.3">
      <c r="A580">
        <v>579</v>
      </c>
      <c r="B580">
        <v>1</v>
      </c>
      <c r="C580">
        <v>7</v>
      </c>
      <c r="D580" s="2">
        <v>2</v>
      </c>
      <c r="E580" s="2">
        <v>3999.99</v>
      </c>
      <c r="F580">
        <v>0.05</v>
      </c>
      <c r="G580">
        <f t="shared" si="9"/>
        <v>7999.9299999999994</v>
      </c>
      <c r="H580" t="str">
        <f>VLOOKUP(C580,'products '!$A$1:$G$322,2,FALSE)</f>
        <v>Trek Slash 8 27.5 - 2016</v>
      </c>
    </row>
    <row r="581" spans="1:8" x14ac:dyDescent="0.3">
      <c r="A581">
        <v>580</v>
      </c>
      <c r="B581">
        <v>1</v>
      </c>
      <c r="C581">
        <v>16</v>
      </c>
      <c r="D581" s="2">
        <v>2</v>
      </c>
      <c r="E581" s="2">
        <v>599.99</v>
      </c>
      <c r="F581">
        <v>0.2</v>
      </c>
      <c r="G581">
        <f t="shared" si="9"/>
        <v>1199.78</v>
      </c>
      <c r="H581" t="str">
        <f>VLOOKUP(C581,'products '!$A$1:$G$322,2,FALSE)</f>
        <v>Electra Townie Original 7D EQ - 2016</v>
      </c>
    </row>
    <row r="582" spans="1:8" x14ac:dyDescent="0.3">
      <c r="A582">
        <v>581</v>
      </c>
      <c r="B582">
        <v>1</v>
      </c>
      <c r="C582">
        <v>8</v>
      </c>
      <c r="D582" s="2">
        <v>2</v>
      </c>
      <c r="E582" s="2">
        <v>1799.99</v>
      </c>
      <c r="F582">
        <v>7.0000000000000007E-2</v>
      </c>
      <c r="G582">
        <f t="shared" si="9"/>
        <v>3599.91</v>
      </c>
      <c r="H582" t="str">
        <f>VLOOKUP(C582,'products '!$A$1:$G$322,2,FALSE)</f>
        <v>Trek Remedy 29 Carbon Frameset - 2016</v>
      </c>
    </row>
    <row r="583" spans="1:8" x14ac:dyDescent="0.3">
      <c r="A583">
        <v>582</v>
      </c>
      <c r="B583">
        <v>1</v>
      </c>
      <c r="C583">
        <v>10</v>
      </c>
      <c r="D583" s="2">
        <v>2</v>
      </c>
      <c r="E583" s="2">
        <v>1549</v>
      </c>
      <c r="F583">
        <v>0.2</v>
      </c>
      <c r="G583">
        <f t="shared" si="9"/>
        <v>3097.8</v>
      </c>
      <c r="H583" t="str">
        <f>VLOOKUP(C583,'products '!$A$1:$G$322,2,FALSE)</f>
        <v>Surly Straggler - 2016</v>
      </c>
    </row>
    <row r="584" spans="1:8" x14ac:dyDescent="0.3">
      <c r="A584">
        <v>583</v>
      </c>
      <c r="B584">
        <v>1</v>
      </c>
      <c r="C584">
        <v>15</v>
      </c>
      <c r="D584" s="2">
        <v>2</v>
      </c>
      <c r="E584" s="2">
        <v>529.99</v>
      </c>
      <c r="F584">
        <v>0.2</v>
      </c>
      <c r="G584">
        <f t="shared" si="9"/>
        <v>1059.78</v>
      </c>
      <c r="H584" t="str">
        <f>VLOOKUP(C584,'products '!$A$1:$G$322,2,FALSE)</f>
        <v>Electra Moto 1 - 2016</v>
      </c>
    </row>
    <row r="585" spans="1:8" x14ac:dyDescent="0.3">
      <c r="A585">
        <v>584</v>
      </c>
      <c r="B585">
        <v>1</v>
      </c>
      <c r="C585">
        <v>19</v>
      </c>
      <c r="D585" s="2">
        <v>1</v>
      </c>
      <c r="E585" s="2">
        <v>449</v>
      </c>
      <c r="F585">
        <v>7.0000000000000007E-2</v>
      </c>
      <c r="G585">
        <f t="shared" si="9"/>
        <v>448.93</v>
      </c>
      <c r="H585" t="str">
        <f>VLOOKUP(C585,'products '!$A$1:$G$322,2,FALSE)</f>
        <v>Pure Cycles William 3-Speed - 2016</v>
      </c>
    </row>
    <row r="586" spans="1:8" x14ac:dyDescent="0.3">
      <c r="A586">
        <v>585</v>
      </c>
      <c r="B586">
        <v>1</v>
      </c>
      <c r="C586">
        <v>10</v>
      </c>
      <c r="D586" s="2">
        <v>1</v>
      </c>
      <c r="E586" s="2">
        <v>1549</v>
      </c>
      <c r="F586">
        <v>0.2</v>
      </c>
      <c r="G586">
        <f t="shared" si="9"/>
        <v>1548.8</v>
      </c>
      <c r="H586" t="str">
        <f>VLOOKUP(C586,'products '!$A$1:$G$322,2,FALSE)</f>
        <v>Surly Straggler - 2016</v>
      </c>
    </row>
    <row r="587" spans="1:8" x14ac:dyDescent="0.3">
      <c r="A587">
        <v>586</v>
      </c>
      <c r="B587">
        <v>1</v>
      </c>
      <c r="C587">
        <v>11</v>
      </c>
      <c r="D587" s="2">
        <v>2</v>
      </c>
      <c r="E587" s="2">
        <v>1680.99</v>
      </c>
      <c r="F587">
        <v>0.1</v>
      </c>
      <c r="G587">
        <f t="shared" si="9"/>
        <v>3361.88</v>
      </c>
      <c r="H587" t="str">
        <f>VLOOKUP(C587,'products '!$A$1:$G$322,2,FALSE)</f>
        <v>Surly Straggler 650b - 2016</v>
      </c>
    </row>
    <row r="588" spans="1:8" x14ac:dyDescent="0.3">
      <c r="A588">
        <v>587</v>
      </c>
      <c r="B588">
        <v>1</v>
      </c>
      <c r="C588">
        <v>24</v>
      </c>
      <c r="D588" s="2">
        <v>1</v>
      </c>
      <c r="E588" s="2">
        <v>549.99</v>
      </c>
      <c r="F588">
        <v>0.05</v>
      </c>
      <c r="G588">
        <f t="shared" si="9"/>
        <v>549.94000000000005</v>
      </c>
      <c r="H588" t="str">
        <f>VLOOKUP(C588,'products '!$A$1:$G$322,2,FALSE)</f>
        <v>Electra Townie Original 21D - 2016</v>
      </c>
    </row>
    <row r="589" spans="1:8" x14ac:dyDescent="0.3">
      <c r="A589">
        <v>588</v>
      </c>
      <c r="B589">
        <v>1</v>
      </c>
      <c r="C589">
        <v>10</v>
      </c>
      <c r="D589" s="2">
        <v>2</v>
      </c>
      <c r="E589" s="2">
        <v>1549</v>
      </c>
      <c r="F589">
        <v>7.0000000000000007E-2</v>
      </c>
      <c r="G589">
        <f t="shared" si="9"/>
        <v>3097.93</v>
      </c>
      <c r="H589" t="str">
        <f>VLOOKUP(C589,'products '!$A$1:$G$322,2,FALSE)</f>
        <v>Surly Straggler - 2016</v>
      </c>
    </row>
    <row r="590" spans="1:8" x14ac:dyDescent="0.3">
      <c r="A590">
        <v>589</v>
      </c>
      <c r="B590">
        <v>1</v>
      </c>
      <c r="C590">
        <v>15</v>
      </c>
      <c r="D590" s="2">
        <v>2</v>
      </c>
      <c r="E590" s="2">
        <v>529.99</v>
      </c>
      <c r="F590">
        <v>0.05</v>
      </c>
      <c r="G590">
        <f t="shared" si="9"/>
        <v>1059.93</v>
      </c>
      <c r="H590" t="str">
        <f>VLOOKUP(C590,'products '!$A$1:$G$322,2,FALSE)</f>
        <v>Electra Moto 1 - 2016</v>
      </c>
    </row>
    <row r="591" spans="1:8" x14ac:dyDescent="0.3">
      <c r="A591">
        <v>590</v>
      </c>
      <c r="B591">
        <v>1</v>
      </c>
      <c r="C591">
        <v>2</v>
      </c>
      <c r="D591" s="2">
        <v>2</v>
      </c>
      <c r="E591" s="2">
        <v>749.99</v>
      </c>
      <c r="F591">
        <v>0.1</v>
      </c>
      <c r="G591">
        <f t="shared" si="9"/>
        <v>1499.88</v>
      </c>
      <c r="H591" t="str">
        <f>VLOOKUP(C591,'products '!$A$1:$G$322,2,FALSE)</f>
        <v>Ritchey Timberwolf Frameset - 2016</v>
      </c>
    </row>
    <row r="592" spans="1:8" x14ac:dyDescent="0.3">
      <c r="A592">
        <v>591</v>
      </c>
      <c r="B592">
        <v>1</v>
      </c>
      <c r="C592">
        <v>16</v>
      </c>
      <c r="D592" s="2">
        <v>2</v>
      </c>
      <c r="E592" s="2">
        <v>599.99</v>
      </c>
      <c r="F592">
        <v>0.05</v>
      </c>
      <c r="G592">
        <f t="shared" si="9"/>
        <v>1199.93</v>
      </c>
      <c r="H592" t="str">
        <f>VLOOKUP(C592,'products '!$A$1:$G$322,2,FALSE)</f>
        <v>Electra Townie Original 7D EQ - 2016</v>
      </c>
    </row>
    <row r="593" spans="1:8" x14ac:dyDescent="0.3">
      <c r="A593">
        <v>592</v>
      </c>
      <c r="B593">
        <v>1</v>
      </c>
      <c r="C593">
        <v>21</v>
      </c>
      <c r="D593" s="2">
        <v>2</v>
      </c>
      <c r="E593" s="2">
        <v>269.99</v>
      </c>
      <c r="F593">
        <v>0.1</v>
      </c>
      <c r="G593">
        <f t="shared" si="9"/>
        <v>539.88</v>
      </c>
      <c r="H593" t="str">
        <f>VLOOKUP(C593,'products '!$A$1:$G$322,2,FALSE)</f>
        <v>Electra Cruiser 1 (24-Inch) - 2016</v>
      </c>
    </row>
    <row r="594" spans="1:8" x14ac:dyDescent="0.3">
      <c r="A594">
        <v>593</v>
      </c>
      <c r="B594">
        <v>1</v>
      </c>
      <c r="C594">
        <v>3</v>
      </c>
      <c r="D594" s="2">
        <v>2</v>
      </c>
      <c r="E594" s="2">
        <v>999.99</v>
      </c>
      <c r="F594">
        <v>0.1</v>
      </c>
      <c r="G594">
        <f t="shared" si="9"/>
        <v>1999.88</v>
      </c>
      <c r="H594" t="str">
        <f>VLOOKUP(C594,'products '!$A$1:$G$322,2,FALSE)</f>
        <v>Surly Wednesday Frameset - 2016</v>
      </c>
    </row>
    <row r="595" spans="1:8" x14ac:dyDescent="0.3">
      <c r="A595">
        <v>594</v>
      </c>
      <c r="B595">
        <v>1</v>
      </c>
      <c r="C595">
        <v>26</v>
      </c>
      <c r="D595" s="2">
        <v>1</v>
      </c>
      <c r="E595" s="2">
        <v>599.99</v>
      </c>
      <c r="F595">
        <v>0.1</v>
      </c>
      <c r="G595">
        <f t="shared" si="9"/>
        <v>599.89</v>
      </c>
      <c r="H595" t="str">
        <f>VLOOKUP(C595,'products '!$A$1:$G$322,2,FALSE)</f>
        <v>Electra Townie Original 7D EQ - 2016</v>
      </c>
    </row>
    <row r="596" spans="1:8" x14ac:dyDescent="0.3">
      <c r="A596">
        <v>595</v>
      </c>
      <c r="B596">
        <v>1</v>
      </c>
      <c r="C596">
        <v>4</v>
      </c>
      <c r="D596" s="2">
        <v>1</v>
      </c>
      <c r="E596" s="2">
        <v>2899.99</v>
      </c>
      <c r="F596">
        <v>7.0000000000000007E-2</v>
      </c>
      <c r="G596">
        <f t="shared" si="9"/>
        <v>2899.9199999999996</v>
      </c>
      <c r="H596" t="str">
        <f>VLOOKUP(C596,'products '!$A$1:$G$322,2,FALSE)</f>
        <v>Trek Fuel EX 8 29 - 2016</v>
      </c>
    </row>
    <row r="597" spans="1:8" x14ac:dyDescent="0.3">
      <c r="A597">
        <v>596</v>
      </c>
      <c r="B597">
        <v>1</v>
      </c>
      <c r="C597">
        <v>5</v>
      </c>
      <c r="D597" s="2">
        <v>1</v>
      </c>
      <c r="E597" s="2">
        <v>1320.99</v>
      </c>
      <c r="F597">
        <v>0.05</v>
      </c>
      <c r="G597">
        <f t="shared" si="9"/>
        <v>1320.94</v>
      </c>
      <c r="H597" t="str">
        <f>VLOOKUP(C597,'products '!$A$1:$G$322,2,FALSE)</f>
        <v>Heller Shagamaw Frame - 2016</v>
      </c>
    </row>
    <row r="598" spans="1:8" x14ac:dyDescent="0.3">
      <c r="A598">
        <v>597</v>
      </c>
      <c r="B598">
        <v>1</v>
      </c>
      <c r="C598">
        <v>17</v>
      </c>
      <c r="D598" s="2">
        <v>2</v>
      </c>
      <c r="E598" s="2">
        <v>429</v>
      </c>
      <c r="F598">
        <v>0.2</v>
      </c>
      <c r="G598">
        <f t="shared" si="9"/>
        <v>857.8</v>
      </c>
      <c r="H598" t="str">
        <f>VLOOKUP(C598,'products '!$A$1:$G$322,2,FALSE)</f>
        <v>Pure Cycles Vine 8-Speed - 2016</v>
      </c>
    </row>
    <row r="599" spans="1:8" x14ac:dyDescent="0.3">
      <c r="A599">
        <v>598</v>
      </c>
      <c r="B599">
        <v>1</v>
      </c>
      <c r="C599">
        <v>4</v>
      </c>
      <c r="D599" s="2">
        <v>2</v>
      </c>
      <c r="E599" s="2">
        <v>2899.99</v>
      </c>
      <c r="F599">
        <v>0.05</v>
      </c>
      <c r="G599">
        <f t="shared" si="9"/>
        <v>5799.9299999999994</v>
      </c>
      <c r="H599" t="str">
        <f>VLOOKUP(C599,'products '!$A$1:$G$322,2,FALSE)</f>
        <v>Trek Fuel EX 8 29 - 2016</v>
      </c>
    </row>
    <row r="600" spans="1:8" x14ac:dyDescent="0.3">
      <c r="A600">
        <v>599</v>
      </c>
      <c r="B600">
        <v>1</v>
      </c>
      <c r="C600">
        <v>9</v>
      </c>
      <c r="D600" s="2">
        <v>2</v>
      </c>
      <c r="E600" s="2">
        <v>2999.99</v>
      </c>
      <c r="F600">
        <v>0.05</v>
      </c>
      <c r="G600">
        <f t="shared" si="9"/>
        <v>5999.9299999999994</v>
      </c>
      <c r="H600" t="str">
        <f>VLOOKUP(C600,'products '!$A$1:$G$322,2,FALSE)</f>
        <v>Trek Conduit+ - 2016</v>
      </c>
    </row>
    <row r="601" spans="1:8" x14ac:dyDescent="0.3">
      <c r="A601">
        <v>600</v>
      </c>
      <c r="B601">
        <v>1</v>
      </c>
      <c r="C601">
        <v>26</v>
      </c>
      <c r="D601" s="2">
        <v>2</v>
      </c>
      <c r="E601" s="2">
        <v>599.99</v>
      </c>
      <c r="F601">
        <v>7.0000000000000007E-2</v>
      </c>
      <c r="G601">
        <f t="shared" si="9"/>
        <v>1199.9100000000001</v>
      </c>
      <c r="H601" t="str">
        <f>VLOOKUP(C601,'products '!$A$1:$G$322,2,FALSE)</f>
        <v>Electra Townie Original 7D EQ - 2016</v>
      </c>
    </row>
    <row r="602" spans="1:8" x14ac:dyDescent="0.3">
      <c r="A602">
        <v>601</v>
      </c>
      <c r="B602">
        <v>1</v>
      </c>
      <c r="C602">
        <v>12</v>
      </c>
      <c r="D602" s="2">
        <v>2</v>
      </c>
      <c r="E602" s="2">
        <v>549.99</v>
      </c>
      <c r="F602">
        <v>0.2</v>
      </c>
      <c r="G602">
        <f t="shared" si="9"/>
        <v>1099.78</v>
      </c>
      <c r="H602" t="str">
        <f>VLOOKUP(C602,'products '!$A$1:$G$322,2,FALSE)</f>
        <v>Electra Townie Original 21D - 2016</v>
      </c>
    </row>
    <row r="603" spans="1:8" x14ac:dyDescent="0.3">
      <c r="A603">
        <v>602</v>
      </c>
      <c r="B603">
        <v>1</v>
      </c>
      <c r="C603">
        <v>15</v>
      </c>
      <c r="D603" s="2">
        <v>2</v>
      </c>
      <c r="E603" s="2">
        <v>529.99</v>
      </c>
      <c r="F603">
        <v>0.05</v>
      </c>
      <c r="G603">
        <f t="shared" si="9"/>
        <v>1059.93</v>
      </c>
      <c r="H603" t="str">
        <f>VLOOKUP(C603,'products '!$A$1:$G$322,2,FALSE)</f>
        <v>Electra Moto 1 - 2016</v>
      </c>
    </row>
    <row r="604" spans="1:8" x14ac:dyDescent="0.3">
      <c r="A604">
        <v>603</v>
      </c>
      <c r="B604">
        <v>1</v>
      </c>
      <c r="C604">
        <v>12</v>
      </c>
      <c r="D604" s="2">
        <v>1</v>
      </c>
      <c r="E604" s="2">
        <v>549.99</v>
      </c>
      <c r="F604">
        <v>7.0000000000000007E-2</v>
      </c>
      <c r="G604">
        <f t="shared" si="9"/>
        <v>549.91999999999996</v>
      </c>
      <c r="H604" t="str">
        <f>VLOOKUP(C604,'products '!$A$1:$G$322,2,FALSE)</f>
        <v>Electra Townie Original 21D - 2016</v>
      </c>
    </row>
    <row r="605" spans="1:8" x14ac:dyDescent="0.3">
      <c r="A605">
        <v>604</v>
      </c>
      <c r="B605">
        <v>1</v>
      </c>
      <c r="C605">
        <v>10</v>
      </c>
      <c r="D605" s="2">
        <v>2</v>
      </c>
      <c r="E605" s="2">
        <v>1549</v>
      </c>
      <c r="F605">
        <v>7.0000000000000007E-2</v>
      </c>
      <c r="G605">
        <f t="shared" si="9"/>
        <v>3097.93</v>
      </c>
      <c r="H605" t="str">
        <f>VLOOKUP(C605,'products '!$A$1:$G$322,2,FALSE)</f>
        <v>Surly Straggler - 2016</v>
      </c>
    </row>
    <row r="606" spans="1:8" x14ac:dyDescent="0.3">
      <c r="A606">
        <v>605</v>
      </c>
      <c r="B606">
        <v>1</v>
      </c>
      <c r="C606">
        <v>19</v>
      </c>
      <c r="D606" s="2">
        <v>1</v>
      </c>
      <c r="E606" s="2">
        <v>449</v>
      </c>
      <c r="F606">
        <v>7.0000000000000007E-2</v>
      </c>
      <c r="G606">
        <f t="shared" si="9"/>
        <v>448.93</v>
      </c>
      <c r="H606" t="str">
        <f>VLOOKUP(C606,'products '!$A$1:$G$322,2,FALSE)</f>
        <v>Pure Cycles William 3-Speed - 2016</v>
      </c>
    </row>
    <row r="607" spans="1:8" x14ac:dyDescent="0.3">
      <c r="A607">
        <v>606</v>
      </c>
      <c r="B607">
        <v>1</v>
      </c>
      <c r="C607">
        <v>6</v>
      </c>
      <c r="D607" s="2">
        <v>2</v>
      </c>
      <c r="E607" s="2">
        <v>469.99</v>
      </c>
      <c r="F607">
        <v>0.2</v>
      </c>
      <c r="G607">
        <f t="shared" si="9"/>
        <v>939.78</v>
      </c>
      <c r="H607" t="str">
        <f>VLOOKUP(C607,'products '!$A$1:$G$322,2,FALSE)</f>
        <v>Surly Ice Cream Truck Frameset - 2016</v>
      </c>
    </row>
    <row r="608" spans="1:8" x14ac:dyDescent="0.3">
      <c r="A608">
        <v>607</v>
      </c>
      <c r="B608">
        <v>1</v>
      </c>
      <c r="C608">
        <v>11</v>
      </c>
      <c r="D608" s="2">
        <v>2</v>
      </c>
      <c r="E608" s="2">
        <v>1680.99</v>
      </c>
      <c r="F608">
        <v>0.2</v>
      </c>
      <c r="G608">
        <f t="shared" si="9"/>
        <v>3361.78</v>
      </c>
      <c r="H608" t="str">
        <f>VLOOKUP(C608,'products '!$A$1:$G$322,2,FALSE)</f>
        <v>Surly Straggler 650b - 2016</v>
      </c>
    </row>
    <row r="609" spans="1:8" x14ac:dyDescent="0.3">
      <c r="A609">
        <v>608</v>
      </c>
      <c r="B609">
        <v>1</v>
      </c>
      <c r="C609">
        <v>4</v>
      </c>
      <c r="D609" s="2">
        <v>2</v>
      </c>
      <c r="E609" s="2">
        <v>2899.99</v>
      </c>
      <c r="F609">
        <v>0.2</v>
      </c>
      <c r="G609">
        <f t="shared" si="9"/>
        <v>5799.78</v>
      </c>
      <c r="H609" t="str">
        <f>VLOOKUP(C609,'products '!$A$1:$G$322,2,FALSE)</f>
        <v>Trek Fuel EX 8 29 - 2016</v>
      </c>
    </row>
    <row r="610" spans="1:8" x14ac:dyDescent="0.3">
      <c r="A610">
        <v>609</v>
      </c>
      <c r="B610">
        <v>1</v>
      </c>
      <c r="C610">
        <v>10</v>
      </c>
      <c r="D610" s="2">
        <v>1</v>
      </c>
      <c r="E610" s="2">
        <v>1549</v>
      </c>
      <c r="F610">
        <v>7.0000000000000007E-2</v>
      </c>
      <c r="G610">
        <f t="shared" si="9"/>
        <v>1548.93</v>
      </c>
      <c r="H610" t="str">
        <f>VLOOKUP(C610,'products '!$A$1:$G$322,2,FALSE)</f>
        <v>Surly Straggler - 2016</v>
      </c>
    </row>
    <row r="611" spans="1:8" x14ac:dyDescent="0.3">
      <c r="A611">
        <v>610</v>
      </c>
      <c r="B611">
        <v>1</v>
      </c>
      <c r="C611">
        <v>26</v>
      </c>
      <c r="D611" s="2">
        <v>1</v>
      </c>
      <c r="E611" s="2">
        <v>599.99</v>
      </c>
      <c r="F611">
        <v>0.1</v>
      </c>
      <c r="G611">
        <f t="shared" si="9"/>
        <v>599.89</v>
      </c>
      <c r="H611" t="str">
        <f>VLOOKUP(C611,'products '!$A$1:$G$322,2,FALSE)</f>
        <v>Electra Townie Original 7D EQ - 2016</v>
      </c>
    </row>
    <row r="612" spans="1:8" x14ac:dyDescent="0.3">
      <c r="A612">
        <v>611</v>
      </c>
      <c r="B612">
        <v>1</v>
      </c>
      <c r="C612">
        <v>16</v>
      </c>
      <c r="D612" s="2">
        <v>2</v>
      </c>
      <c r="E612" s="2">
        <v>599.99</v>
      </c>
      <c r="F612">
        <v>7.0000000000000007E-2</v>
      </c>
      <c r="G612">
        <f t="shared" si="9"/>
        <v>1199.9100000000001</v>
      </c>
      <c r="H612" t="str">
        <f>VLOOKUP(C612,'products '!$A$1:$G$322,2,FALSE)</f>
        <v>Electra Townie Original 7D EQ - 2016</v>
      </c>
    </row>
    <row r="613" spans="1:8" x14ac:dyDescent="0.3">
      <c r="A613">
        <v>612</v>
      </c>
      <c r="B613">
        <v>1</v>
      </c>
      <c r="C613">
        <v>13</v>
      </c>
      <c r="D613" s="2">
        <v>1</v>
      </c>
      <c r="E613" s="2">
        <v>269.99</v>
      </c>
      <c r="F613">
        <v>0.1</v>
      </c>
      <c r="G613">
        <f t="shared" si="9"/>
        <v>269.89</v>
      </c>
      <c r="H613" t="str">
        <f>VLOOKUP(C613,'products '!$A$1:$G$322,2,FALSE)</f>
        <v>Electra Cruiser 1 (24-Inch) - 2016</v>
      </c>
    </row>
    <row r="614" spans="1:8" x14ac:dyDescent="0.3">
      <c r="A614">
        <v>613</v>
      </c>
      <c r="B614">
        <v>1</v>
      </c>
      <c r="C614">
        <v>9</v>
      </c>
      <c r="D614" s="2">
        <v>2</v>
      </c>
      <c r="E614" s="2">
        <v>2999.99</v>
      </c>
      <c r="F614">
        <v>0.1</v>
      </c>
      <c r="G614">
        <f t="shared" si="9"/>
        <v>5999.8799999999992</v>
      </c>
      <c r="H614" t="str">
        <f>VLOOKUP(C614,'products '!$A$1:$G$322,2,FALSE)</f>
        <v>Trek Conduit+ - 2016</v>
      </c>
    </row>
    <row r="615" spans="1:8" x14ac:dyDescent="0.3">
      <c r="A615">
        <v>614</v>
      </c>
      <c r="B615">
        <v>1</v>
      </c>
      <c r="C615">
        <v>18</v>
      </c>
      <c r="D615" s="2">
        <v>1</v>
      </c>
      <c r="E615" s="2">
        <v>449</v>
      </c>
      <c r="F615">
        <v>0.1</v>
      </c>
      <c r="G615">
        <f t="shared" si="9"/>
        <v>448.9</v>
      </c>
      <c r="H615" t="str">
        <f>VLOOKUP(C615,'products '!$A$1:$G$322,2,FALSE)</f>
        <v>Pure Cycles Western 3-Speed - Women's - 2015/2016</v>
      </c>
    </row>
    <row r="616" spans="1:8" x14ac:dyDescent="0.3">
      <c r="A616">
        <v>615</v>
      </c>
      <c r="B616">
        <v>1</v>
      </c>
      <c r="C616">
        <v>11</v>
      </c>
      <c r="D616" s="2">
        <v>1</v>
      </c>
      <c r="E616" s="2">
        <v>1680.99</v>
      </c>
      <c r="F616">
        <v>7.0000000000000007E-2</v>
      </c>
      <c r="G616">
        <f t="shared" si="9"/>
        <v>1680.92</v>
      </c>
      <c r="H616" t="str">
        <f>VLOOKUP(C616,'products '!$A$1:$G$322,2,FALSE)</f>
        <v>Surly Straggler 650b - 2016</v>
      </c>
    </row>
    <row r="617" spans="1:8" x14ac:dyDescent="0.3">
      <c r="A617">
        <v>616</v>
      </c>
      <c r="B617">
        <v>1</v>
      </c>
      <c r="C617">
        <v>24</v>
      </c>
      <c r="D617" s="2">
        <v>1</v>
      </c>
      <c r="E617" s="2">
        <v>549.99</v>
      </c>
      <c r="F617">
        <v>0.2</v>
      </c>
      <c r="G617">
        <f t="shared" si="9"/>
        <v>549.79</v>
      </c>
      <c r="H617" t="str">
        <f>VLOOKUP(C617,'products '!$A$1:$G$322,2,FALSE)</f>
        <v>Electra Townie Original 21D - 2016</v>
      </c>
    </row>
    <row r="618" spans="1:8" x14ac:dyDescent="0.3">
      <c r="A618">
        <v>617</v>
      </c>
      <c r="B618">
        <v>1</v>
      </c>
      <c r="C618">
        <v>15</v>
      </c>
      <c r="D618" s="2">
        <v>2</v>
      </c>
      <c r="E618" s="2">
        <v>529.99</v>
      </c>
      <c r="F618">
        <v>0.2</v>
      </c>
      <c r="G618">
        <f t="shared" si="9"/>
        <v>1059.78</v>
      </c>
      <c r="H618" t="str">
        <f>VLOOKUP(C618,'products '!$A$1:$G$322,2,FALSE)</f>
        <v>Electra Moto 1 - 2016</v>
      </c>
    </row>
    <row r="619" spans="1:8" x14ac:dyDescent="0.3">
      <c r="A619">
        <v>618</v>
      </c>
      <c r="B619">
        <v>1</v>
      </c>
      <c r="C619">
        <v>17</v>
      </c>
      <c r="D619" s="2">
        <v>2</v>
      </c>
      <c r="E619" s="2">
        <v>429</v>
      </c>
      <c r="F619">
        <v>0.1</v>
      </c>
      <c r="G619">
        <f t="shared" si="9"/>
        <v>857.9</v>
      </c>
      <c r="H619" t="str">
        <f>VLOOKUP(C619,'products '!$A$1:$G$322,2,FALSE)</f>
        <v>Pure Cycles Vine 8-Speed - 2016</v>
      </c>
    </row>
    <row r="620" spans="1:8" x14ac:dyDescent="0.3">
      <c r="A620">
        <v>619</v>
      </c>
      <c r="B620">
        <v>1</v>
      </c>
      <c r="C620">
        <v>25</v>
      </c>
      <c r="D620" s="2">
        <v>1</v>
      </c>
      <c r="E620" s="2">
        <v>499.99</v>
      </c>
      <c r="F620">
        <v>7.0000000000000007E-2</v>
      </c>
      <c r="G620">
        <f t="shared" si="9"/>
        <v>499.92</v>
      </c>
      <c r="H620" t="str">
        <f>VLOOKUP(C620,'products '!$A$1:$G$322,2,FALSE)</f>
        <v>Electra Townie Original 7D - 2015/2016</v>
      </c>
    </row>
    <row r="621" spans="1:8" x14ac:dyDescent="0.3">
      <c r="A621">
        <v>620</v>
      </c>
      <c r="B621">
        <v>1</v>
      </c>
      <c r="C621">
        <v>5</v>
      </c>
      <c r="D621" s="2">
        <v>2</v>
      </c>
      <c r="E621" s="2">
        <v>1320.99</v>
      </c>
      <c r="F621">
        <v>0.2</v>
      </c>
      <c r="G621">
        <f t="shared" si="9"/>
        <v>2641.78</v>
      </c>
      <c r="H621" t="str">
        <f>VLOOKUP(C621,'products '!$A$1:$G$322,2,FALSE)</f>
        <v>Heller Shagamaw Frame - 2016</v>
      </c>
    </row>
    <row r="622" spans="1:8" x14ac:dyDescent="0.3">
      <c r="A622">
        <v>621</v>
      </c>
      <c r="B622">
        <v>1</v>
      </c>
      <c r="C622">
        <v>17</v>
      </c>
      <c r="D622" s="2">
        <v>2</v>
      </c>
      <c r="E622" s="2">
        <v>429</v>
      </c>
      <c r="F622">
        <v>7.0000000000000007E-2</v>
      </c>
      <c r="G622">
        <f t="shared" si="9"/>
        <v>857.93</v>
      </c>
      <c r="H622" t="str">
        <f>VLOOKUP(C622,'products '!$A$1:$G$322,2,FALSE)</f>
        <v>Pure Cycles Vine 8-Speed - 2016</v>
      </c>
    </row>
    <row r="623" spans="1:8" x14ac:dyDescent="0.3">
      <c r="A623">
        <v>622</v>
      </c>
      <c r="B623">
        <v>1</v>
      </c>
      <c r="C623">
        <v>9</v>
      </c>
      <c r="D623" s="2">
        <v>2</v>
      </c>
      <c r="E623" s="2">
        <v>2999.99</v>
      </c>
      <c r="F623">
        <v>7.0000000000000007E-2</v>
      </c>
      <c r="G623">
        <f t="shared" si="9"/>
        <v>5999.91</v>
      </c>
      <c r="H623" t="str">
        <f>VLOOKUP(C623,'products '!$A$1:$G$322,2,FALSE)</f>
        <v>Trek Conduit+ - 2016</v>
      </c>
    </row>
    <row r="624" spans="1:8" x14ac:dyDescent="0.3">
      <c r="A624">
        <v>623</v>
      </c>
      <c r="B624">
        <v>1</v>
      </c>
      <c r="C624">
        <v>8</v>
      </c>
      <c r="D624" s="2">
        <v>1</v>
      </c>
      <c r="E624" s="2">
        <v>1799.99</v>
      </c>
      <c r="F624">
        <v>7.0000000000000007E-2</v>
      </c>
      <c r="G624">
        <f t="shared" si="9"/>
        <v>1799.92</v>
      </c>
      <c r="H624" t="str">
        <f>VLOOKUP(C624,'products '!$A$1:$G$322,2,FALSE)</f>
        <v>Trek Remedy 29 Carbon Frameset - 2016</v>
      </c>
    </row>
    <row r="625" spans="1:8" x14ac:dyDescent="0.3">
      <c r="A625">
        <v>624</v>
      </c>
      <c r="B625">
        <v>1</v>
      </c>
      <c r="C625">
        <v>21</v>
      </c>
      <c r="D625" s="2">
        <v>2</v>
      </c>
      <c r="E625" s="2">
        <v>269.99</v>
      </c>
      <c r="F625">
        <v>0.05</v>
      </c>
      <c r="G625">
        <f t="shared" si="9"/>
        <v>539.93000000000006</v>
      </c>
      <c r="H625" t="str">
        <f>VLOOKUP(C625,'products '!$A$1:$G$322,2,FALSE)</f>
        <v>Electra Cruiser 1 (24-Inch) - 2016</v>
      </c>
    </row>
    <row r="626" spans="1:8" x14ac:dyDescent="0.3">
      <c r="A626">
        <v>625</v>
      </c>
      <c r="B626">
        <v>1</v>
      </c>
      <c r="C626">
        <v>17</v>
      </c>
      <c r="D626" s="2">
        <v>1</v>
      </c>
      <c r="E626" s="2">
        <v>429</v>
      </c>
      <c r="F626">
        <v>7.0000000000000007E-2</v>
      </c>
      <c r="G626">
        <f t="shared" si="9"/>
        <v>428.93</v>
      </c>
      <c r="H626" t="str">
        <f>VLOOKUP(C626,'products '!$A$1:$G$322,2,FALSE)</f>
        <v>Pure Cycles Vine 8-Speed - 2016</v>
      </c>
    </row>
    <row r="627" spans="1:8" x14ac:dyDescent="0.3">
      <c r="A627">
        <v>626</v>
      </c>
      <c r="B627">
        <v>1</v>
      </c>
      <c r="C627">
        <v>15</v>
      </c>
      <c r="D627" s="2">
        <v>1</v>
      </c>
      <c r="E627" s="2">
        <v>529.99</v>
      </c>
      <c r="F627">
        <v>0.2</v>
      </c>
      <c r="G627">
        <f t="shared" si="9"/>
        <v>529.79</v>
      </c>
      <c r="H627" t="str">
        <f>VLOOKUP(C627,'products '!$A$1:$G$322,2,FALSE)</f>
        <v>Electra Moto 1 - 2016</v>
      </c>
    </row>
    <row r="628" spans="1:8" x14ac:dyDescent="0.3">
      <c r="A628">
        <v>627</v>
      </c>
      <c r="B628">
        <v>1</v>
      </c>
      <c r="C628">
        <v>19</v>
      </c>
      <c r="D628" s="2">
        <v>1</v>
      </c>
      <c r="E628" s="2">
        <v>449</v>
      </c>
      <c r="F628">
        <v>7.0000000000000007E-2</v>
      </c>
      <c r="G628">
        <f t="shared" si="9"/>
        <v>448.93</v>
      </c>
      <c r="H628" t="str">
        <f>VLOOKUP(C628,'products '!$A$1:$G$322,2,FALSE)</f>
        <v>Pure Cycles William 3-Speed - 2016</v>
      </c>
    </row>
    <row r="629" spans="1:8" x14ac:dyDescent="0.3">
      <c r="A629">
        <v>628</v>
      </c>
      <c r="B629">
        <v>1</v>
      </c>
      <c r="C629">
        <v>15</v>
      </c>
      <c r="D629" s="2">
        <v>2</v>
      </c>
      <c r="E629" s="2">
        <v>529.99</v>
      </c>
      <c r="F629">
        <v>0.1</v>
      </c>
      <c r="G629">
        <f t="shared" si="9"/>
        <v>1059.8800000000001</v>
      </c>
      <c r="H629" t="str">
        <f>VLOOKUP(C629,'products '!$A$1:$G$322,2,FALSE)</f>
        <v>Electra Moto 1 - 2016</v>
      </c>
    </row>
    <row r="630" spans="1:8" x14ac:dyDescent="0.3">
      <c r="A630">
        <v>629</v>
      </c>
      <c r="B630">
        <v>1</v>
      </c>
      <c r="C630">
        <v>19</v>
      </c>
      <c r="D630" s="2">
        <v>1</v>
      </c>
      <c r="E630" s="2">
        <v>449</v>
      </c>
      <c r="F630">
        <v>0.05</v>
      </c>
      <c r="G630">
        <f t="shared" si="9"/>
        <v>448.95</v>
      </c>
      <c r="H630" t="str">
        <f>VLOOKUP(C630,'products '!$A$1:$G$322,2,FALSE)</f>
        <v>Pure Cycles William 3-Speed - 2016</v>
      </c>
    </row>
    <row r="631" spans="1:8" x14ac:dyDescent="0.3">
      <c r="A631">
        <v>630</v>
      </c>
      <c r="B631">
        <v>1</v>
      </c>
      <c r="C631">
        <v>5</v>
      </c>
      <c r="D631" s="2">
        <v>1</v>
      </c>
      <c r="E631" s="2">
        <v>1320.99</v>
      </c>
      <c r="F631">
        <v>0.05</v>
      </c>
      <c r="G631">
        <f t="shared" si="9"/>
        <v>1320.94</v>
      </c>
      <c r="H631" t="str">
        <f>VLOOKUP(C631,'products '!$A$1:$G$322,2,FALSE)</f>
        <v>Heller Shagamaw Frame - 2016</v>
      </c>
    </row>
    <row r="632" spans="1:8" x14ac:dyDescent="0.3">
      <c r="A632">
        <v>631</v>
      </c>
      <c r="B632">
        <v>1</v>
      </c>
      <c r="C632">
        <v>24</v>
      </c>
      <c r="D632" s="2">
        <v>2</v>
      </c>
      <c r="E632" s="2">
        <v>549.99</v>
      </c>
      <c r="F632">
        <v>7.0000000000000007E-2</v>
      </c>
      <c r="G632">
        <f t="shared" si="9"/>
        <v>1099.9100000000001</v>
      </c>
      <c r="H632" t="str">
        <f>VLOOKUP(C632,'products '!$A$1:$G$322,2,FALSE)</f>
        <v>Electra Townie Original 21D - 2016</v>
      </c>
    </row>
    <row r="633" spans="1:8" x14ac:dyDescent="0.3">
      <c r="A633">
        <v>632</v>
      </c>
      <c r="B633">
        <v>1</v>
      </c>
      <c r="C633">
        <v>25</v>
      </c>
      <c r="D633" s="2">
        <v>1</v>
      </c>
      <c r="E633" s="2">
        <v>499.99</v>
      </c>
      <c r="F633">
        <v>0.2</v>
      </c>
      <c r="G633">
        <f t="shared" si="9"/>
        <v>499.79</v>
      </c>
      <c r="H633" t="str">
        <f>VLOOKUP(C633,'products '!$A$1:$G$322,2,FALSE)</f>
        <v>Electra Townie Original 7D - 2015/2016</v>
      </c>
    </row>
    <row r="634" spans="1:8" x14ac:dyDescent="0.3">
      <c r="A634">
        <v>633</v>
      </c>
      <c r="B634">
        <v>1</v>
      </c>
      <c r="C634">
        <v>12</v>
      </c>
      <c r="D634" s="2">
        <v>2</v>
      </c>
      <c r="E634" s="2">
        <v>549.99</v>
      </c>
      <c r="F634">
        <v>0.05</v>
      </c>
      <c r="G634">
        <f t="shared" si="9"/>
        <v>1099.93</v>
      </c>
      <c r="H634" t="str">
        <f>VLOOKUP(C634,'products '!$A$1:$G$322,2,FALSE)</f>
        <v>Electra Townie Original 21D - 2016</v>
      </c>
    </row>
    <row r="635" spans="1:8" x14ac:dyDescent="0.3">
      <c r="A635">
        <v>634</v>
      </c>
      <c r="B635">
        <v>1</v>
      </c>
      <c r="C635">
        <v>4</v>
      </c>
      <c r="D635" s="2">
        <v>2</v>
      </c>
      <c r="E635" s="2">
        <v>2899.99</v>
      </c>
      <c r="F635">
        <v>0.05</v>
      </c>
      <c r="G635">
        <f t="shared" si="9"/>
        <v>5799.9299999999994</v>
      </c>
      <c r="H635" t="str">
        <f>VLOOKUP(C635,'products '!$A$1:$G$322,2,FALSE)</f>
        <v>Trek Fuel EX 8 29 - 2016</v>
      </c>
    </row>
    <row r="636" spans="1:8" x14ac:dyDescent="0.3">
      <c r="A636">
        <v>635</v>
      </c>
      <c r="B636">
        <v>1</v>
      </c>
      <c r="C636">
        <v>4</v>
      </c>
      <c r="D636" s="2">
        <v>1</v>
      </c>
      <c r="E636" s="2">
        <v>2899.99</v>
      </c>
      <c r="F636">
        <v>0.05</v>
      </c>
      <c r="G636">
        <f t="shared" si="9"/>
        <v>2899.9399999999996</v>
      </c>
      <c r="H636" t="str">
        <f>VLOOKUP(C636,'products '!$A$1:$G$322,2,FALSE)</f>
        <v>Trek Fuel EX 8 29 - 2016</v>
      </c>
    </row>
    <row r="637" spans="1:8" x14ac:dyDescent="0.3">
      <c r="A637">
        <v>636</v>
      </c>
      <c r="B637">
        <v>1</v>
      </c>
      <c r="C637">
        <v>85</v>
      </c>
      <c r="D637" s="2">
        <v>2</v>
      </c>
      <c r="E637" s="2">
        <v>329.99</v>
      </c>
      <c r="F637">
        <v>0.2</v>
      </c>
      <c r="G637">
        <f t="shared" si="9"/>
        <v>659.78</v>
      </c>
      <c r="H637" t="str">
        <f>VLOOKUP(C637,'products '!$A$1:$G$322,2,FALSE)</f>
        <v>Haro Downtown 16 - 2017</v>
      </c>
    </row>
    <row r="638" spans="1:8" x14ac:dyDescent="0.3">
      <c r="A638">
        <v>637</v>
      </c>
      <c r="B638">
        <v>1</v>
      </c>
      <c r="C638">
        <v>9</v>
      </c>
      <c r="D638" s="2">
        <v>1</v>
      </c>
      <c r="E638" s="2">
        <v>2999.99</v>
      </c>
      <c r="F638">
        <v>0.1</v>
      </c>
      <c r="G638">
        <f t="shared" si="9"/>
        <v>2999.89</v>
      </c>
      <c r="H638" t="str">
        <f>VLOOKUP(C638,'products '!$A$1:$G$322,2,FALSE)</f>
        <v>Trek Conduit+ - 2016</v>
      </c>
    </row>
    <row r="639" spans="1:8" x14ac:dyDescent="0.3">
      <c r="A639">
        <v>638</v>
      </c>
      <c r="B639">
        <v>1</v>
      </c>
      <c r="C639">
        <v>103</v>
      </c>
      <c r="D639" s="2">
        <v>1</v>
      </c>
      <c r="E639" s="2">
        <v>551.99</v>
      </c>
      <c r="F639">
        <v>0.05</v>
      </c>
      <c r="G639">
        <f t="shared" si="9"/>
        <v>551.94000000000005</v>
      </c>
      <c r="H639" t="str">
        <f>VLOOKUP(C639,'products '!$A$1:$G$322,2,FALSE)</f>
        <v>Sun Bicycles Streamway 3 - 2017</v>
      </c>
    </row>
    <row r="640" spans="1:8" x14ac:dyDescent="0.3">
      <c r="A640">
        <v>639</v>
      </c>
      <c r="B640">
        <v>1</v>
      </c>
      <c r="C640">
        <v>15</v>
      </c>
      <c r="D640" s="2">
        <v>1</v>
      </c>
      <c r="E640" s="2">
        <v>529.99</v>
      </c>
      <c r="F640">
        <v>7.0000000000000007E-2</v>
      </c>
      <c r="G640">
        <f t="shared" si="9"/>
        <v>529.91999999999996</v>
      </c>
      <c r="H640" t="str">
        <f>VLOOKUP(C640,'products '!$A$1:$G$322,2,FALSE)</f>
        <v>Electra Moto 1 - 2016</v>
      </c>
    </row>
    <row r="641" spans="1:8" x14ac:dyDescent="0.3">
      <c r="A641">
        <v>640</v>
      </c>
      <c r="B641">
        <v>1</v>
      </c>
      <c r="C641">
        <v>106</v>
      </c>
      <c r="D641" s="2">
        <v>2</v>
      </c>
      <c r="E641" s="2">
        <v>449.99</v>
      </c>
      <c r="F641">
        <v>0.05</v>
      </c>
      <c r="G641">
        <f t="shared" si="9"/>
        <v>899.93000000000006</v>
      </c>
      <c r="H641" t="str">
        <f>VLOOKUP(C641,'products '!$A$1:$G$322,2,FALSE)</f>
        <v>Sun Bicycles Cruz 3 - 2017</v>
      </c>
    </row>
    <row r="642" spans="1:8" x14ac:dyDescent="0.3">
      <c r="A642">
        <v>641</v>
      </c>
      <c r="B642">
        <v>1</v>
      </c>
      <c r="C642">
        <v>15</v>
      </c>
      <c r="D642" s="2">
        <v>1</v>
      </c>
      <c r="E642" s="2">
        <v>529.99</v>
      </c>
      <c r="F642">
        <v>0.05</v>
      </c>
      <c r="G642">
        <f t="shared" si="9"/>
        <v>529.94000000000005</v>
      </c>
      <c r="H642" t="str">
        <f>VLOOKUP(C642,'products '!$A$1:$G$322,2,FALSE)</f>
        <v>Electra Moto 1 - 2016</v>
      </c>
    </row>
    <row r="643" spans="1:8" x14ac:dyDescent="0.3">
      <c r="A643">
        <v>642</v>
      </c>
      <c r="B643">
        <v>1</v>
      </c>
      <c r="C643">
        <v>68</v>
      </c>
      <c r="D643" s="2">
        <v>2</v>
      </c>
      <c r="E643" s="2">
        <v>449.99</v>
      </c>
      <c r="F643">
        <v>7.0000000000000007E-2</v>
      </c>
      <c r="G643">
        <f t="shared" ref="G643:G706" si="10">E643*D643-F643</f>
        <v>899.91</v>
      </c>
      <c r="H643" t="str">
        <f>VLOOKUP(C643,'products '!$A$1:$G$322,2,FALSE)</f>
        <v>Sun Bicycles Cruz 3 - 2017</v>
      </c>
    </row>
    <row r="644" spans="1:8" x14ac:dyDescent="0.3">
      <c r="A644">
        <v>643</v>
      </c>
      <c r="B644">
        <v>1</v>
      </c>
      <c r="C644">
        <v>53</v>
      </c>
      <c r="D644" s="2">
        <v>1</v>
      </c>
      <c r="E644" s="2">
        <v>749.99</v>
      </c>
      <c r="F644">
        <v>0.05</v>
      </c>
      <c r="G644">
        <f t="shared" si="10"/>
        <v>749.94</v>
      </c>
      <c r="H644" t="str">
        <f>VLOOKUP(C644,'products '!$A$1:$G$322,2,FALSE)</f>
        <v>Surly Ogre Frameset - 2017</v>
      </c>
    </row>
    <row r="645" spans="1:8" x14ac:dyDescent="0.3">
      <c r="A645">
        <v>644</v>
      </c>
      <c r="B645">
        <v>1</v>
      </c>
      <c r="C645">
        <v>9</v>
      </c>
      <c r="D645" s="2">
        <v>1</v>
      </c>
      <c r="E645" s="2">
        <v>2999.99</v>
      </c>
      <c r="F645">
        <v>7.0000000000000007E-2</v>
      </c>
      <c r="G645">
        <f t="shared" si="10"/>
        <v>2999.9199999999996</v>
      </c>
      <c r="H645" t="str">
        <f>VLOOKUP(C645,'products '!$A$1:$G$322,2,FALSE)</f>
        <v>Trek Conduit+ - 2016</v>
      </c>
    </row>
    <row r="646" spans="1:8" x14ac:dyDescent="0.3">
      <c r="A646">
        <v>645</v>
      </c>
      <c r="B646">
        <v>1</v>
      </c>
      <c r="C646">
        <v>99</v>
      </c>
      <c r="D646" s="2">
        <v>1</v>
      </c>
      <c r="E646" s="2">
        <v>299.99</v>
      </c>
      <c r="F646">
        <v>7.0000000000000007E-2</v>
      </c>
      <c r="G646">
        <f t="shared" si="10"/>
        <v>299.92</v>
      </c>
      <c r="H646" t="str">
        <f>VLOOKUP(C646,'products '!$A$1:$G$322,2,FALSE)</f>
        <v>Electra Sugar Skulls 1 (20-inch) - Girl's - 2017</v>
      </c>
    </row>
    <row r="647" spans="1:8" x14ac:dyDescent="0.3">
      <c r="A647">
        <v>646</v>
      </c>
      <c r="B647">
        <v>1</v>
      </c>
      <c r="C647">
        <v>15</v>
      </c>
      <c r="D647" s="2">
        <v>2</v>
      </c>
      <c r="E647" s="2">
        <v>529.99</v>
      </c>
      <c r="F647">
        <v>0.2</v>
      </c>
      <c r="G647">
        <f t="shared" si="10"/>
        <v>1059.78</v>
      </c>
      <c r="H647" t="str">
        <f>VLOOKUP(C647,'products '!$A$1:$G$322,2,FALSE)</f>
        <v>Electra Moto 1 - 2016</v>
      </c>
    </row>
    <row r="648" spans="1:8" x14ac:dyDescent="0.3">
      <c r="A648">
        <v>647</v>
      </c>
      <c r="B648">
        <v>1</v>
      </c>
      <c r="C648">
        <v>25</v>
      </c>
      <c r="D648" s="2">
        <v>2</v>
      </c>
      <c r="E648" s="2">
        <v>499.99</v>
      </c>
      <c r="F648">
        <v>7.0000000000000007E-2</v>
      </c>
      <c r="G648">
        <f t="shared" si="10"/>
        <v>999.91</v>
      </c>
      <c r="H648" t="str">
        <f>VLOOKUP(C648,'products '!$A$1:$G$322,2,FALSE)</f>
        <v>Electra Townie Original 7D - 2015/2016</v>
      </c>
    </row>
    <row r="649" spans="1:8" x14ac:dyDescent="0.3">
      <c r="A649">
        <v>648</v>
      </c>
      <c r="B649">
        <v>1</v>
      </c>
      <c r="C649">
        <v>24</v>
      </c>
      <c r="D649" s="2">
        <v>1</v>
      </c>
      <c r="E649" s="2">
        <v>549.99</v>
      </c>
      <c r="F649">
        <v>7.0000000000000007E-2</v>
      </c>
      <c r="G649">
        <f t="shared" si="10"/>
        <v>549.91999999999996</v>
      </c>
      <c r="H649" t="str">
        <f>VLOOKUP(C649,'products '!$A$1:$G$322,2,FALSE)</f>
        <v>Electra Townie Original 21D - 2016</v>
      </c>
    </row>
    <row r="650" spans="1:8" x14ac:dyDescent="0.3">
      <c r="A650">
        <v>649</v>
      </c>
      <c r="B650">
        <v>1</v>
      </c>
      <c r="C650">
        <v>97</v>
      </c>
      <c r="D650" s="2">
        <v>2</v>
      </c>
      <c r="E650" s="2">
        <v>349.99</v>
      </c>
      <c r="F650">
        <v>0.1</v>
      </c>
      <c r="G650">
        <f t="shared" si="10"/>
        <v>699.88</v>
      </c>
      <c r="H650" t="str">
        <f>VLOOKUP(C650,'products '!$A$1:$G$322,2,FALSE)</f>
        <v>Electra Savannah 3i (20-inch) - Girl's - 2017</v>
      </c>
    </row>
    <row r="651" spans="1:8" x14ac:dyDescent="0.3">
      <c r="A651">
        <v>650</v>
      </c>
      <c r="B651">
        <v>1</v>
      </c>
      <c r="C651">
        <v>3</v>
      </c>
      <c r="D651" s="2">
        <v>1</v>
      </c>
      <c r="E651" s="2">
        <v>999.99</v>
      </c>
      <c r="F651">
        <v>0.2</v>
      </c>
      <c r="G651">
        <f t="shared" si="10"/>
        <v>999.79</v>
      </c>
      <c r="H651" t="str">
        <f>VLOOKUP(C651,'products '!$A$1:$G$322,2,FALSE)</f>
        <v>Surly Wednesday Frameset - 2016</v>
      </c>
    </row>
    <row r="652" spans="1:8" x14ac:dyDescent="0.3">
      <c r="A652">
        <v>651</v>
      </c>
      <c r="B652">
        <v>1</v>
      </c>
      <c r="C652">
        <v>79</v>
      </c>
      <c r="D652" s="2">
        <v>1</v>
      </c>
      <c r="E652" s="2">
        <v>402.99</v>
      </c>
      <c r="F652">
        <v>0.1</v>
      </c>
      <c r="G652">
        <f t="shared" si="10"/>
        <v>402.89</v>
      </c>
      <c r="H652" t="str">
        <f>VLOOKUP(C652,'products '!$A$1:$G$322,2,FALSE)</f>
        <v>Sun Bicycles Boardwalk (24-inch Wheels) - 2017</v>
      </c>
    </row>
    <row r="653" spans="1:8" x14ac:dyDescent="0.3">
      <c r="A653">
        <v>652</v>
      </c>
      <c r="B653">
        <v>1</v>
      </c>
      <c r="C653">
        <v>102</v>
      </c>
      <c r="D653" s="2">
        <v>1</v>
      </c>
      <c r="E653" s="2">
        <v>489.99</v>
      </c>
      <c r="F653">
        <v>0.1</v>
      </c>
      <c r="G653">
        <f t="shared" si="10"/>
        <v>489.89</v>
      </c>
      <c r="H653" t="str">
        <f>VLOOKUP(C653,'products '!$A$1:$G$322,2,FALSE)</f>
        <v>Electra Townie Original 7D - 2017</v>
      </c>
    </row>
    <row r="654" spans="1:8" x14ac:dyDescent="0.3">
      <c r="A654">
        <v>653</v>
      </c>
      <c r="B654">
        <v>1</v>
      </c>
      <c r="C654">
        <v>6</v>
      </c>
      <c r="D654" s="2">
        <v>1</v>
      </c>
      <c r="E654" s="2">
        <v>469.99</v>
      </c>
      <c r="F654">
        <v>7.0000000000000007E-2</v>
      </c>
      <c r="G654">
        <f t="shared" si="10"/>
        <v>469.92</v>
      </c>
      <c r="H654" t="str">
        <f>VLOOKUP(C654,'products '!$A$1:$G$322,2,FALSE)</f>
        <v>Surly Ice Cream Truck Frameset - 2016</v>
      </c>
    </row>
    <row r="655" spans="1:8" x14ac:dyDescent="0.3">
      <c r="A655">
        <v>654</v>
      </c>
      <c r="B655">
        <v>1</v>
      </c>
      <c r="C655">
        <v>9</v>
      </c>
      <c r="D655" s="2">
        <v>1</v>
      </c>
      <c r="E655" s="2">
        <v>2999.99</v>
      </c>
      <c r="F655">
        <v>0.1</v>
      </c>
      <c r="G655">
        <f t="shared" si="10"/>
        <v>2999.89</v>
      </c>
      <c r="H655" t="str">
        <f>VLOOKUP(C655,'products '!$A$1:$G$322,2,FALSE)</f>
        <v>Trek Conduit+ - 2016</v>
      </c>
    </row>
    <row r="656" spans="1:8" x14ac:dyDescent="0.3">
      <c r="A656">
        <v>655</v>
      </c>
      <c r="B656">
        <v>1</v>
      </c>
      <c r="C656">
        <v>67</v>
      </c>
      <c r="D656" s="2">
        <v>1</v>
      </c>
      <c r="E656" s="2">
        <v>250.99</v>
      </c>
      <c r="F656">
        <v>0.1</v>
      </c>
      <c r="G656">
        <f t="shared" si="10"/>
        <v>250.89000000000001</v>
      </c>
      <c r="H656" t="str">
        <f>VLOOKUP(C656,'products '!$A$1:$G$322,2,FALSE)</f>
        <v>Sun Bicycles Revolutions 24 - Girl's - 2017</v>
      </c>
    </row>
    <row r="657" spans="1:8" x14ac:dyDescent="0.3">
      <c r="A657">
        <v>656</v>
      </c>
      <c r="B657">
        <v>1</v>
      </c>
      <c r="C657">
        <v>83</v>
      </c>
      <c r="D657" s="2">
        <v>1</v>
      </c>
      <c r="E657" s="2">
        <v>149.99</v>
      </c>
      <c r="F657">
        <v>0.1</v>
      </c>
      <c r="G657">
        <f t="shared" si="10"/>
        <v>149.89000000000001</v>
      </c>
      <c r="H657" t="str">
        <f>VLOOKUP(C657,'products '!$A$1:$G$322,2,FALSE)</f>
        <v>Trek Boy's Kickster - 2015/2017</v>
      </c>
    </row>
    <row r="658" spans="1:8" x14ac:dyDescent="0.3">
      <c r="A658">
        <v>657</v>
      </c>
      <c r="B658">
        <v>1</v>
      </c>
      <c r="C658">
        <v>52</v>
      </c>
      <c r="D658" s="2">
        <v>1</v>
      </c>
      <c r="E658" s="2">
        <v>875.99</v>
      </c>
      <c r="F658">
        <v>0.05</v>
      </c>
      <c r="G658">
        <f t="shared" si="10"/>
        <v>875.94</v>
      </c>
      <c r="H658" t="str">
        <f>VLOOKUP(C658,'products '!$A$1:$G$322,2,FALSE)</f>
        <v>Surly Steamroller - 2017</v>
      </c>
    </row>
    <row r="659" spans="1:8" x14ac:dyDescent="0.3">
      <c r="A659">
        <v>658</v>
      </c>
      <c r="B659">
        <v>1</v>
      </c>
      <c r="C659">
        <v>49</v>
      </c>
      <c r="D659" s="2">
        <v>2</v>
      </c>
      <c r="E659" s="2">
        <v>3499.99</v>
      </c>
      <c r="F659">
        <v>0.2</v>
      </c>
      <c r="G659">
        <f t="shared" si="10"/>
        <v>6999.78</v>
      </c>
      <c r="H659" t="str">
        <f>VLOOKUP(C659,'products '!$A$1:$G$322,2,FALSE)</f>
        <v>Trek Domane SL 6 - 2017</v>
      </c>
    </row>
    <row r="660" spans="1:8" x14ac:dyDescent="0.3">
      <c r="A660">
        <v>659</v>
      </c>
      <c r="B660">
        <v>1</v>
      </c>
      <c r="C660">
        <v>42</v>
      </c>
      <c r="D660" s="2">
        <v>2</v>
      </c>
      <c r="E660" s="2">
        <v>2299.9899999999998</v>
      </c>
      <c r="F660">
        <v>0.05</v>
      </c>
      <c r="G660">
        <f t="shared" si="10"/>
        <v>4599.9299999999994</v>
      </c>
      <c r="H660" t="str">
        <f>VLOOKUP(C660,'products '!$A$1:$G$322,2,FALSE)</f>
        <v>Trek Fuel EX 5 27.5 Plus - 2017</v>
      </c>
    </row>
    <row r="661" spans="1:8" x14ac:dyDescent="0.3">
      <c r="A661">
        <v>660</v>
      </c>
      <c r="B661">
        <v>1</v>
      </c>
      <c r="C661">
        <v>30</v>
      </c>
      <c r="D661" s="2">
        <v>1</v>
      </c>
      <c r="E661" s="2">
        <v>999.99</v>
      </c>
      <c r="F661">
        <v>0.2</v>
      </c>
      <c r="G661">
        <f t="shared" si="10"/>
        <v>999.79</v>
      </c>
      <c r="H661" t="str">
        <f>VLOOKUP(C661,'products '!$A$1:$G$322,2,FALSE)</f>
        <v>Surly Ice Cream Truck Frameset - 2017</v>
      </c>
    </row>
    <row r="662" spans="1:8" x14ac:dyDescent="0.3">
      <c r="A662">
        <v>661</v>
      </c>
      <c r="B662">
        <v>1</v>
      </c>
      <c r="C662">
        <v>63</v>
      </c>
      <c r="D662" s="2">
        <v>2</v>
      </c>
      <c r="E662" s="2">
        <v>3499.99</v>
      </c>
      <c r="F662">
        <v>7.0000000000000007E-2</v>
      </c>
      <c r="G662">
        <f t="shared" si="10"/>
        <v>6999.91</v>
      </c>
      <c r="H662" t="str">
        <f>VLOOKUP(C662,'products '!$A$1:$G$322,2,FALSE)</f>
        <v>Trek Boone Race Shop Limited - 2017</v>
      </c>
    </row>
    <row r="663" spans="1:8" x14ac:dyDescent="0.3">
      <c r="A663">
        <v>662</v>
      </c>
      <c r="B663">
        <v>1</v>
      </c>
      <c r="C663">
        <v>55</v>
      </c>
      <c r="D663" s="2">
        <v>2</v>
      </c>
      <c r="E663" s="2">
        <v>2699.99</v>
      </c>
      <c r="F663">
        <v>0.1</v>
      </c>
      <c r="G663">
        <f t="shared" si="10"/>
        <v>5399.8799999999992</v>
      </c>
      <c r="H663" t="str">
        <f>VLOOKUP(C663,'products '!$A$1:$G$322,2,FALSE)</f>
        <v>Trek Domane S 6 - 2017</v>
      </c>
    </row>
    <row r="664" spans="1:8" x14ac:dyDescent="0.3">
      <c r="A664">
        <v>663</v>
      </c>
      <c r="B664">
        <v>1</v>
      </c>
      <c r="C664">
        <v>41</v>
      </c>
      <c r="D664" s="2">
        <v>2</v>
      </c>
      <c r="E664" s="2">
        <v>1469.99</v>
      </c>
      <c r="F664">
        <v>0.05</v>
      </c>
      <c r="G664">
        <f t="shared" si="10"/>
        <v>2939.93</v>
      </c>
      <c r="H664" t="str">
        <f>VLOOKUP(C664,'products '!$A$1:$G$322,2,FALSE)</f>
        <v>Haro Shift R3 - 2017</v>
      </c>
    </row>
    <row r="665" spans="1:8" x14ac:dyDescent="0.3">
      <c r="A665">
        <v>664</v>
      </c>
      <c r="B665">
        <v>1</v>
      </c>
      <c r="C665">
        <v>52</v>
      </c>
      <c r="D665" s="2">
        <v>2</v>
      </c>
      <c r="E665" s="2">
        <v>875.99</v>
      </c>
      <c r="F665">
        <v>7.0000000000000007E-2</v>
      </c>
      <c r="G665">
        <f t="shared" si="10"/>
        <v>1751.91</v>
      </c>
      <c r="H665" t="str">
        <f>VLOOKUP(C665,'products '!$A$1:$G$322,2,FALSE)</f>
        <v>Surly Steamroller - 2017</v>
      </c>
    </row>
    <row r="666" spans="1:8" x14ac:dyDescent="0.3">
      <c r="A666">
        <v>665</v>
      </c>
      <c r="B666">
        <v>1</v>
      </c>
      <c r="C666">
        <v>58</v>
      </c>
      <c r="D666" s="2">
        <v>1</v>
      </c>
      <c r="E666" s="2">
        <v>4999.99</v>
      </c>
      <c r="F666">
        <v>7.0000000000000007E-2</v>
      </c>
      <c r="G666">
        <f t="shared" si="10"/>
        <v>4999.92</v>
      </c>
      <c r="H666" t="str">
        <f>VLOOKUP(C666,'products '!$A$1:$G$322,2,FALSE)</f>
        <v>Trek Madone 9.2 - 2017</v>
      </c>
    </row>
    <row r="667" spans="1:8" x14ac:dyDescent="0.3">
      <c r="A667">
        <v>666</v>
      </c>
      <c r="B667">
        <v>1</v>
      </c>
      <c r="C667">
        <v>98</v>
      </c>
      <c r="D667" s="2">
        <v>2</v>
      </c>
      <c r="E667" s="2">
        <v>489.99</v>
      </c>
      <c r="F667">
        <v>0.2</v>
      </c>
      <c r="G667">
        <f t="shared" si="10"/>
        <v>979.78</v>
      </c>
      <c r="H667" t="str">
        <f>VLOOKUP(C667,'products '!$A$1:$G$322,2,FALSE)</f>
        <v>Electra Straight 8 3i (20-inch) - Boy's - 2017</v>
      </c>
    </row>
    <row r="668" spans="1:8" x14ac:dyDescent="0.3">
      <c r="A668">
        <v>667</v>
      </c>
      <c r="B668">
        <v>1</v>
      </c>
      <c r="C668">
        <v>79</v>
      </c>
      <c r="D668" s="2">
        <v>1</v>
      </c>
      <c r="E668" s="2">
        <v>402.99</v>
      </c>
      <c r="F668">
        <v>0.2</v>
      </c>
      <c r="G668">
        <f t="shared" si="10"/>
        <v>402.79</v>
      </c>
      <c r="H668" t="str">
        <f>VLOOKUP(C668,'products '!$A$1:$G$322,2,FALSE)</f>
        <v>Sun Bicycles Boardwalk (24-inch Wheels) - 2017</v>
      </c>
    </row>
    <row r="669" spans="1:8" x14ac:dyDescent="0.3">
      <c r="A669">
        <v>668</v>
      </c>
      <c r="B669">
        <v>1</v>
      </c>
      <c r="C669">
        <v>48</v>
      </c>
      <c r="D669" s="2">
        <v>2</v>
      </c>
      <c r="E669" s="2">
        <v>1499.99</v>
      </c>
      <c r="F669">
        <v>0.05</v>
      </c>
      <c r="G669">
        <f t="shared" si="10"/>
        <v>2999.93</v>
      </c>
      <c r="H669" t="str">
        <f>VLOOKUP(C669,'products '!$A$1:$G$322,2,FALSE)</f>
        <v>Trek Emonda S 4 - 2017</v>
      </c>
    </row>
    <row r="670" spans="1:8" x14ac:dyDescent="0.3">
      <c r="A670">
        <v>669</v>
      </c>
      <c r="B670">
        <v>1</v>
      </c>
      <c r="C670">
        <v>16</v>
      </c>
      <c r="D670" s="2">
        <v>2</v>
      </c>
      <c r="E670" s="2">
        <v>599.99</v>
      </c>
      <c r="F670">
        <v>7.0000000000000007E-2</v>
      </c>
      <c r="G670">
        <f t="shared" si="10"/>
        <v>1199.9100000000001</v>
      </c>
      <c r="H670" t="str">
        <f>VLOOKUP(C670,'products '!$A$1:$G$322,2,FALSE)</f>
        <v>Electra Townie Original 7D EQ - 2016</v>
      </c>
    </row>
    <row r="671" spans="1:8" x14ac:dyDescent="0.3">
      <c r="A671">
        <v>670</v>
      </c>
      <c r="B671">
        <v>1</v>
      </c>
      <c r="C671">
        <v>108</v>
      </c>
      <c r="D671" s="2">
        <v>1</v>
      </c>
      <c r="E671" s="2">
        <v>449.99</v>
      </c>
      <c r="F671">
        <v>0.1</v>
      </c>
      <c r="G671">
        <f t="shared" si="10"/>
        <v>449.89</v>
      </c>
      <c r="H671" t="str">
        <f>VLOOKUP(C671,'products '!$A$1:$G$322,2,FALSE)</f>
        <v>Sun Bicycles Cruz 3 - Women's - 2017</v>
      </c>
    </row>
    <row r="672" spans="1:8" x14ac:dyDescent="0.3">
      <c r="A672">
        <v>671</v>
      </c>
      <c r="B672">
        <v>1</v>
      </c>
      <c r="C672">
        <v>30</v>
      </c>
      <c r="D672" s="2">
        <v>1</v>
      </c>
      <c r="E672" s="2">
        <v>999.99</v>
      </c>
      <c r="F672">
        <v>0.05</v>
      </c>
      <c r="G672">
        <f t="shared" si="10"/>
        <v>999.94</v>
      </c>
      <c r="H672" t="str">
        <f>VLOOKUP(C672,'products '!$A$1:$G$322,2,FALSE)</f>
        <v>Surly Ice Cream Truck Frameset - 2017</v>
      </c>
    </row>
    <row r="673" spans="1:8" x14ac:dyDescent="0.3">
      <c r="A673">
        <v>672</v>
      </c>
      <c r="B673">
        <v>1</v>
      </c>
      <c r="C673">
        <v>51</v>
      </c>
      <c r="D673" s="2">
        <v>2</v>
      </c>
      <c r="E673" s="2">
        <v>6499.99</v>
      </c>
      <c r="F673">
        <v>7.0000000000000007E-2</v>
      </c>
      <c r="G673">
        <f t="shared" si="10"/>
        <v>12999.91</v>
      </c>
      <c r="H673" t="str">
        <f>VLOOKUP(C673,'products '!$A$1:$G$322,2,FALSE)</f>
        <v>Trek Silque SLR 8 Women's - 2017</v>
      </c>
    </row>
    <row r="674" spans="1:8" x14ac:dyDescent="0.3">
      <c r="A674">
        <v>673</v>
      </c>
      <c r="B674">
        <v>1</v>
      </c>
      <c r="C674">
        <v>66</v>
      </c>
      <c r="D674" s="2">
        <v>1</v>
      </c>
      <c r="E674" s="2">
        <v>250.99</v>
      </c>
      <c r="F674">
        <v>0.2</v>
      </c>
      <c r="G674">
        <f t="shared" si="10"/>
        <v>250.79000000000002</v>
      </c>
      <c r="H674" t="str">
        <f>VLOOKUP(C674,'products '!$A$1:$G$322,2,FALSE)</f>
        <v>Sun Bicycles Revolutions 24 - 2017</v>
      </c>
    </row>
    <row r="675" spans="1:8" x14ac:dyDescent="0.3">
      <c r="A675">
        <v>674</v>
      </c>
      <c r="B675">
        <v>1</v>
      </c>
      <c r="C675">
        <v>26</v>
      </c>
      <c r="D675" s="2">
        <v>2</v>
      </c>
      <c r="E675" s="2">
        <v>599.99</v>
      </c>
      <c r="F675">
        <v>0.2</v>
      </c>
      <c r="G675">
        <f t="shared" si="10"/>
        <v>1199.78</v>
      </c>
      <c r="H675" t="str">
        <f>VLOOKUP(C675,'products '!$A$1:$G$322,2,FALSE)</f>
        <v>Electra Townie Original 7D EQ - 2016</v>
      </c>
    </row>
    <row r="676" spans="1:8" x14ac:dyDescent="0.3">
      <c r="A676">
        <v>675</v>
      </c>
      <c r="B676">
        <v>1</v>
      </c>
      <c r="C676">
        <v>17</v>
      </c>
      <c r="D676" s="2">
        <v>1</v>
      </c>
      <c r="E676" s="2">
        <v>429</v>
      </c>
      <c r="F676">
        <v>0.05</v>
      </c>
      <c r="G676">
        <f t="shared" si="10"/>
        <v>428.95</v>
      </c>
      <c r="H676" t="str">
        <f>VLOOKUP(C676,'products '!$A$1:$G$322,2,FALSE)</f>
        <v>Pure Cycles Vine 8-Speed - 2016</v>
      </c>
    </row>
    <row r="677" spans="1:8" x14ac:dyDescent="0.3">
      <c r="A677">
        <v>676</v>
      </c>
      <c r="B677">
        <v>1</v>
      </c>
      <c r="C677">
        <v>70</v>
      </c>
      <c r="D677" s="2">
        <v>1</v>
      </c>
      <c r="E677" s="2">
        <v>659.99</v>
      </c>
      <c r="F677">
        <v>0.2</v>
      </c>
      <c r="G677">
        <f t="shared" si="10"/>
        <v>659.79</v>
      </c>
      <c r="H677" t="str">
        <f>VLOOKUP(C677,'products '!$A$1:$G$322,2,FALSE)</f>
        <v>Electra Amsterdam Original 3i - 2015/2017</v>
      </c>
    </row>
    <row r="678" spans="1:8" x14ac:dyDescent="0.3">
      <c r="A678">
        <v>677</v>
      </c>
      <c r="B678">
        <v>1</v>
      </c>
      <c r="C678">
        <v>75</v>
      </c>
      <c r="D678" s="2">
        <v>1</v>
      </c>
      <c r="E678" s="2">
        <v>599.99</v>
      </c>
      <c r="F678">
        <v>7.0000000000000007E-2</v>
      </c>
      <c r="G678">
        <f t="shared" si="10"/>
        <v>599.91999999999996</v>
      </c>
      <c r="H678" t="str">
        <f>VLOOKUP(C678,'products '!$A$1:$G$322,2,FALSE)</f>
        <v>Electra Cruiser Lux Fat Tire 1 Ladies - 2017</v>
      </c>
    </row>
    <row r="679" spans="1:8" x14ac:dyDescent="0.3">
      <c r="A679">
        <v>678</v>
      </c>
      <c r="B679">
        <v>1</v>
      </c>
      <c r="C679">
        <v>52</v>
      </c>
      <c r="D679" s="2">
        <v>2</v>
      </c>
      <c r="E679" s="2">
        <v>875.99</v>
      </c>
      <c r="F679">
        <v>0.05</v>
      </c>
      <c r="G679">
        <f t="shared" si="10"/>
        <v>1751.93</v>
      </c>
      <c r="H679" t="str">
        <f>VLOOKUP(C679,'products '!$A$1:$G$322,2,FALSE)</f>
        <v>Surly Steamroller - 2017</v>
      </c>
    </row>
    <row r="680" spans="1:8" x14ac:dyDescent="0.3">
      <c r="A680">
        <v>679</v>
      </c>
      <c r="B680">
        <v>1</v>
      </c>
      <c r="C680">
        <v>15</v>
      </c>
      <c r="D680" s="2">
        <v>2</v>
      </c>
      <c r="E680" s="2">
        <v>529.99</v>
      </c>
      <c r="F680">
        <v>0.2</v>
      </c>
      <c r="G680">
        <f t="shared" si="10"/>
        <v>1059.78</v>
      </c>
      <c r="H680" t="str">
        <f>VLOOKUP(C680,'products '!$A$1:$G$322,2,FALSE)</f>
        <v>Electra Moto 1 - 2016</v>
      </c>
    </row>
    <row r="681" spans="1:8" x14ac:dyDescent="0.3">
      <c r="A681">
        <v>680</v>
      </c>
      <c r="B681">
        <v>1</v>
      </c>
      <c r="C681">
        <v>81</v>
      </c>
      <c r="D681" s="2">
        <v>2</v>
      </c>
      <c r="E681" s="2">
        <v>1099.99</v>
      </c>
      <c r="F681">
        <v>0.05</v>
      </c>
      <c r="G681">
        <f t="shared" si="10"/>
        <v>2199.9299999999998</v>
      </c>
      <c r="H681" t="str">
        <f>VLOOKUP(C681,'products '!$A$1:$G$322,2,FALSE)</f>
        <v>Electra Amsterdam Fashion 7i Ladies' - 2017</v>
      </c>
    </row>
    <row r="682" spans="1:8" x14ac:dyDescent="0.3">
      <c r="A682">
        <v>681</v>
      </c>
      <c r="B682">
        <v>1</v>
      </c>
      <c r="C682">
        <v>82</v>
      </c>
      <c r="D682" s="2">
        <v>1</v>
      </c>
      <c r="E682" s="2">
        <v>659.99</v>
      </c>
      <c r="F682">
        <v>0.05</v>
      </c>
      <c r="G682">
        <f t="shared" si="10"/>
        <v>659.94</v>
      </c>
      <c r="H682" t="str">
        <f>VLOOKUP(C682,'products '!$A$1:$G$322,2,FALSE)</f>
        <v>Electra Amsterdam Original 3i Ladies' - 2017</v>
      </c>
    </row>
    <row r="683" spans="1:8" x14ac:dyDescent="0.3">
      <c r="A683">
        <v>682</v>
      </c>
      <c r="B683">
        <v>1</v>
      </c>
      <c r="C683">
        <v>39</v>
      </c>
      <c r="D683" s="2">
        <v>1</v>
      </c>
      <c r="E683" s="2">
        <v>1499.99</v>
      </c>
      <c r="F683">
        <v>0.2</v>
      </c>
      <c r="G683">
        <f t="shared" si="10"/>
        <v>1499.79</v>
      </c>
      <c r="H683" t="str">
        <f>VLOOKUP(C683,'products '!$A$1:$G$322,2,FALSE)</f>
        <v>Trek Stache 5 - 2017</v>
      </c>
    </row>
    <row r="684" spans="1:8" x14ac:dyDescent="0.3">
      <c r="A684">
        <v>683</v>
      </c>
      <c r="B684">
        <v>1</v>
      </c>
      <c r="C684">
        <v>2</v>
      </c>
      <c r="D684" s="2">
        <v>2</v>
      </c>
      <c r="E684" s="2">
        <v>749.99</v>
      </c>
      <c r="F684">
        <v>0.1</v>
      </c>
      <c r="G684">
        <f t="shared" si="10"/>
        <v>1499.88</v>
      </c>
      <c r="H684" t="str">
        <f>VLOOKUP(C684,'products '!$A$1:$G$322,2,FALSE)</f>
        <v>Ritchey Timberwolf Frameset - 2016</v>
      </c>
    </row>
    <row r="685" spans="1:8" x14ac:dyDescent="0.3">
      <c r="A685">
        <v>684</v>
      </c>
      <c r="B685">
        <v>1</v>
      </c>
      <c r="C685">
        <v>56</v>
      </c>
      <c r="D685" s="2">
        <v>1</v>
      </c>
      <c r="E685" s="2">
        <v>5499.99</v>
      </c>
      <c r="F685">
        <v>7.0000000000000007E-2</v>
      </c>
      <c r="G685">
        <f t="shared" si="10"/>
        <v>5499.92</v>
      </c>
      <c r="H685" t="str">
        <f>VLOOKUP(C685,'products '!$A$1:$G$322,2,FALSE)</f>
        <v>Trek Domane SLR 6 Disc - 2017</v>
      </c>
    </row>
    <row r="686" spans="1:8" x14ac:dyDescent="0.3">
      <c r="A686">
        <v>685</v>
      </c>
      <c r="B686">
        <v>1</v>
      </c>
      <c r="C686">
        <v>59</v>
      </c>
      <c r="D686" s="2">
        <v>1</v>
      </c>
      <c r="E686" s="2">
        <v>2599.9899999999998</v>
      </c>
      <c r="F686">
        <v>0.05</v>
      </c>
      <c r="G686">
        <f t="shared" si="10"/>
        <v>2599.9399999999996</v>
      </c>
      <c r="H686" t="str">
        <f>VLOOKUP(C686,'products '!$A$1:$G$322,2,FALSE)</f>
        <v>Trek Domane S 5 Disc - 2017</v>
      </c>
    </row>
    <row r="687" spans="1:8" x14ac:dyDescent="0.3">
      <c r="A687">
        <v>686</v>
      </c>
      <c r="B687">
        <v>1</v>
      </c>
      <c r="C687">
        <v>16</v>
      </c>
      <c r="D687" s="2">
        <v>1</v>
      </c>
      <c r="E687" s="2">
        <v>599.99</v>
      </c>
      <c r="F687">
        <v>0.2</v>
      </c>
      <c r="G687">
        <f t="shared" si="10"/>
        <v>599.79</v>
      </c>
      <c r="H687" t="str">
        <f>VLOOKUP(C687,'products '!$A$1:$G$322,2,FALSE)</f>
        <v>Electra Townie Original 7D EQ - 2016</v>
      </c>
    </row>
    <row r="688" spans="1:8" x14ac:dyDescent="0.3">
      <c r="A688">
        <v>687</v>
      </c>
      <c r="B688">
        <v>1</v>
      </c>
      <c r="C688">
        <v>48</v>
      </c>
      <c r="D688" s="2">
        <v>2</v>
      </c>
      <c r="E688" s="2">
        <v>1499.99</v>
      </c>
      <c r="F688">
        <v>0.05</v>
      </c>
      <c r="G688">
        <f t="shared" si="10"/>
        <v>2999.93</v>
      </c>
      <c r="H688" t="str">
        <f>VLOOKUP(C688,'products '!$A$1:$G$322,2,FALSE)</f>
        <v>Trek Emonda S 4 - 2017</v>
      </c>
    </row>
    <row r="689" spans="1:8" x14ac:dyDescent="0.3">
      <c r="A689">
        <v>688</v>
      </c>
      <c r="B689">
        <v>1</v>
      </c>
      <c r="C689">
        <v>8</v>
      </c>
      <c r="D689" s="2">
        <v>1</v>
      </c>
      <c r="E689" s="2">
        <v>1799.99</v>
      </c>
      <c r="F689">
        <v>0.1</v>
      </c>
      <c r="G689">
        <f t="shared" si="10"/>
        <v>1799.89</v>
      </c>
      <c r="H689" t="str">
        <f>VLOOKUP(C689,'products '!$A$1:$G$322,2,FALSE)</f>
        <v>Trek Remedy 29 Carbon Frameset - 2016</v>
      </c>
    </row>
    <row r="690" spans="1:8" x14ac:dyDescent="0.3">
      <c r="A690">
        <v>689</v>
      </c>
      <c r="B690">
        <v>1</v>
      </c>
      <c r="C690">
        <v>33</v>
      </c>
      <c r="D690" s="2">
        <v>2</v>
      </c>
      <c r="E690" s="2">
        <v>469.99</v>
      </c>
      <c r="F690">
        <v>0.1</v>
      </c>
      <c r="G690">
        <f t="shared" si="10"/>
        <v>939.88</v>
      </c>
      <c r="H690" t="str">
        <f>VLOOKUP(C690,'products '!$A$1:$G$322,2,FALSE)</f>
        <v>Surly Wednesday Frameset - 2017</v>
      </c>
    </row>
    <row r="691" spans="1:8" x14ac:dyDescent="0.3">
      <c r="A691">
        <v>690</v>
      </c>
      <c r="B691">
        <v>1</v>
      </c>
      <c r="C691">
        <v>84</v>
      </c>
      <c r="D691" s="2">
        <v>1</v>
      </c>
      <c r="E691" s="2">
        <v>109.99</v>
      </c>
      <c r="F691">
        <v>0.2</v>
      </c>
      <c r="G691">
        <f t="shared" si="10"/>
        <v>109.78999999999999</v>
      </c>
      <c r="H691" t="str">
        <f>VLOOKUP(C691,'products '!$A$1:$G$322,2,FALSE)</f>
        <v>Sun Bicycles Lil Kitt'n - 2017</v>
      </c>
    </row>
    <row r="692" spans="1:8" x14ac:dyDescent="0.3">
      <c r="A692">
        <v>691</v>
      </c>
      <c r="B692">
        <v>1</v>
      </c>
      <c r="C692">
        <v>23</v>
      </c>
      <c r="D692" s="2">
        <v>2</v>
      </c>
      <c r="E692" s="2">
        <v>299.99</v>
      </c>
      <c r="F692">
        <v>0.05</v>
      </c>
      <c r="G692">
        <f t="shared" si="10"/>
        <v>599.93000000000006</v>
      </c>
      <c r="H692" t="str">
        <f>VLOOKUP(C692,'products '!$A$1:$G$322,2,FALSE)</f>
        <v>Electra Girl's Hawaii 1 (20-inch) - 2015/2016</v>
      </c>
    </row>
    <row r="693" spans="1:8" x14ac:dyDescent="0.3">
      <c r="A693">
        <v>692</v>
      </c>
      <c r="B693">
        <v>1</v>
      </c>
      <c r="C693">
        <v>59</v>
      </c>
      <c r="D693" s="2">
        <v>1</v>
      </c>
      <c r="E693" s="2">
        <v>2599.9899999999998</v>
      </c>
      <c r="F693">
        <v>0.2</v>
      </c>
      <c r="G693">
        <f t="shared" si="10"/>
        <v>2599.79</v>
      </c>
      <c r="H693" t="str">
        <f>VLOOKUP(C693,'products '!$A$1:$G$322,2,FALSE)</f>
        <v>Trek Domane S 5 Disc - 2017</v>
      </c>
    </row>
    <row r="694" spans="1:8" x14ac:dyDescent="0.3">
      <c r="A694">
        <v>693</v>
      </c>
      <c r="B694">
        <v>1</v>
      </c>
      <c r="C694">
        <v>104</v>
      </c>
      <c r="D694" s="2">
        <v>2</v>
      </c>
      <c r="E694" s="2">
        <v>481.99</v>
      </c>
      <c r="F694">
        <v>0.2</v>
      </c>
      <c r="G694">
        <f t="shared" si="10"/>
        <v>963.78</v>
      </c>
      <c r="H694" t="str">
        <f>VLOOKUP(C694,'products '!$A$1:$G$322,2,FALSE)</f>
        <v>Sun Bicycles Streamway - 2017</v>
      </c>
    </row>
    <row r="695" spans="1:8" x14ac:dyDescent="0.3">
      <c r="A695">
        <v>694</v>
      </c>
      <c r="B695">
        <v>1</v>
      </c>
      <c r="C695">
        <v>48</v>
      </c>
      <c r="D695" s="2">
        <v>1</v>
      </c>
      <c r="E695" s="2">
        <v>1499.99</v>
      </c>
      <c r="F695">
        <v>0.2</v>
      </c>
      <c r="G695">
        <f t="shared" si="10"/>
        <v>1499.79</v>
      </c>
      <c r="H695" t="str">
        <f>VLOOKUP(C695,'products '!$A$1:$G$322,2,FALSE)</f>
        <v>Trek Emonda S 4 - 2017</v>
      </c>
    </row>
    <row r="696" spans="1:8" x14ac:dyDescent="0.3">
      <c r="A696">
        <v>695</v>
      </c>
      <c r="B696">
        <v>1</v>
      </c>
      <c r="C696">
        <v>82</v>
      </c>
      <c r="D696" s="2">
        <v>2</v>
      </c>
      <c r="E696" s="2">
        <v>659.99</v>
      </c>
      <c r="F696">
        <v>0.1</v>
      </c>
      <c r="G696">
        <f t="shared" si="10"/>
        <v>1319.88</v>
      </c>
      <c r="H696" t="str">
        <f>VLOOKUP(C696,'products '!$A$1:$G$322,2,FALSE)</f>
        <v>Electra Amsterdam Original 3i Ladies' - 2017</v>
      </c>
    </row>
    <row r="697" spans="1:8" x14ac:dyDescent="0.3">
      <c r="A697">
        <v>696</v>
      </c>
      <c r="B697">
        <v>1</v>
      </c>
      <c r="C697">
        <v>88</v>
      </c>
      <c r="D697" s="2">
        <v>2</v>
      </c>
      <c r="E697" s="2">
        <v>189.99</v>
      </c>
      <c r="F697">
        <v>7.0000000000000007E-2</v>
      </c>
      <c r="G697">
        <f t="shared" si="10"/>
        <v>379.91</v>
      </c>
      <c r="H697" t="str">
        <f>VLOOKUP(C697,'products '!$A$1:$G$322,2,FALSE)</f>
        <v>Trek Precaliber 12 Girls - 2017</v>
      </c>
    </row>
    <row r="698" spans="1:8" x14ac:dyDescent="0.3">
      <c r="A698">
        <v>697</v>
      </c>
      <c r="B698">
        <v>1</v>
      </c>
      <c r="C698">
        <v>5</v>
      </c>
      <c r="D698" s="2">
        <v>2</v>
      </c>
      <c r="E698" s="2">
        <v>1320.99</v>
      </c>
      <c r="F698">
        <v>0.05</v>
      </c>
      <c r="G698">
        <f t="shared" si="10"/>
        <v>2641.93</v>
      </c>
      <c r="H698" t="str">
        <f>VLOOKUP(C698,'products '!$A$1:$G$322,2,FALSE)</f>
        <v>Heller Shagamaw Frame - 2016</v>
      </c>
    </row>
    <row r="699" spans="1:8" x14ac:dyDescent="0.3">
      <c r="A699">
        <v>698</v>
      </c>
      <c r="B699">
        <v>1</v>
      </c>
      <c r="C699">
        <v>96</v>
      </c>
      <c r="D699" s="2">
        <v>1</v>
      </c>
      <c r="E699" s="2">
        <v>349.99</v>
      </c>
      <c r="F699">
        <v>7.0000000000000007E-2</v>
      </c>
      <c r="G699">
        <f t="shared" si="10"/>
        <v>349.92</v>
      </c>
      <c r="H699" t="str">
        <f>VLOOKUP(C699,'products '!$A$1:$G$322,2,FALSE)</f>
        <v>Electra Moto 3i (20-inch) - Boy's - 2017</v>
      </c>
    </row>
    <row r="700" spans="1:8" x14ac:dyDescent="0.3">
      <c r="A700">
        <v>699</v>
      </c>
      <c r="B700">
        <v>1</v>
      </c>
      <c r="C700">
        <v>106</v>
      </c>
      <c r="D700" s="2">
        <v>2</v>
      </c>
      <c r="E700" s="2">
        <v>449.99</v>
      </c>
      <c r="F700">
        <v>0.1</v>
      </c>
      <c r="G700">
        <f t="shared" si="10"/>
        <v>899.88</v>
      </c>
      <c r="H700" t="str">
        <f>VLOOKUP(C700,'products '!$A$1:$G$322,2,FALSE)</f>
        <v>Sun Bicycles Cruz 3 - 2017</v>
      </c>
    </row>
    <row r="701" spans="1:8" x14ac:dyDescent="0.3">
      <c r="A701">
        <v>700</v>
      </c>
      <c r="B701">
        <v>1</v>
      </c>
      <c r="C701">
        <v>7</v>
      </c>
      <c r="D701" s="2">
        <v>2</v>
      </c>
      <c r="E701" s="2">
        <v>3999.99</v>
      </c>
      <c r="F701">
        <v>0.05</v>
      </c>
      <c r="G701">
        <f t="shared" si="10"/>
        <v>7999.9299999999994</v>
      </c>
      <c r="H701" t="str">
        <f>VLOOKUP(C701,'products '!$A$1:$G$322,2,FALSE)</f>
        <v>Trek Slash 8 27.5 - 2016</v>
      </c>
    </row>
    <row r="702" spans="1:8" x14ac:dyDescent="0.3">
      <c r="A702">
        <v>701</v>
      </c>
      <c r="B702">
        <v>1</v>
      </c>
      <c r="C702">
        <v>84</v>
      </c>
      <c r="D702" s="2">
        <v>1</v>
      </c>
      <c r="E702" s="2">
        <v>109.99</v>
      </c>
      <c r="F702">
        <v>0.05</v>
      </c>
      <c r="G702">
        <f t="shared" si="10"/>
        <v>109.94</v>
      </c>
      <c r="H702" t="str">
        <f>VLOOKUP(C702,'products '!$A$1:$G$322,2,FALSE)</f>
        <v>Sun Bicycles Lil Kitt'n - 2017</v>
      </c>
    </row>
    <row r="703" spans="1:8" x14ac:dyDescent="0.3">
      <c r="A703">
        <v>702</v>
      </c>
      <c r="B703">
        <v>1</v>
      </c>
      <c r="C703">
        <v>25</v>
      </c>
      <c r="D703" s="2">
        <v>2</v>
      </c>
      <c r="E703" s="2">
        <v>499.99</v>
      </c>
      <c r="F703">
        <v>0.05</v>
      </c>
      <c r="G703">
        <f t="shared" si="10"/>
        <v>999.93000000000006</v>
      </c>
      <c r="H703" t="str">
        <f>VLOOKUP(C703,'products '!$A$1:$G$322,2,FALSE)</f>
        <v>Electra Townie Original 7D - 2015/2016</v>
      </c>
    </row>
    <row r="704" spans="1:8" x14ac:dyDescent="0.3">
      <c r="A704">
        <v>703</v>
      </c>
      <c r="B704">
        <v>1</v>
      </c>
      <c r="C704">
        <v>45</v>
      </c>
      <c r="D704" s="2">
        <v>2</v>
      </c>
      <c r="E704" s="2">
        <v>869.99</v>
      </c>
      <c r="F704">
        <v>0.2</v>
      </c>
      <c r="G704">
        <f t="shared" si="10"/>
        <v>1739.78</v>
      </c>
      <c r="H704" t="str">
        <f>VLOOKUP(C704,'products '!$A$1:$G$322,2,FALSE)</f>
        <v>Haro SR 1.2 - 2017</v>
      </c>
    </row>
    <row r="705" spans="1:8" x14ac:dyDescent="0.3">
      <c r="A705">
        <v>704</v>
      </c>
      <c r="B705">
        <v>1</v>
      </c>
      <c r="C705">
        <v>10</v>
      </c>
      <c r="D705" s="2">
        <v>2</v>
      </c>
      <c r="E705" s="2">
        <v>1549</v>
      </c>
      <c r="F705">
        <v>0.05</v>
      </c>
      <c r="G705">
        <f t="shared" si="10"/>
        <v>3097.95</v>
      </c>
      <c r="H705" t="str">
        <f>VLOOKUP(C705,'products '!$A$1:$G$322,2,FALSE)</f>
        <v>Surly Straggler - 2016</v>
      </c>
    </row>
    <row r="706" spans="1:8" x14ac:dyDescent="0.3">
      <c r="A706">
        <v>705</v>
      </c>
      <c r="B706">
        <v>1</v>
      </c>
      <c r="C706">
        <v>61</v>
      </c>
      <c r="D706" s="2">
        <v>1</v>
      </c>
      <c r="E706" s="2">
        <v>4999.99</v>
      </c>
      <c r="F706">
        <v>0.1</v>
      </c>
      <c r="G706">
        <f t="shared" si="10"/>
        <v>4999.8899999999994</v>
      </c>
      <c r="H706" t="str">
        <f>VLOOKUP(C706,'products '!$A$1:$G$322,2,FALSE)</f>
        <v>Trek Powerfly 8 FS Plus - 2017</v>
      </c>
    </row>
    <row r="707" spans="1:8" x14ac:dyDescent="0.3">
      <c r="A707">
        <v>706</v>
      </c>
      <c r="B707">
        <v>1</v>
      </c>
      <c r="C707">
        <v>27</v>
      </c>
      <c r="D707" s="2">
        <v>1</v>
      </c>
      <c r="E707" s="2">
        <v>999.99</v>
      </c>
      <c r="F707">
        <v>0.1</v>
      </c>
      <c r="G707">
        <f t="shared" ref="G707:G770" si="11">E707*D707-F707</f>
        <v>999.89</v>
      </c>
      <c r="H707" t="str">
        <f>VLOOKUP(C707,'products '!$A$1:$G$322,2,FALSE)</f>
        <v>Surly Big Dummy Frameset - 2017</v>
      </c>
    </row>
    <row r="708" spans="1:8" x14ac:dyDescent="0.3">
      <c r="A708">
        <v>707</v>
      </c>
      <c r="B708">
        <v>1</v>
      </c>
      <c r="C708">
        <v>106</v>
      </c>
      <c r="D708" s="2">
        <v>2</v>
      </c>
      <c r="E708" s="2">
        <v>449.99</v>
      </c>
      <c r="F708">
        <v>0.05</v>
      </c>
      <c r="G708">
        <f t="shared" si="11"/>
        <v>899.93000000000006</v>
      </c>
      <c r="H708" t="str">
        <f>VLOOKUP(C708,'products '!$A$1:$G$322,2,FALSE)</f>
        <v>Sun Bicycles Cruz 3 - 2017</v>
      </c>
    </row>
    <row r="709" spans="1:8" x14ac:dyDescent="0.3">
      <c r="A709">
        <v>708</v>
      </c>
      <c r="B709">
        <v>1</v>
      </c>
      <c r="C709">
        <v>6</v>
      </c>
      <c r="D709" s="2">
        <v>1</v>
      </c>
      <c r="E709" s="2">
        <v>469.99</v>
      </c>
      <c r="F709">
        <v>7.0000000000000007E-2</v>
      </c>
      <c r="G709">
        <f t="shared" si="11"/>
        <v>469.92</v>
      </c>
      <c r="H709" t="str">
        <f>VLOOKUP(C709,'products '!$A$1:$G$322,2,FALSE)</f>
        <v>Surly Ice Cream Truck Frameset - 2016</v>
      </c>
    </row>
    <row r="710" spans="1:8" x14ac:dyDescent="0.3">
      <c r="A710">
        <v>709</v>
      </c>
      <c r="B710">
        <v>1</v>
      </c>
      <c r="C710">
        <v>55</v>
      </c>
      <c r="D710" s="2">
        <v>2</v>
      </c>
      <c r="E710" s="2">
        <v>2699.99</v>
      </c>
      <c r="F710">
        <v>0.05</v>
      </c>
      <c r="G710">
        <f t="shared" si="11"/>
        <v>5399.9299999999994</v>
      </c>
      <c r="H710" t="str">
        <f>VLOOKUP(C710,'products '!$A$1:$G$322,2,FALSE)</f>
        <v>Trek Domane S 6 - 2017</v>
      </c>
    </row>
    <row r="711" spans="1:8" x14ac:dyDescent="0.3">
      <c r="A711">
        <v>710</v>
      </c>
      <c r="B711">
        <v>1</v>
      </c>
      <c r="C711">
        <v>42</v>
      </c>
      <c r="D711" s="2">
        <v>1</v>
      </c>
      <c r="E711" s="2">
        <v>2299.9899999999998</v>
      </c>
      <c r="F711">
        <v>0.05</v>
      </c>
      <c r="G711">
        <f t="shared" si="11"/>
        <v>2299.9399999999996</v>
      </c>
      <c r="H711" t="str">
        <f>VLOOKUP(C711,'products '!$A$1:$G$322,2,FALSE)</f>
        <v>Trek Fuel EX 5 27.5 Plus - 2017</v>
      </c>
    </row>
    <row r="712" spans="1:8" x14ac:dyDescent="0.3">
      <c r="A712">
        <v>711</v>
      </c>
      <c r="B712">
        <v>1</v>
      </c>
      <c r="C712">
        <v>5</v>
      </c>
      <c r="D712" s="2">
        <v>2</v>
      </c>
      <c r="E712" s="2">
        <v>1320.99</v>
      </c>
      <c r="F712">
        <v>0.05</v>
      </c>
      <c r="G712">
        <f t="shared" si="11"/>
        <v>2641.93</v>
      </c>
      <c r="H712" t="str">
        <f>VLOOKUP(C712,'products '!$A$1:$G$322,2,FALSE)</f>
        <v>Heller Shagamaw Frame - 2016</v>
      </c>
    </row>
    <row r="713" spans="1:8" x14ac:dyDescent="0.3">
      <c r="A713">
        <v>712</v>
      </c>
      <c r="B713">
        <v>1</v>
      </c>
      <c r="C713">
        <v>44</v>
      </c>
      <c r="D713" s="2">
        <v>2</v>
      </c>
      <c r="E713" s="2">
        <v>539.99</v>
      </c>
      <c r="F713">
        <v>0.2</v>
      </c>
      <c r="G713">
        <f t="shared" si="11"/>
        <v>1079.78</v>
      </c>
      <c r="H713" t="str">
        <f>VLOOKUP(C713,'products '!$A$1:$G$322,2,FALSE)</f>
        <v>Haro SR 1.1 - 2017</v>
      </c>
    </row>
    <row r="714" spans="1:8" x14ac:dyDescent="0.3">
      <c r="A714">
        <v>713</v>
      </c>
      <c r="B714">
        <v>1</v>
      </c>
      <c r="C714">
        <v>93</v>
      </c>
      <c r="D714" s="2">
        <v>2</v>
      </c>
      <c r="E714" s="2">
        <v>209.99</v>
      </c>
      <c r="F714">
        <v>0.2</v>
      </c>
      <c r="G714">
        <f t="shared" si="11"/>
        <v>419.78000000000003</v>
      </c>
      <c r="H714" t="str">
        <f>VLOOKUP(C714,'products '!$A$1:$G$322,2,FALSE)</f>
        <v>Haro Shredder 20 Girls - 2017</v>
      </c>
    </row>
    <row r="715" spans="1:8" x14ac:dyDescent="0.3">
      <c r="A715">
        <v>714</v>
      </c>
      <c r="B715">
        <v>1</v>
      </c>
      <c r="C715">
        <v>92</v>
      </c>
      <c r="D715" s="2">
        <v>2</v>
      </c>
      <c r="E715" s="2">
        <v>209.99</v>
      </c>
      <c r="F715">
        <v>0.2</v>
      </c>
      <c r="G715">
        <f t="shared" si="11"/>
        <v>419.78000000000003</v>
      </c>
      <c r="H715" t="str">
        <f>VLOOKUP(C715,'products '!$A$1:$G$322,2,FALSE)</f>
        <v>Haro Shredder 20 - 2017</v>
      </c>
    </row>
    <row r="716" spans="1:8" x14ac:dyDescent="0.3">
      <c r="A716">
        <v>715</v>
      </c>
      <c r="B716">
        <v>1</v>
      </c>
      <c r="C716">
        <v>61</v>
      </c>
      <c r="D716" s="2">
        <v>2</v>
      </c>
      <c r="E716" s="2">
        <v>4999.99</v>
      </c>
      <c r="F716">
        <v>0.1</v>
      </c>
      <c r="G716">
        <f t="shared" si="11"/>
        <v>9999.8799999999992</v>
      </c>
      <c r="H716" t="str">
        <f>VLOOKUP(C716,'products '!$A$1:$G$322,2,FALSE)</f>
        <v>Trek Powerfly 8 FS Plus - 2017</v>
      </c>
    </row>
    <row r="717" spans="1:8" x14ac:dyDescent="0.3">
      <c r="A717">
        <v>716</v>
      </c>
      <c r="B717">
        <v>1</v>
      </c>
      <c r="C717">
        <v>111</v>
      </c>
      <c r="D717" s="2">
        <v>2</v>
      </c>
      <c r="E717" s="2">
        <v>470.99</v>
      </c>
      <c r="F717">
        <v>0.1</v>
      </c>
      <c r="G717">
        <f t="shared" si="11"/>
        <v>941.88</v>
      </c>
      <c r="H717" t="str">
        <f>VLOOKUP(C717,'products '!$A$1:$G$322,2,FALSE)</f>
        <v>Sun Bicycles Drifter 7 - Women's - 2017</v>
      </c>
    </row>
    <row r="718" spans="1:8" x14ac:dyDescent="0.3">
      <c r="A718">
        <v>717</v>
      </c>
      <c r="B718">
        <v>1</v>
      </c>
      <c r="C718">
        <v>56</v>
      </c>
      <c r="D718" s="2">
        <v>2</v>
      </c>
      <c r="E718" s="2">
        <v>5499.99</v>
      </c>
      <c r="F718">
        <v>0.05</v>
      </c>
      <c r="G718">
        <f t="shared" si="11"/>
        <v>10999.93</v>
      </c>
      <c r="H718" t="str">
        <f>VLOOKUP(C718,'products '!$A$1:$G$322,2,FALSE)</f>
        <v>Trek Domane SLR 6 Disc - 2017</v>
      </c>
    </row>
    <row r="719" spans="1:8" x14ac:dyDescent="0.3">
      <c r="A719">
        <v>718</v>
      </c>
      <c r="B719">
        <v>1</v>
      </c>
      <c r="C719">
        <v>92</v>
      </c>
      <c r="D719" s="2">
        <v>2</v>
      </c>
      <c r="E719" s="2">
        <v>209.99</v>
      </c>
      <c r="F719">
        <v>7.0000000000000007E-2</v>
      </c>
      <c r="G719">
        <f t="shared" si="11"/>
        <v>419.91</v>
      </c>
      <c r="H719" t="str">
        <f>VLOOKUP(C719,'products '!$A$1:$G$322,2,FALSE)</f>
        <v>Haro Shredder 20 - 2017</v>
      </c>
    </row>
    <row r="720" spans="1:8" x14ac:dyDescent="0.3">
      <c r="A720">
        <v>719</v>
      </c>
      <c r="B720">
        <v>1</v>
      </c>
      <c r="C720">
        <v>100</v>
      </c>
      <c r="D720" s="2">
        <v>1</v>
      </c>
      <c r="E720" s="2">
        <v>489.99</v>
      </c>
      <c r="F720">
        <v>0.2</v>
      </c>
      <c r="G720">
        <f t="shared" si="11"/>
        <v>489.79</v>
      </c>
      <c r="H720" t="str">
        <f>VLOOKUP(C720,'products '!$A$1:$G$322,2,FALSE)</f>
        <v>Electra Townie 3i EQ (20-inch) - Boys' - 2017</v>
      </c>
    </row>
    <row r="721" spans="1:8" x14ac:dyDescent="0.3">
      <c r="A721">
        <v>720</v>
      </c>
      <c r="B721">
        <v>1</v>
      </c>
      <c r="C721">
        <v>111</v>
      </c>
      <c r="D721" s="2">
        <v>1</v>
      </c>
      <c r="E721" s="2">
        <v>470.99</v>
      </c>
      <c r="F721">
        <v>7.0000000000000007E-2</v>
      </c>
      <c r="G721">
        <f t="shared" si="11"/>
        <v>470.92</v>
      </c>
      <c r="H721" t="str">
        <f>VLOOKUP(C721,'products '!$A$1:$G$322,2,FALSE)</f>
        <v>Sun Bicycles Drifter 7 - Women's - 2017</v>
      </c>
    </row>
    <row r="722" spans="1:8" x14ac:dyDescent="0.3">
      <c r="A722">
        <v>721</v>
      </c>
      <c r="B722">
        <v>1</v>
      </c>
      <c r="C722">
        <v>45</v>
      </c>
      <c r="D722" s="2">
        <v>2</v>
      </c>
      <c r="E722" s="2">
        <v>869.99</v>
      </c>
      <c r="F722">
        <v>7.0000000000000007E-2</v>
      </c>
      <c r="G722">
        <f t="shared" si="11"/>
        <v>1739.91</v>
      </c>
      <c r="H722" t="str">
        <f>VLOOKUP(C722,'products '!$A$1:$G$322,2,FALSE)</f>
        <v>Haro SR 1.2 - 2017</v>
      </c>
    </row>
    <row r="723" spans="1:8" x14ac:dyDescent="0.3">
      <c r="A723">
        <v>722</v>
      </c>
      <c r="B723">
        <v>1</v>
      </c>
      <c r="C723">
        <v>22</v>
      </c>
      <c r="D723" s="2">
        <v>2</v>
      </c>
      <c r="E723" s="2">
        <v>269.99</v>
      </c>
      <c r="F723">
        <v>7.0000000000000007E-2</v>
      </c>
      <c r="G723">
        <f t="shared" si="11"/>
        <v>539.91</v>
      </c>
      <c r="H723" t="str">
        <f>VLOOKUP(C723,'products '!$A$1:$G$322,2,FALSE)</f>
        <v>Electra Girl's Hawaii 1 (16-inch) - 2015/2016</v>
      </c>
    </row>
    <row r="724" spans="1:8" x14ac:dyDescent="0.3">
      <c r="A724">
        <v>723</v>
      </c>
      <c r="B724">
        <v>1</v>
      </c>
      <c r="C724">
        <v>24</v>
      </c>
      <c r="D724" s="2">
        <v>2</v>
      </c>
      <c r="E724" s="2">
        <v>549.99</v>
      </c>
      <c r="F724">
        <v>7.0000000000000007E-2</v>
      </c>
      <c r="G724">
        <f t="shared" si="11"/>
        <v>1099.9100000000001</v>
      </c>
      <c r="H724" t="str">
        <f>VLOOKUP(C724,'products '!$A$1:$G$322,2,FALSE)</f>
        <v>Electra Townie Original 21D - 2016</v>
      </c>
    </row>
    <row r="725" spans="1:8" x14ac:dyDescent="0.3">
      <c r="A725">
        <v>724</v>
      </c>
      <c r="B725">
        <v>1</v>
      </c>
      <c r="C725">
        <v>23</v>
      </c>
      <c r="D725" s="2">
        <v>1</v>
      </c>
      <c r="E725" s="2">
        <v>299.99</v>
      </c>
      <c r="F725">
        <v>0.05</v>
      </c>
      <c r="G725">
        <f t="shared" si="11"/>
        <v>299.94</v>
      </c>
      <c r="H725" t="str">
        <f>VLOOKUP(C725,'products '!$A$1:$G$322,2,FALSE)</f>
        <v>Electra Girl's Hawaii 1 (20-inch) - 2015/2016</v>
      </c>
    </row>
    <row r="726" spans="1:8" x14ac:dyDescent="0.3">
      <c r="A726">
        <v>725</v>
      </c>
      <c r="B726">
        <v>1</v>
      </c>
      <c r="C726">
        <v>90</v>
      </c>
      <c r="D726" s="2">
        <v>1</v>
      </c>
      <c r="E726" s="2">
        <v>209.99</v>
      </c>
      <c r="F726">
        <v>0.1</v>
      </c>
      <c r="G726">
        <f t="shared" si="11"/>
        <v>209.89000000000001</v>
      </c>
      <c r="H726" t="str">
        <f>VLOOKUP(C726,'products '!$A$1:$G$322,2,FALSE)</f>
        <v>Trek Precaliber 16 Girls - 2017</v>
      </c>
    </row>
    <row r="727" spans="1:8" x14ac:dyDescent="0.3">
      <c r="A727">
        <v>726</v>
      </c>
      <c r="B727">
        <v>1</v>
      </c>
      <c r="C727">
        <v>64</v>
      </c>
      <c r="D727" s="2">
        <v>1</v>
      </c>
      <c r="E727" s="2">
        <v>489.99</v>
      </c>
      <c r="F727">
        <v>0.2</v>
      </c>
      <c r="G727">
        <f t="shared" si="11"/>
        <v>489.79</v>
      </c>
      <c r="H727" t="str">
        <f>VLOOKUP(C727,'products '!$A$1:$G$322,2,FALSE)</f>
        <v>Electra Townie Original 7D - 2017</v>
      </c>
    </row>
    <row r="728" spans="1:8" x14ac:dyDescent="0.3">
      <c r="A728">
        <v>727</v>
      </c>
      <c r="B728">
        <v>1</v>
      </c>
      <c r="C728">
        <v>78</v>
      </c>
      <c r="D728" s="2">
        <v>1</v>
      </c>
      <c r="E728" s="2">
        <v>647.99</v>
      </c>
      <c r="F728">
        <v>7.0000000000000007E-2</v>
      </c>
      <c r="G728">
        <f t="shared" si="11"/>
        <v>647.91999999999996</v>
      </c>
      <c r="H728" t="str">
        <f>VLOOKUP(C728,'products '!$A$1:$G$322,2,FALSE)</f>
        <v>Sun Bicycles Biscayne Tandem CB - 2017</v>
      </c>
    </row>
    <row r="729" spans="1:8" x14ac:dyDescent="0.3">
      <c r="A729">
        <v>728</v>
      </c>
      <c r="B729">
        <v>1</v>
      </c>
      <c r="C729">
        <v>70</v>
      </c>
      <c r="D729" s="2">
        <v>1</v>
      </c>
      <c r="E729" s="2">
        <v>659.99</v>
      </c>
      <c r="F729">
        <v>0.05</v>
      </c>
      <c r="G729">
        <f t="shared" si="11"/>
        <v>659.94</v>
      </c>
      <c r="H729" t="str">
        <f>VLOOKUP(C729,'products '!$A$1:$G$322,2,FALSE)</f>
        <v>Electra Amsterdam Original 3i - 2015/2017</v>
      </c>
    </row>
    <row r="730" spans="1:8" x14ac:dyDescent="0.3">
      <c r="A730">
        <v>729</v>
      </c>
      <c r="B730">
        <v>1</v>
      </c>
      <c r="C730">
        <v>101</v>
      </c>
      <c r="D730" s="2">
        <v>2</v>
      </c>
      <c r="E730" s="2">
        <v>339.99</v>
      </c>
      <c r="F730">
        <v>0.1</v>
      </c>
      <c r="G730">
        <f t="shared" si="11"/>
        <v>679.88</v>
      </c>
      <c r="H730" t="str">
        <f>VLOOKUP(C730,'products '!$A$1:$G$322,2,FALSE)</f>
        <v>Electra Townie 7D (20-inch) - Boys' - 2017</v>
      </c>
    </row>
    <row r="731" spans="1:8" x14ac:dyDescent="0.3">
      <c r="A731">
        <v>730</v>
      </c>
      <c r="B731">
        <v>1</v>
      </c>
      <c r="C731">
        <v>59</v>
      </c>
      <c r="D731" s="2">
        <v>2</v>
      </c>
      <c r="E731" s="2">
        <v>2599.9899999999998</v>
      </c>
      <c r="F731">
        <v>0.05</v>
      </c>
      <c r="G731">
        <f t="shared" si="11"/>
        <v>5199.9299999999994</v>
      </c>
      <c r="H731" t="str">
        <f>VLOOKUP(C731,'products '!$A$1:$G$322,2,FALSE)</f>
        <v>Trek Domane S 5 Disc - 2017</v>
      </c>
    </row>
    <row r="732" spans="1:8" x14ac:dyDescent="0.3">
      <c r="A732">
        <v>731</v>
      </c>
      <c r="B732">
        <v>1</v>
      </c>
      <c r="C732">
        <v>91</v>
      </c>
      <c r="D732" s="2">
        <v>1</v>
      </c>
      <c r="E732" s="2">
        <v>349.99</v>
      </c>
      <c r="F732">
        <v>0.05</v>
      </c>
      <c r="G732">
        <f t="shared" si="11"/>
        <v>349.94</v>
      </c>
      <c r="H732" t="str">
        <f>VLOOKUP(C732,'products '!$A$1:$G$322,2,FALSE)</f>
        <v>Trek Precaliber 24 (21-Speed) - Girls - 2017</v>
      </c>
    </row>
    <row r="733" spans="1:8" x14ac:dyDescent="0.3">
      <c r="A733">
        <v>732</v>
      </c>
      <c r="B733">
        <v>1</v>
      </c>
      <c r="C733">
        <v>47</v>
      </c>
      <c r="D733" s="2">
        <v>1</v>
      </c>
      <c r="E733" s="2">
        <v>5299.99</v>
      </c>
      <c r="F733">
        <v>7.0000000000000007E-2</v>
      </c>
      <c r="G733">
        <f t="shared" si="11"/>
        <v>5299.92</v>
      </c>
      <c r="H733" t="str">
        <f>VLOOKUP(C733,'products '!$A$1:$G$322,2,FALSE)</f>
        <v>Trek Remedy 9.8 - 2017</v>
      </c>
    </row>
    <row r="734" spans="1:8" x14ac:dyDescent="0.3">
      <c r="A734">
        <v>733</v>
      </c>
      <c r="B734">
        <v>1</v>
      </c>
      <c r="C734">
        <v>84</v>
      </c>
      <c r="D734" s="2">
        <v>1</v>
      </c>
      <c r="E734" s="2">
        <v>109.99</v>
      </c>
      <c r="F734">
        <v>0.05</v>
      </c>
      <c r="G734">
        <f t="shared" si="11"/>
        <v>109.94</v>
      </c>
      <c r="H734" t="str">
        <f>VLOOKUP(C734,'products '!$A$1:$G$322,2,FALSE)</f>
        <v>Sun Bicycles Lil Kitt'n - 2017</v>
      </c>
    </row>
    <row r="735" spans="1:8" x14ac:dyDescent="0.3">
      <c r="A735">
        <v>734</v>
      </c>
      <c r="B735">
        <v>1</v>
      </c>
      <c r="C735">
        <v>26</v>
      </c>
      <c r="D735" s="2">
        <v>1</v>
      </c>
      <c r="E735" s="2">
        <v>599.99</v>
      </c>
      <c r="F735">
        <v>0.2</v>
      </c>
      <c r="G735">
        <f t="shared" si="11"/>
        <v>599.79</v>
      </c>
      <c r="H735" t="str">
        <f>VLOOKUP(C735,'products '!$A$1:$G$322,2,FALSE)</f>
        <v>Electra Townie Original 7D EQ - 2016</v>
      </c>
    </row>
    <row r="736" spans="1:8" x14ac:dyDescent="0.3">
      <c r="A736">
        <v>735</v>
      </c>
      <c r="B736">
        <v>1</v>
      </c>
      <c r="C736">
        <v>71</v>
      </c>
      <c r="D736" s="2">
        <v>2</v>
      </c>
      <c r="E736" s="2">
        <v>416.99</v>
      </c>
      <c r="F736">
        <v>0.1</v>
      </c>
      <c r="G736">
        <f t="shared" si="11"/>
        <v>833.88</v>
      </c>
      <c r="H736" t="str">
        <f>VLOOKUP(C736,'products '!$A$1:$G$322,2,FALSE)</f>
        <v>Sun Bicycles Atlas X-Type - 2017</v>
      </c>
    </row>
    <row r="737" spans="1:8" x14ac:dyDescent="0.3">
      <c r="A737">
        <v>736</v>
      </c>
      <c r="B737">
        <v>1</v>
      </c>
      <c r="C737">
        <v>56</v>
      </c>
      <c r="D737" s="2">
        <v>2</v>
      </c>
      <c r="E737" s="2">
        <v>5499.99</v>
      </c>
      <c r="F737">
        <v>0.05</v>
      </c>
      <c r="G737">
        <f t="shared" si="11"/>
        <v>10999.93</v>
      </c>
      <c r="H737" t="str">
        <f>VLOOKUP(C737,'products '!$A$1:$G$322,2,FALSE)</f>
        <v>Trek Domane SLR 6 Disc - 2017</v>
      </c>
    </row>
    <row r="738" spans="1:8" x14ac:dyDescent="0.3">
      <c r="A738">
        <v>737</v>
      </c>
      <c r="B738">
        <v>1</v>
      </c>
      <c r="C738">
        <v>52</v>
      </c>
      <c r="D738" s="2">
        <v>1</v>
      </c>
      <c r="E738" s="2">
        <v>875.99</v>
      </c>
      <c r="F738">
        <v>0.05</v>
      </c>
      <c r="G738">
        <f t="shared" si="11"/>
        <v>875.94</v>
      </c>
      <c r="H738" t="str">
        <f>VLOOKUP(C738,'products '!$A$1:$G$322,2,FALSE)</f>
        <v>Surly Steamroller - 2017</v>
      </c>
    </row>
    <row r="739" spans="1:8" x14ac:dyDescent="0.3">
      <c r="A739">
        <v>738</v>
      </c>
      <c r="B739">
        <v>1</v>
      </c>
      <c r="C739">
        <v>82</v>
      </c>
      <c r="D739" s="2">
        <v>2</v>
      </c>
      <c r="E739" s="2">
        <v>659.99</v>
      </c>
      <c r="F739">
        <v>7.0000000000000007E-2</v>
      </c>
      <c r="G739">
        <f t="shared" si="11"/>
        <v>1319.91</v>
      </c>
      <c r="H739" t="str">
        <f>VLOOKUP(C739,'products '!$A$1:$G$322,2,FALSE)</f>
        <v>Electra Amsterdam Original 3i Ladies' - 2017</v>
      </c>
    </row>
    <row r="740" spans="1:8" x14ac:dyDescent="0.3">
      <c r="A740">
        <v>739</v>
      </c>
      <c r="B740">
        <v>1</v>
      </c>
      <c r="C740">
        <v>3</v>
      </c>
      <c r="D740" s="2">
        <v>1</v>
      </c>
      <c r="E740" s="2">
        <v>999.99</v>
      </c>
      <c r="F740">
        <v>0.2</v>
      </c>
      <c r="G740">
        <f t="shared" si="11"/>
        <v>999.79</v>
      </c>
      <c r="H740" t="str">
        <f>VLOOKUP(C740,'products '!$A$1:$G$322,2,FALSE)</f>
        <v>Surly Wednesday Frameset - 2016</v>
      </c>
    </row>
    <row r="741" spans="1:8" x14ac:dyDescent="0.3">
      <c r="A741">
        <v>740</v>
      </c>
      <c r="B741">
        <v>1</v>
      </c>
      <c r="C741">
        <v>81</v>
      </c>
      <c r="D741" s="2">
        <v>1</v>
      </c>
      <c r="E741" s="2">
        <v>1099.99</v>
      </c>
      <c r="F741">
        <v>0.05</v>
      </c>
      <c r="G741">
        <f t="shared" si="11"/>
        <v>1099.94</v>
      </c>
      <c r="H741" t="str">
        <f>VLOOKUP(C741,'products '!$A$1:$G$322,2,FALSE)</f>
        <v>Electra Amsterdam Fashion 7i Ladies' - 2017</v>
      </c>
    </row>
    <row r="742" spans="1:8" x14ac:dyDescent="0.3">
      <c r="A742">
        <v>741</v>
      </c>
      <c r="B742">
        <v>1</v>
      </c>
      <c r="C742">
        <v>58</v>
      </c>
      <c r="D742" s="2">
        <v>1</v>
      </c>
      <c r="E742" s="2">
        <v>4999.99</v>
      </c>
      <c r="F742">
        <v>0.05</v>
      </c>
      <c r="G742">
        <f t="shared" si="11"/>
        <v>4999.9399999999996</v>
      </c>
      <c r="H742" t="str">
        <f>VLOOKUP(C742,'products '!$A$1:$G$322,2,FALSE)</f>
        <v>Trek Madone 9.2 - 2017</v>
      </c>
    </row>
    <row r="743" spans="1:8" x14ac:dyDescent="0.3">
      <c r="A743">
        <v>742</v>
      </c>
      <c r="B743">
        <v>1</v>
      </c>
      <c r="C743">
        <v>107</v>
      </c>
      <c r="D743" s="2">
        <v>2</v>
      </c>
      <c r="E743" s="2">
        <v>416.99</v>
      </c>
      <c r="F743">
        <v>0.05</v>
      </c>
      <c r="G743">
        <f t="shared" si="11"/>
        <v>833.93000000000006</v>
      </c>
      <c r="H743" t="str">
        <f>VLOOKUP(C743,'products '!$A$1:$G$322,2,FALSE)</f>
        <v>Sun Bicycles Cruz 7 - 2017</v>
      </c>
    </row>
    <row r="744" spans="1:8" x14ac:dyDescent="0.3">
      <c r="A744">
        <v>743</v>
      </c>
      <c r="B744">
        <v>1</v>
      </c>
      <c r="C744">
        <v>80</v>
      </c>
      <c r="D744" s="2">
        <v>1</v>
      </c>
      <c r="E744" s="2">
        <v>761.99</v>
      </c>
      <c r="F744">
        <v>0.05</v>
      </c>
      <c r="G744">
        <f t="shared" si="11"/>
        <v>761.94</v>
      </c>
      <c r="H744" t="str">
        <f>VLOOKUP(C744,'products '!$A$1:$G$322,2,FALSE)</f>
        <v>Sun Bicycles Brickell Tandem CB - 2017</v>
      </c>
    </row>
    <row r="745" spans="1:8" x14ac:dyDescent="0.3">
      <c r="A745">
        <v>744</v>
      </c>
      <c r="B745">
        <v>1</v>
      </c>
      <c r="C745">
        <v>33</v>
      </c>
      <c r="D745" s="2">
        <v>2</v>
      </c>
      <c r="E745" s="2">
        <v>469.99</v>
      </c>
      <c r="F745">
        <v>0.2</v>
      </c>
      <c r="G745">
        <f t="shared" si="11"/>
        <v>939.78</v>
      </c>
      <c r="H745" t="str">
        <f>VLOOKUP(C745,'products '!$A$1:$G$322,2,FALSE)</f>
        <v>Surly Wednesday Frameset - 2017</v>
      </c>
    </row>
    <row r="746" spans="1:8" x14ac:dyDescent="0.3">
      <c r="A746">
        <v>745</v>
      </c>
      <c r="B746">
        <v>1</v>
      </c>
      <c r="C746">
        <v>95</v>
      </c>
      <c r="D746" s="2">
        <v>2</v>
      </c>
      <c r="E746" s="2">
        <v>299.99</v>
      </c>
      <c r="F746">
        <v>0.05</v>
      </c>
      <c r="G746">
        <f t="shared" si="11"/>
        <v>599.93000000000006</v>
      </c>
      <c r="H746" t="str">
        <f>VLOOKUP(C746,'products '!$A$1:$G$322,2,FALSE)</f>
        <v>Electra Girl's Hawaii 1 16" - 2017</v>
      </c>
    </row>
    <row r="747" spans="1:8" x14ac:dyDescent="0.3">
      <c r="A747">
        <v>746</v>
      </c>
      <c r="B747">
        <v>1</v>
      </c>
      <c r="C747">
        <v>99</v>
      </c>
      <c r="D747" s="2">
        <v>1</v>
      </c>
      <c r="E747" s="2">
        <v>299.99</v>
      </c>
      <c r="F747">
        <v>0.1</v>
      </c>
      <c r="G747">
        <f t="shared" si="11"/>
        <v>299.89</v>
      </c>
      <c r="H747" t="str">
        <f>VLOOKUP(C747,'products '!$A$1:$G$322,2,FALSE)</f>
        <v>Electra Sugar Skulls 1 (20-inch) - Girl's - 2017</v>
      </c>
    </row>
    <row r="748" spans="1:8" x14ac:dyDescent="0.3">
      <c r="A748">
        <v>747</v>
      </c>
      <c r="B748">
        <v>1</v>
      </c>
      <c r="C748">
        <v>110</v>
      </c>
      <c r="D748" s="2">
        <v>1</v>
      </c>
      <c r="E748" s="2">
        <v>470.99</v>
      </c>
      <c r="F748">
        <v>7.0000000000000007E-2</v>
      </c>
      <c r="G748">
        <f t="shared" si="11"/>
        <v>470.92</v>
      </c>
      <c r="H748" t="str">
        <f>VLOOKUP(C748,'products '!$A$1:$G$322,2,FALSE)</f>
        <v>Sun Bicycles Drifter 7 - 2017</v>
      </c>
    </row>
    <row r="749" spans="1:8" x14ac:dyDescent="0.3">
      <c r="A749">
        <v>748</v>
      </c>
      <c r="B749">
        <v>1</v>
      </c>
      <c r="C749">
        <v>16</v>
      </c>
      <c r="D749" s="2">
        <v>2</v>
      </c>
      <c r="E749" s="2">
        <v>599.99</v>
      </c>
      <c r="F749">
        <v>0.1</v>
      </c>
      <c r="G749">
        <f t="shared" si="11"/>
        <v>1199.8800000000001</v>
      </c>
      <c r="H749" t="str">
        <f>VLOOKUP(C749,'products '!$A$1:$G$322,2,FALSE)</f>
        <v>Electra Townie Original 7D EQ - 2016</v>
      </c>
    </row>
    <row r="750" spans="1:8" x14ac:dyDescent="0.3">
      <c r="A750">
        <v>749</v>
      </c>
      <c r="B750">
        <v>1</v>
      </c>
      <c r="C750">
        <v>9</v>
      </c>
      <c r="D750" s="2">
        <v>1</v>
      </c>
      <c r="E750" s="2">
        <v>2999.99</v>
      </c>
      <c r="F750">
        <v>0.2</v>
      </c>
      <c r="G750">
        <f t="shared" si="11"/>
        <v>2999.79</v>
      </c>
      <c r="H750" t="str">
        <f>VLOOKUP(C750,'products '!$A$1:$G$322,2,FALSE)</f>
        <v>Trek Conduit+ - 2016</v>
      </c>
    </row>
    <row r="751" spans="1:8" x14ac:dyDescent="0.3">
      <c r="A751">
        <v>750</v>
      </c>
      <c r="B751">
        <v>1</v>
      </c>
      <c r="C751">
        <v>72</v>
      </c>
      <c r="D751" s="2">
        <v>1</v>
      </c>
      <c r="E751" s="2">
        <v>619.99</v>
      </c>
      <c r="F751">
        <v>0.05</v>
      </c>
      <c r="G751">
        <f t="shared" si="11"/>
        <v>619.94000000000005</v>
      </c>
      <c r="H751" t="str">
        <f>VLOOKUP(C751,'products '!$A$1:$G$322,2,FALSE)</f>
        <v>Sun Bicycles Biscayne Tandem 7 - 2017</v>
      </c>
    </row>
    <row r="752" spans="1:8" x14ac:dyDescent="0.3">
      <c r="A752">
        <v>751</v>
      </c>
      <c r="B752">
        <v>1</v>
      </c>
      <c r="C752">
        <v>45</v>
      </c>
      <c r="D752" s="2">
        <v>2</v>
      </c>
      <c r="E752" s="2">
        <v>869.99</v>
      </c>
      <c r="F752">
        <v>0.05</v>
      </c>
      <c r="G752">
        <f t="shared" si="11"/>
        <v>1739.93</v>
      </c>
      <c r="H752" t="str">
        <f>VLOOKUP(C752,'products '!$A$1:$G$322,2,FALSE)</f>
        <v>Haro SR 1.2 - 2017</v>
      </c>
    </row>
    <row r="753" spans="1:8" x14ac:dyDescent="0.3">
      <c r="A753">
        <v>752</v>
      </c>
      <c r="B753">
        <v>1</v>
      </c>
      <c r="C753">
        <v>12</v>
      </c>
      <c r="D753" s="2">
        <v>2</v>
      </c>
      <c r="E753" s="2">
        <v>549.99</v>
      </c>
      <c r="F753">
        <v>0.05</v>
      </c>
      <c r="G753">
        <f t="shared" si="11"/>
        <v>1099.93</v>
      </c>
      <c r="H753" t="str">
        <f>VLOOKUP(C753,'products '!$A$1:$G$322,2,FALSE)</f>
        <v>Electra Townie Original 21D - 2016</v>
      </c>
    </row>
    <row r="754" spans="1:8" x14ac:dyDescent="0.3">
      <c r="A754">
        <v>753</v>
      </c>
      <c r="B754">
        <v>1</v>
      </c>
      <c r="C754">
        <v>105</v>
      </c>
      <c r="D754" s="2">
        <v>2</v>
      </c>
      <c r="E754" s="2">
        <v>533.99</v>
      </c>
      <c r="F754">
        <v>7.0000000000000007E-2</v>
      </c>
      <c r="G754">
        <f t="shared" si="11"/>
        <v>1067.9100000000001</v>
      </c>
      <c r="H754" t="str">
        <f>VLOOKUP(C754,'products '!$A$1:$G$322,2,FALSE)</f>
        <v>Sun Bicycles Streamway 7 - 2017</v>
      </c>
    </row>
    <row r="755" spans="1:8" x14ac:dyDescent="0.3">
      <c r="A755">
        <v>754</v>
      </c>
      <c r="B755">
        <v>1</v>
      </c>
      <c r="C755">
        <v>74</v>
      </c>
      <c r="D755" s="2">
        <v>2</v>
      </c>
      <c r="E755" s="2">
        <v>439.99</v>
      </c>
      <c r="F755">
        <v>7.0000000000000007E-2</v>
      </c>
      <c r="G755">
        <f t="shared" si="11"/>
        <v>879.91</v>
      </c>
      <c r="H755" t="str">
        <f>VLOOKUP(C755,'products '!$A$1:$G$322,2,FALSE)</f>
        <v>Electra Cruiser Lux 1 - 2017</v>
      </c>
    </row>
    <row r="756" spans="1:8" x14ac:dyDescent="0.3">
      <c r="A756">
        <v>755</v>
      </c>
      <c r="B756">
        <v>1</v>
      </c>
      <c r="C756">
        <v>80</v>
      </c>
      <c r="D756" s="2">
        <v>2</v>
      </c>
      <c r="E756" s="2">
        <v>761.99</v>
      </c>
      <c r="F756">
        <v>7.0000000000000007E-2</v>
      </c>
      <c r="G756">
        <f t="shared" si="11"/>
        <v>1523.91</v>
      </c>
      <c r="H756" t="str">
        <f>VLOOKUP(C756,'products '!$A$1:$G$322,2,FALSE)</f>
        <v>Sun Bicycles Brickell Tandem CB - 2017</v>
      </c>
    </row>
    <row r="757" spans="1:8" x14ac:dyDescent="0.3">
      <c r="A757">
        <v>756</v>
      </c>
      <c r="B757">
        <v>1</v>
      </c>
      <c r="C757">
        <v>64</v>
      </c>
      <c r="D757" s="2">
        <v>1</v>
      </c>
      <c r="E757" s="2">
        <v>489.99</v>
      </c>
      <c r="F757">
        <v>0.1</v>
      </c>
      <c r="G757">
        <f t="shared" si="11"/>
        <v>489.89</v>
      </c>
      <c r="H757" t="str">
        <f>VLOOKUP(C757,'products '!$A$1:$G$322,2,FALSE)</f>
        <v>Electra Townie Original 7D - 2017</v>
      </c>
    </row>
    <row r="758" spans="1:8" x14ac:dyDescent="0.3">
      <c r="A758">
        <v>757</v>
      </c>
      <c r="B758">
        <v>1</v>
      </c>
      <c r="C758">
        <v>95</v>
      </c>
      <c r="D758" s="2">
        <v>1</v>
      </c>
      <c r="E758" s="2">
        <v>299.99</v>
      </c>
      <c r="F758">
        <v>0.1</v>
      </c>
      <c r="G758">
        <f t="shared" si="11"/>
        <v>299.89</v>
      </c>
      <c r="H758" t="str">
        <f>VLOOKUP(C758,'products '!$A$1:$G$322,2,FALSE)</f>
        <v>Electra Girl's Hawaii 1 16" - 2017</v>
      </c>
    </row>
    <row r="759" spans="1:8" x14ac:dyDescent="0.3">
      <c r="A759">
        <v>758</v>
      </c>
      <c r="B759">
        <v>1</v>
      </c>
      <c r="C759">
        <v>22</v>
      </c>
      <c r="D759" s="2">
        <v>2</v>
      </c>
      <c r="E759" s="2">
        <v>269.99</v>
      </c>
      <c r="F759">
        <v>7.0000000000000007E-2</v>
      </c>
      <c r="G759">
        <f t="shared" si="11"/>
        <v>539.91</v>
      </c>
      <c r="H759" t="str">
        <f>VLOOKUP(C759,'products '!$A$1:$G$322,2,FALSE)</f>
        <v>Electra Girl's Hawaii 1 (16-inch) - 2015/2016</v>
      </c>
    </row>
    <row r="760" spans="1:8" x14ac:dyDescent="0.3">
      <c r="A760">
        <v>759</v>
      </c>
      <c r="B760">
        <v>1</v>
      </c>
      <c r="C760">
        <v>93</v>
      </c>
      <c r="D760" s="2">
        <v>2</v>
      </c>
      <c r="E760" s="2">
        <v>209.99</v>
      </c>
      <c r="F760">
        <v>0.05</v>
      </c>
      <c r="G760">
        <f t="shared" si="11"/>
        <v>419.93</v>
      </c>
      <c r="H760" t="str">
        <f>VLOOKUP(C760,'products '!$A$1:$G$322,2,FALSE)</f>
        <v>Haro Shredder 20 Girls - 2017</v>
      </c>
    </row>
    <row r="761" spans="1:8" x14ac:dyDescent="0.3">
      <c r="A761">
        <v>760</v>
      </c>
      <c r="B761">
        <v>1</v>
      </c>
      <c r="C761">
        <v>21</v>
      </c>
      <c r="D761" s="2">
        <v>2</v>
      </c>
      <c r="E761" s="2">
        <v>269.99</v>
      </c>
      <c r="F761">
        <v>7.0000000000000007E-2</v>
      </c>
      <c r="G761">
        <f t="shared" si="11"/>
        <v>539.91</v>
      </c>
      <c r="H761" t="str">
        <f>VLOOKUP(C761,'products '!$A$1:$G$322,2,FALSE)</f>
        <v>Electra Cruiser 1 (24-Inch) - 2016</v>
      </c>
    </row>
    <row r="762" spans="1:8" x14ac:dyDescent="0.3">
      <c r="A762">
        <v>761</v>
      </c>
      <c r="B762">
        <v>1</v>
      </c>
      <c r="C762">
        <v>43</v>
      </c>
      <c r="D762" s="2">
        <v>1</v>
      </c>
      <c r="E762" s="2">
        <v>5299.99</v>
      </c>
      <c r="F762">
        <v>7.0000000000000007E-2</v>
      </c>
      <c r="G762">
        <f t="shared" si="11"/>
        <v>5299.92</v>
      </c>
      <c r="H762" t="str">
        <f>VLOOKUP(C762,'products '!$A$1:$G$322,2,FALSE)</f>
        <v>Trek Fuel EX 9.8 27.5 Plus - 2017</v>
      </c>
    </row>
    <row r="763" spans="1:8" x14ac:dyDescent="0.3">
      <c r="A763">
        <v>762</v>
      </c>
      <c r="B763">
        <v>1</v>
      </c>
      <c r="C763">
        <v>102</v>
      </c>
      <c r="D763" s="2">
        <v>2</v>
      </c>
      <c r="E763" s="2">
        <v>489.99</v>
      </c>
      <c r="F763">
        <v>0.05</v>
      </c>
      <c r="G763">
        <f t="shared" si="11"/>
        <v>979.93000000000006</v>
      </c>
      <c r="H763" t="str">
        <f>VLOOKUP(C763,'products '!$A$1:$G$322,2,FALSE)</f>
        <v>Electra Townie Original 7D - 2017</v>
      </c>
    </row>
    <row r="764" spans="1:8" x14ac:dyDescent="0.3">
      <c r="A764">
        <v>763</v>
      </c>
      <c r="B764">
        <v>1</v>
      </c>
      <c r="C764">
        <v>90</v>
      </c>
      <c r="D764" s="2">
        <v>1</v>
      </c>
      <c r="E764" s="2">
        <v>209.99</v>
      </c>
      <c r="F764">
        <v>7.0000000000000007E-2</v>
      </c>
      <c r="G764">
        <f t="shared" si="11"/>
        <v>209.92000000000002</v>
      </c>
      <c r="H764" t="str">
        <f>VLOOKUP(C764,'products '!$A$1:$G$322,2,FALSE)</f>
        <v>Trek Precaliber 16 Girls - 2017</v>
      </c>
    </row>
    <row r="765" spans="1:8" x14ac:dyDescent="0.3">
      <c r="A765">
        <v>764</v>
      </c>
      <c r="B765">
        <v>1</v>
      </c>
      <c r="C765">
        <v>55</v>
      </c>
      <c r="D765" s="2">
        <v>1</v>
      </c>
      <c r="E765" s="2">
        <v>2699.99</v>
      </c>
      <c r="F765">
        <v>7.0000000000000007E-2</v>
      </c>
      <c r="G765">
        <f t="shared" si="11"/>
        <v>2699.9199999999996</v>
      </c>
      <c r="H765" t="str">
        <f>VLOOKUP(C765,'products '!$A$1:$G$322,2,FALSE)</f>
        <v>Trek Domane S 6 - 2017</v>
      </c>
    </row>
    <row r="766" spans="1:8" x14ac:dyDescent="0.3">
      <c r="A766">
        <v>765</v>
      </c>
      <c r="B766">
        <v>1</v>
      </c>
      <c r="C766">
        <v>28</v>
      </c>
      <c r="D766" s="2">
        <v>2</v>
      </c>
      <c r="E766" s="2">
        <v>2499.9899999999998</v>
      </c>
      <c r="F766">
        <v>0.2</v>
      </c>
      <c r="G766">
        <f t="shared" si="11"/>
        <v>4999.78</v>
      </c>
      <c r="H766" t="str">
        <f>VLOOKUP(C766,'products '!$A$1:$G$322,2,FALSE)</f>
        <v>Surly Karate Monkey 27.5+ Frameset - 2017</v>
      </c>
    </row>
    <row r="767" spans="1:8" x14ac:dyDescent="0.3">
      <c r="A767">
        <v>766</v>
      </c>
      <c r="B767">
        <v>1</v>
      </c>
      <c r="C767">
        <v>111</v>
      </c>
      <c r="D767" s="2">
        <v>1</v>
      </c>
      <c r="E767" s="2">
        <v>470.99</v>
      </c>
      <c r="F767">
        <v>0.2</v>
      </c>
      <c r="G767">
        <f t="shared" si="11"/>
        <v>470.79</v>
      </c>
      <c r="H767" t="str">
        <f>VLOOKUP(C767,'products '!$A$1:$G$322,2,FALSE)</f>
        <v>Sun Bicycles Drifter 7 - Women's - 2017</v>
      </c>
    </row>
    <row r="768" spans="1:8" x14ac:dyDescent="0.3">
      <c r="A768">
        <v>767</v>
      </c>
      <c r="B768">
        <v>1</v>
      </c>
      <c r="C768">
        <v>63</v>
      </c>
      <c r="D768" s="2">
        <v>1</v>
      </c>
      <c r="E768" s="2">
        <v>3499.99</v>
      </c>
      <c r="F768">
        <v>0.1</v>
      </c>
      <c r="G768">
        <f t="shared" si="11"/>
        <v>3499.89</v>
      </c>
      <c r="H768" t="str">
        <f>VLOOKUP(C768,'products '!$A$1:$G$322,2,FALSE)</f>
        <v>Trek Boone Race Shop Limited - 2017</v>
      </c>
    </row>
    <row r="769" spans="1:8" x14ac:dyDescent="0.3">
      <c r="A769">
        <v>768</v>
      </c>
      <c r="B769">
        <v>1</v>
      </c>
      <c r="C769">
        <v>31</v>
      </c>
      <c r="D769" s="2">
        <v>1</v>
      </c>
      <c r="E769" s="2">
        <v>1632.99</v>
      </c>
      <c r="F769">
        <v>0.2</v>
      </c>
      <c r="G769">
        <f t="shared" si="11"/>
        <v>1632.79</v>
      </c>
      <c r="H769" t="str">
        <f>VLOOKUP(C769,'products '!$A$1:$G$322,2,FALSE)</f>
        <v>Surly Wednesday - 2017</v>
      </c>
    </row>
    <row r="770" spans="1:8" x14ac:dyDescent="0.3">
      <c r="A770">
        <v>769</v>
      </c>
      <c r="B770">
        <v>1</v>
      </c>
      <c r="C770">
        <v>8</v>
      </c>
      <c r="D770" s="2">
        <v>1</v>
      </c>
      <c r="E770" s="2">
        <v>1799.99</v>
      </c>
      <c r="F770">
        <v>0.1</v>
      </c>
      <c r="G770">
        <f t="shared" si="11"/>
        <v>1799.89</v>
      </c>
      <c r="H770" t="str">
        <f>VLOOKUP(C770,'products '!$A$1:$G$322,2,FALSE)</f>
        <v>Trek Remedy 29 Carbon Frameset - 2016</v>
      </c>
    </row>
    <row r="771" spans="1:8" x14ac:dyDescent="0.3">
      <c r="A771">
        <v>770</v>
      </c>
      <c r="B771">
        <v>1</v>
      </c>
      <c r="C771">
        <v>110</v>
      </c>
      <c r="D771" s="2">
        <v>1</v>
      </c>
      <c r="E771" s="2">
        <v>470.99</v>
      </c>
      <c r="F771">
        <v>0.05</v>
      </c>
      <c r="G771">
        <f t="shared" ref="G771:G834" si="12">E771*D771-F771</f>
        <v>470.94</v>
      </c>
      <c r="H771" t="str">
        <f>VLOOKUP(C771,'products '!$A$1:$G$322,2,FALSE)</f>
        <v>Sun Bicycles Drifter 7 - 2017</v>
      </c>
    </row>
    <row r="772" spans="1:8" x14ac:dyDescent="0.3">
      <c r="A772">
        <v>771</v>
      </c>
      <c r="B772">
        <v>1</v>
      </c>
      <c r="C772">
        <v>13</v>
      </c>
      <c r="D772" s="2">
        <v>2</v>
      </c>
      <c r="E772" s="2">
        <v>269.99</v>
      </c>
      <c r="F772">
        <v>0.2</v>
      </c>
      <c r="G772">
        <f t="shared" si="12"/>
        <v>539.78</v>
      </c>
      <c r="H772" t="str">
        <f>VLOOKUP(C772,'products '!$A$1:$G$322,2,FALSE)</f>
        <v>Electra Cruiser 1 (24-Inch) - 2016</v>
      </c>
    </row>
    <row r="773" spans="1:8" x14ac:dyDescent="0.3">
      <c r="A773">
        <v>772</v>
      </c>
      <c r="B773">
        <v>1</v>
      </c>
      <c r="C773">
        <v>103</v>
      </c>
      <c r="D773" s="2">
        <v>1</v>
      </c>
      <c r="E773" s="2">
        <v>551.99</v>
      </c>
      <c r="F773">
        <v>7.0000000000000007E-2</v>
      </c>
      <c r="G773">
        <f t="shared" si="12"/>
        <v>551.91999999999996</v>
      </c>
      <c r="H773" t="str">
        <f>VLOOKUP(C773,'products '!$A$1:$G$322,2,FALSE)</f>
        <v>Sun Bicycles Streamway 3 - 2017</v>
      </c>
    </row>
    <row r="774" spans="1:8" x14ac:dyDescent="0.3">
      <c r="A774">
        <v>773</v>
      </c>
      <c r="B774">
        <v>1</v>
      </c>
      <c r="C774">
        <v>92</v>
      </c>
      <c r="D774" s="2">
        <v>1</v>
      </c>
      <c r="E774" s="2">
        <v>209.99</v>
      </c>
      <c r="F774">
        <v>0.1</v>
      </c>
      <c r="G774">
        <f t="shared" si="12"/>
        <v>209.89000000000001</v>
      </c>
      <c r="H774" t="str">
        <f>VLOOKUP(C774,'products '!$A$1:$G$322,2,FALSE)</f>
        <v>Haro Shredder 20 - 2017</v>
      </c>
    </row>
    <row r="775" spans="1:8" x14ac:dyDescent="0.3">
      <c r="A775">
        <v>774</v>
      </c>
      <c r="B775">
        <v>1</v>
      </c>
      <c r="C775">
        <v>65</v>
      </c>
      <c r="D775" s="2">
        <v>1</v>
      </c>
      <c r="E775" s="2">
        <v>346.99</v>
      </c>
      <c r="F775">
        <v>0.05</v>
      </c>
      <c r="G775">
        <f t="shared" si="12"/>
        <v>346.94</v>
      </c>
      <c r="H775" t="str">
        <f>VLOOKUP(C775,'products '!$A$1:$G$322,2,FALSE)</f>
        <v>Sun Bicycles Lil Bolt Type-R - 2017</v>
      </c>
    </row>
    <row r="776" spans="1:8" x14ac:dyDescent="0.3">
      <c r="A776">
        <v>775</v>
      </c>
      <c r="B776">
        <v>1</v>
      </c>
      <c r="C776">
        <v>39</v>
      </c>
      <c r="D776" s="2">
        <v>1</v>
      </c>
      <c r="E776" s="2">
        <v>1499.99</v>
      </c>
      <c r="F776">
        <v>7.0000000000000007E-2</v>
      </c>
      <c r="G776">
        <f t="shared" si="12"/>
        <v>1499.92</v>
      </c>
      <c r="H776" t="str">
        <f>VLOOKUP(C776,'products '!$A$1:$G$322,2,FALSE)</f>
        <v>Trek Stache 5 - 2017</v>
      </c>
    </row>
    <row r="777" spans="1:8" x14ac:dyDescent="0.3">
      <c r="A777">
        <v>776</v>
      </c>
      <c r="B777">
        <v>1</v>
      </c>
      <c r="C777">
        <v>28</v>
      </c>
      <c r="D777" s="2">
        <v>1</v>
      </c>
      <c r="E777" s="2">
        <v>2499.9899999999998</v>
      </c>
      <c r="F777">
        <v>0.2</v>
      </c>
      <c r="G777">
        <f t="shared" si="12"/>
        <v>2499.79</v>
      </c>
      <c r="H777" t="str">
        <f>VLOOKUP(C777,'products '!$A$1:$G$322,2,FALSE)</f>
        <v>Surly Karate Monkey 27.5+ Frameset - 2017</v>
      </c>
    </row>
    <row r="778" spans="1:8" x14ac:dyDescent="0.3">
      <c r="A778">
        <v>777</v>
      </c>
      <c r="B778">
        <v>1</v>
      </c>
      <c r="C778">
        <v>5</v>
      </c>
      <c r="D778" s="2">
        <v>1</v>
      </c>
      <c r="E778" s="2">
        <v>1320.99</v>
      </c>
      <c r="F778">
        <v>0.2</v>
      </c>
      <c r="G778">
        <f t="shared" si="12"/>
        <v>1320.79</v>
      </c>
      <c r="H778" t="str">
        <f>VLOOKUP(C778,'products '!$A$1:$G$322,2,FALSE)</f>
        <v>Heller Shagamaw Frame - 2016</v>
      </c>
    </row>
    <row r="779" spans="1:8" x14ac:dyDescent="0.3">
      <c r="A779">
        <v>778</v>
      </c>
      <c r="B779">
        <v>1</v>
      </c>
      <c r="C779">
        <v>64</v>
      </c>
      <c r="D779" s="2">
        <v>1</v>
      </c>
      <c r="E779" s="2">
        <v>489.99</v>
      </c>
      <c r="F779">
        <v>0.1</v>
      </c>
      <c r="G779">
        <f t="shared" si="12"/>
        <v>489.89</v>
      </c>
      <c r="H779" t="str">
        <f>VLOOKUP(C779,'products '!$A$1:$G$322,2,FALSE)</f>
        <v>Electra Townie Original 7D - 2017</v>
      </c>
    </row>
    <row r="780" spans="1:8" x14ac:dyDescent="0.3">
      <c r="A780">
        <v>779</v>
      </c>
      <c r="B780">
        <v>1</v>
      </c>
      <c r="C780">
        <v>101</v>
      </c>
      <c r="D780" s="2">
        <v>1</v>
      </c>
      <c r="E780" s="2">
        <v>339.99</v>
      </c>
      <c r="F780">
        <v>0.05</v>
      </c>
      <c r="G780">
        <f t="shared" si="12"/>
        <v>339.94</v>
      </c>
      <c r="H780" t="str">
        <f>VLOOKUP(C780,'products '!$A$1:$G$322,2,FALSE)</f>
        <v>Electra Townie 7D (20-inch) - Boys' - 2017</v>
      </c>
    </row>
    <row r="781" spans="1:8" x14ac:dyDescent="0.3">
      <c r="A781">
        <v>780</v>
      </c>
      <c r="B781">
        <v>1</v>
      </c>
      <c r="C781">
        <v>32</v>
      </c>
      <c r="D781" s="2">
        <v>1</v>
      </c>
      <c r="E781" s="2">
        <v>469.99</v>
      </c>
      <c r="F781">
        <v>0.1</v>
      </c>
      <c r="G781">
        <f t="shared" si="12"/>
        <v>469.89</v>
      </c>
      <c r="H781" t="str">
        <f>VLOOKUP(C781,'products '!$A$1:$G$322,2,FALSE)</f>
        <v>Trek Farley Alloy Frameset - 2017</v>
      </c>
    </row>
    <row r="782" spans="1:8" x14ac:dyDescent="0.3">
      <c r="A782">
        <v>781</v>
      </c>
      <c r="B782">
        <v>1</v>
      </c>
      <c r="C782">
        <v>109</v>
      </c>
      <c r="D782" s="2">
        <v>2</v>
      </c>
      <c r="E782" s="2">
        <v>416.99</v>
      </c>
      <c r="F782">
        <v>0.05</v>
      </c>
      <c r="G782">
        <f t="shared" si="12"/>
        <v>833.93000000000006</v>
      </c>
      <c r="H782" t="str">
        <f>VLOOKUP(C782,'products '!$A$1:$G$322,2,FALSE)</f>
        <v>Sun Bicycles Cruz 7 - Women's - 2017</v>
      </c>
    </row>
    <row r="783" spans="1:8" x14ac:dyDescent="0.3">
      <c r="A783">
        <v>782</v>
      </c>
      <c r="B783">
        <v>1</v>
      </c>
      <c r="C783">
        <v>20</v>
      </c>
      <c r="D783" s="2">
        <v>2</v>
      </c>
      <c r="E783" s="2">
        <v>599.99</v>
      </c>
      <c r="F783">
        <v>7.0000000000000007E-2</v>
      </c>
      <c r="G783">
        <f t="shared" si="12"/>
        <v>1199.9100000000001</v>
      </c>
      <c r="H783" t="str">
        <f>VLOOKUP(C783,'products '!$A$1:$G$322,2,FALSE)</f>
        <v>Electra Townie Original 7D EQ - Women's - 2016</v>
      </c>
    </row>
    <row r="784" spans="1:8" x14ac:dyDescent="0.3">
      <c r="A784">
        <v>783</v>
      </c>
      <c r="B784">
        <v>1</v>
      </c>
      <c r="C784">
        <v>92</v>
      </c>
      <c r="D784" s="2">
        <v>1</v>
      </c>
      <c r="E784" s="2">
        <v>209.99</v>
      </c>
      <c r="F784">
        <v>0.2</v>
      </c>
      <c r="G784">
        <f t="shared" si="12"/>
        <v>209.79000000000002</v>
      </c>
      <c r="H784" t="str">
        <f>VLOOKUP(C784,'products '!$A$1:$G$322,2,FALSE)</f>
        <v>Haro Shredder 20 - 2017</v>
      </c>
    </row>
    <row r="785" spans="1:8" x14ac:dyDescent="0.3">
      <c r="A785">
        <v>784</v>
      </c>
      <c r="B785">
        <v>1</v>
      </c>
      <c r="C785">
        <v>22</v>
      </c>
      <c r="D785" s="2">
        <v>1</v>
      </c>
      <c r="E785" s="2">
        <v>269.99</v>
      </c>
      <c r="F785">
        <v>7.0000000000000007E-2</v>
      </c>
      <c r="G785">
        <f t="shared" si="12"/>
        <v>269.92</v>
      </c>
      <c r="H785" t="str">
        <f>VLOOKUP(C785,'products '!$A$1:$G$322,2,FALSE)</f>
        <v>Electra Girl's Hawaii 1 (16-inch) - 2015/2016</v>
      </c>
    </row>
    <row r="786" spans="1:8" x14ac:dyDescent="0.3">
      <c r="A786">
        <v>785</v>
      </c>
      <c r="B786">
        <v>1</v>
      </c>
      <c r="C786">
        <v>59</v>
      </c>
      <c r="D786" s="2">
        <v>2</v>
      </c>
      <c r="E786" s="2">
        <v>2599.9899999999998</v>
      </c>
      <c r="F786">
        <v>0.2</v>
      </c>
      <c r="G786">
        <f t="shared" si="12"/>
        <v>5199.78</v>
      </c>
      <c r="H786" t="str">
        <f>VLOOKUP(C786,'products '!$A$1:$G$322,2,FALSE)</f>
        <v>Trek Domane S 5 Disc - 2017</v>
      </c>
    </row>
    <row r="787" spans="1:8" x14ac:dyDescent="0.3">
      <c r="A787">
        <v>786</v>
      </c>
      <c r="B787">
        <v>1</v>
      </c>
      <c r="C787">
        <v>80</v>
      </c>
      <c r="D787" s="2">
        <v>1</v>
      </c>
      <c r="E787" s="2">
        <v>761.99</v>
      </c>
      <c r="F787">
        <v>0.05</v>
      </c>
      <c r="G787">
        <f t="shared" si="12"/>
        <v>761.94</v>
      </c>
      <c r="H787" t="str">
        <f>VLOOKUP(C787,'products '!$A$1:$G$322,2,FALSE)</f>
        <v>Sun Bicycles Brickell Tandem CB - 2017</v>
      </c>
    </row>
    <row r="788" spans="1:8" x14ac:dyDescent="0.3">
      <c r="A788">
        <v>787</v>
      </c>
      <c r="B788">
        <v>1</v>
      </c>
      <c r="C788">
        <v>51</v>
      </c>
      <c r="D788" s="2">
        <v>2</v>
      </c>
      <c r="E788" s="2">
        <v>6499.99</v>
      </c>
      <c r="F788">
        <v>7.0000000000000007E-2</v>
      </c>
      <c r="G788">
        <f t="shared" si="12"/>
        <v>12999.91</v>
      </c>
      <c r="H788" t="str">
        <f>VLOOKUP(C788,'products '!$A$1:$G$322,2,FALSE)</f>
        <v>Trek Silque SLR 8 Women's - 2017</v>
      </c>
    </row>
    <row r="789" spans="1:8" x14ac:dyDescent="0.3">
      <c r="A789">
        <v>788</v>
      </c>
      <c r="B789">
        <v>1</v>
      </c>
      <c r="C789">
        <v>48</v>
      </c>
      <c r="D789" s="2">
        <v>1</v>
      </c>
      <c r="E789" s="2">
        <v>1499.99</v>
      </c>
      <c r="F789">
        <v>0.2</v>
      </c>
      <c r="G789">
        <f t="shared" si="12"/>
        <v>1499.79</v>
      </c>
      <c r="H789" t="str">
        <f>VLOOKUP(C789,'products '!$A$1:$G$322,2,FALSE)</f>
        <v>Trek Emonda S 4 - 2017</v>
      </c>
    </row>
    <row r="790" spans="1:8" x14ac:dyDescent="0.3">
      <c r="A790">
        <v>789</v>
      </c>
      <c r="B790">
        <v>1</v>
      </c>
      <c r="C790">
        <v>100</v>
      </c>
      <c r="D790" s="2">
        <v>2</v>
      </c>
      <c r="E790" s="2">
        <v>489.99</v>
      </c>
      <c r="F790">
        <v>0.2</v>
      </c>
      <c r="G790">
        <f t="shared" si="12"/>
        <v>979.78</v>
      </c>
      <c r="H790" t="str">
        <f>VLOOKUP(C790,'products '!$A$1:$G$322,2,FALSE)</f>
        <v>Electra Townie 3i EQ (20-inch) - Boys' - 2017</v>
      </c>
    </row>
    <row r="791" spans="1:8" x14ac:dyDescent="0.3">
      <c r="A791">
        <v>790</v>
      </c>
      <c r="B791">
        <v>1</v>
      </c>
      <c r="C791">
        <v>62</v>
      </c>
      <c r="D791" s="2">
        <v>2</v>
      </c>
      <c r="E791" s="2">
        <v>3499.99</v>
      </c>
      <c r="F791">
        <v>7.0000000000000007E-2</v>
      </c>
      <c r="G791">
        <f t="shared" si="12"/>
        <v>6999.91</v>
      </c>
      <c r="H791" t="str">
        <f>VLOOKUP(C791,'products '!$A$1:$G$322,2,FALSE)</f>
        <v>Trek Boone 7 - 2017</v>
      </c>
    </row>
    <row r="792" spans="1:8" x14ac:dyDescent="0.3">
      <c r="A792">
        <v>791</v>
      </c>
      <c r="B792">
        <v>1</v>
      </c>
      <c r="C792">
        <v>54</v>
      </c>
      <c r="D792" s="2">
        <v>1</v>
      </c>
      <c r="E792" s="2">
        <v>3199.99</v>
      </c>
      <c r="F792">
        <v>0.2</v>
      </c>
      <c r="G792">
        <f t="shared" si="12"/>
        <v>3199.79</v>
      </c>
      <c r="H792" t="str">
        <f>VLOOKUP(C792,'products '!$A$1:$G$322,2,FALSE)</f>
        <v>Trek Domane SL Disc Frameset - 2017</v>
      </c>
    </row>
    <row r="793" spans="1:8" x14ac:dyDescent="0.3">
      <c r="A793">
        <v>792</v>
      </c>
      <c r="B793">
        <v>1</v>
      </c>
      <c r="C793">
        <v>16</v>
      </c>
      <c r="D793" s="2">
        <v>2</v>
      </c>
      <c r="E793" s="2">
        <v>599.99</v>
      </c>
      <c r="F793">
        <v>0.2</v>
      </c>
      <c r="G793">
        <f t="shared" si="12"/>
        <v>1199.78</v>
      </c>
      <c r="H793" t="str">
        <f>VLOOKUP(C793,'products '!$A$1:$G$322,2,FALSE)</f>
        <v>Electra Townie Original 7D EQ - 2016</v>
      </c>
    </row>
    <row r="794" spans="1:8" x14ac:dyDescent="0.3">
      <c r="A794">
        <v>793</v>
      </c>
      <c r="B794">
        <v>1</v>
      </c>
      <c r="C794">
        <v>60</v>
      </c>
      <c r="D794" s="2">
        <v>1</v>
      </c>
      <c r="E794" s="2">
        <v>1559.99</v>
      </c>
      <c r="F794">
        <v>0.05</v>
      </c>
      <c r="G794">
        <f t="shared" si="12"/>
        <v>1559.94</v>
      </c>
      <c r="H794" t="str">
        <f>VLOOKUP(C794,'products '!$A$1:$G$322,2,FALSE)</f>
        <v>Sun Bicycles ElectroLite - 2017</v>
      </c>
    </row>
    <row r="795" spans="1:8" x14ac:dyDescent="0.3">
      <c r="A795">
        <v>794</v>
      </c>
      <c r="B795">
        <v>1</v>
      </c>
      <c r="C795">
        <v>41</v>
      </c>
      <c r="D795" s="2">
        <v>2</v>
      </c>
      <c r="E795" s="2">
        <v>1469.99</v>
      </c>
      <c r="F795">
        <v>0.05</v>
      </c>
      <c r="G795">
        <f t="shared" si="12"/>
        <v>2939.93</v>
      </c>
      <c r="H795" t="str">
        <f>VLOOKUP(C795,'products '!$A$1:$G$322,2,FALSE)</f>
        <v>Haro Shift R3 - 2017</v>
      </c>
    </row>
    <row r="796" spans="1:8" x14ac:dyDescent="0.3">
      <c r="A796">
        <v>795</v>
      </c>
      <c r="B796">
        <v>1</v>
      </c>
      <c r="C796">
        <v>95</v>
      </c>
      <c r="D796" s="2">
        <v>2</v>
      </c>
      <c r="E796" s="2">
        <v>299.99</v>
      </c>
      <c r="F796">
        <v>0.05</v>
      </c>
      <c r="G796">
        <f t="shared" si="12"/>
        <v>599.93000000000006</v>
      </c>
      <c r="H796" t="str">
        <f>VLOOKUP(C796,'products '!$A$1:$G$322,2,FALSE)</f>
        <v>Electra Girl's Hawaii 1 16" - 2017</v>
      </c>
    </row>
    <row r="797" spans="1:8" x14ac:dyDescent="0.3">
      <c r="A797">
        <v>796</v>
      </c>
      <c r="B797">
        <v>1</v>
      </c>
      <c r="C797">
        <v>6</v>
      </c>
      <c r="D797" s="2">
        <v>2</v>
      </c>
      <c r="E797" s="2">
        <v>469.99</v>
      </c>
      <c r="F797">
        <v>0.2</v>
      </c>
      <c r="G797">
        <f t="shared" si="12"/>
        <v>939.78</v>
      </c>
      <c r="H797" t="str">
        <f>VLOOKUP(C797,'products '!$A$1:$G$322,2,FALSE)</f>
        <v>Surly Ice Cream Truck Frameset - 2016</v>
      </c>
    </row>
    <row r="798" spans="1:8" x14ac:dyDescent="0.3">
      <c r="A798">
        <v>797</v>
      </c>
      <c r="B798">
        <v>1</v>
      </c>
      <c r="C798">
        <v>11</v>
      </c>
      <c r="D798" s="2">
        <v>1</v>
      </c>
      <c r="E798" s="2">
        <v>1680.99</v>
      </c>
      <c r="F798">
        <v>7.0000000000000007E-2</v>
      </c>
      <c r="G798">
        <f t="shared" si="12"/>
        <v>1680.92</v>
      </c>
      <c r="H798" t="str">
        <f>VLOOKUP(C798,'products '!$A$1:$G$322,2,FALSE)</f>
        <v>Surly Straggler 650b - 2016</v>
      </c>
    </row>
    <row r="799" spans="1:8" x14ac:dyDescent="0.3">
      <c r="A799">
        <v>798</v>
      </c>
      <c r="B799">
        <v>1</v>
      </c>
      <c r="C799">
        <v>23</v>
      </c>
      <c r="D799" s="2">
        <v>1</v>
      </c>
      <c r="E799" s="2">
        <v>299.99</v>
      </c>
      <c r="F799">
        <v>0.1</v>
      </c>
      <c r="G799">
        <f t="shared" si="12"/>
        <v>299.89</v>
      </c>
      <c r="H799" t="str">
        <f>VLOOKUP(C799,'products '!$A$1:$G$322,2,FALSE)</f>
        <v>Electra Girl's Hawaii 1 (20-inch) - 2015/2016</v>
      </c>
    </row>
    <row r="800" spans="1:8" x14ac:dyDescent="0.3">
      <c r="A800">
        <v>799</v>
      </c>
      <c r="B800">
        <v>1</v>
      </c>
      <c r="C800">
        <v>5</v>
      </c>
      <c r="D800" s="2">
        <v>2</v>
      </c>
      <c r="E800" s="2">
        <v>1320.99</v>
      </c>
      <c r="F800">
        <v>0.1</v>
      </c>
      <c r="G800">
        <f t="shared" si="12"/>
        <v>2641.88</v>
      </c>
      <c r="H800" t="str">
        <f>VLOOKUP(C800,'products '!$A$1:$G$322,2,FALSE)</f>
        <v>Heller Shagamaw Frame - 2016</v>
      </c>
    </row>
    <row r="801" spans="1:8" x14ac:dyDescent="0.3">
      <c r="A801">
        <v>800</v>
      </c>
      <c r="B801">
        <v>1</v>
      </c>
      <c r="C801">
        <v>65</v>
      </c>
      <c r="D801" s="2">
        <v>2</v>
      </c>
      <c r="E801" s="2">
        <v>346.99</v>
      </c>
      <c r="F801">
        <v>0.1</v>
      </c>
      <c r="G801">
        <f t="shared" si="12"/>
        <v>693.88</v>
      </c>
      <c r="H801" t="str">
        <f>VLOOKUP(C801,'products '!$A$1:$G$322,2,FALSE)</f>
        <v>Sun Bicycles Lil Bolt Type-R - 2017</v>
      </c>
    </row>
    <row r="802" spans="1:8" x14ac:dyDescent="0.3">
      <c r="A802">
        <v>801</v>
      </c>
      <c r="B802">
        <v>1</v>
      </c>
      <c r="C802">
        <v>101</v>
      </c>
      <c r="D802" s="2">
        <v>1</v>
      </c>
      <c r="E802" s="2">
        <v>339.99</v>
      </c>
      <c r="F802">
        <v>7.0000000000000007E-2</v>
      </c>
      <c r="G802">
        <f t="shared" si="12"/>
        <v>339.92</v>
      </c>
      <c r="H802" t="str">
        <f>VLOOKUP(C802,'products '!$A$1:$G$322,2,FALSE)</f>
        <v>Electra Townie 7D (20-inch) - Boys' - 2017</v>
      </c>
    </row>
    <row r="803" spans="1:8" x14ac:dyDescent="0.3">
      <c r="A803">
        <v>802</v>
      </c>
      <c r="B803">
        <v>1</v>
      </c>
      <c r="C803">
        <v>30</v>
      </c>
      <c r="D803" s="2">
        <v>1</v>
      </c>
      <c r="E803" s="2">
        <v>999.99</v>
      </c>
      <c r="F803">
        <v>0.05</v>
      </c>
      <c r="G803">
        <f t="shared" si="12"/>
        <v>999.94</v>
      </c>
      <c r="H803" t="str">
        <f>VLOOKUP(C803,'products '!$A$1:$G$322,2,FALSE)</f>
        <v>Surly Ice Cream Truck Frameset - 2017</v>
      </c>
    </row>
    <row r="804" spans="1:8" x14ac:dyDescent="0.3">
      <c r="A804">
        <v>803</v>
      </c>
      <c r="B804">
        <v>1</v>
      </c>
      <c r="C804">
        <v>111</v>
      </c>
      <c r="D804" s="2">
        <v>1</v>
      </c>
      <c r="E804" s="2">
        <v>470.99</v>
      </c>
      <c r="F804">
        <v>7.0000000000000007E-2</v>
      </c>
      <c r="G804">
        <f t="shared" si="12"/>
        <v>470.92</v>
      </c>
      <c r="H804" t="str">
        <f>VLOOKUP(C804,'products '!$A$1:$G$322,2,FALSE)</f>
        <v>Sun Bicycles Drifter 7 - Women's - 2017</v>
      </c>
    </row>
    <row r="805" spans="1:8" x14ac:dyDescent="0.3">
      <c r="A805">
        <v>804</v>
      </c>
      <c r="B805">
        <v>1</v>
      </c>
      <c r="C805">
        <v>89</v>
      </c>
      <c r="D805" s="2">
        <v>2</v>
      </c>
      <c r="E805" s="2">
        <v>209.99</v>
      </c>
      <c r="F805">
        <v>0.2</v>
      </c>
      <c r="G805">
        <f t="shared" si="12"/>
        <v>419.78000000000003</v>
      </c>
      <c r="H805" t="str">
        <f>VLOOKUP(C805,'products '!$A$1:$G$322,2,FALSE)</f>
        <v>Trek Precaliber 16 Boys - 2017</v>
      </c>
    </row>
    <row r="806" spans="1:8" x14ac:dyDescent="0.3">
      <c r="A806">
        <v>805</v>
      </c>
      <c r="B806">
        <v>1</v>
      </c>
      <c r="C806">
        <v>24</v>
      </c>
      <c r="D806" s="2">
        <v>1</v>
      </c>
      <c r="E806" s="2">
        <v>549.99</v>
      </c>
      <c r="F806">
        <v>0.05</v>
      </c>
      <c r="G806">
        <f t="shared" si="12"/>
        <v>549.94000000000005</v>
      </c>
      <c r="H806" t="str">
        <f>VLOOKUP(C806,'products '!$A$1:$G$322,2,FALSE)</f>
        <v>Electra Townie Original 21D - 2016</v>
      </c>
    </row>
    <row r="807" spans="1:8" x14ac:dyDescent="0.3">
      <c r="A807">
        <v>806</v>
      </c>
      <c r="B807">
        <v>1</v>
      </c>
      <c r="C807">
        <v>93</v>
      </c>
      <c r="D807" s="2">
        <v>2</v>
      </c>
      <c r="E807" s="2">
        <v>209.99</v>
      </c>
      <c r="F807">
        <v>0.1</v>
      </c>
      <c r="G807">
        <f t="shared" si="12"/>
        <v>419.88</v>
      </c>
      <c r="H807" t="str">
        <f>VLOOKUP(C807,'products '!$A$1:$G$322,2,FALSE)</f>
        <v>Haro Shredder 20 Girls - 2017</v>
      </c>
    </row>
    <row r="808" spans="1:8" x14ac:dyDescent="0.3">
      <c r="A808">
        <v>807</v>
      </c>
      <c r="B808">
        <v>1</v>
      </c>
      <c r="C808">
        <v>21</v>
      </c>
      <c r="D808" s="2">
        <v>2</v>
      </c>
      <c r="E808" s="2">
        <v>269.99</v>
      </c>
      <c r="F808">
        <v>0.2</v>
      </c>
      <c r="G808">
        <f t="shared" si="12"/>
        <v>539.78</v>
      </c>
      <c r="H808" t="str">
        <f>VLOOKUP(C808,'products '!$A$1:$G$322,2,FALSE)</f>
        <v>Electra Cruiser 1 (24-Inch) - 2016</v>
      </c>
    </row>
    <row r="809" spans="1:8" x14ac:dyDescent="0.3">
      <c r="A809">
        <v>808</v>
      </c>
      <c r="B809">
        <v>1</v>
      </c>
      <c r="C809">
        <v>96</v>
      </c>
      <c r="D809" s="2">
        <v>2</v>
      </c>
      <c r="E809" s="2">
        <v>349.99</v>
      </c>
      <c r="F809">
        <v>0.05</v>
      </c>
      <c r="G809">
        <f t="shared" si="12"/>
        <v>699.93000000000006</v>
      </c>
      <c r="H809" t="str">
        <f>VLOOKUP(C809,'products '!$A$1:$G$322,2,FALSE)</f>
        <v>Electra Moto 3i (20-inch) - Boy's - 2017</v>
      </c>
    </row>
    <row r="810" spans="1:8" x14ac:dyDescent="0.3">
      <c r="A810">
        <v>809</v>
      </c>
      <c r="B810">
        <v>1</v>
      </c>
      <c r="C810">
        <v>78</v>
      </c>
      <c r="D810" s="2">
        <v>1</v>
      </c>
      <c r="E810" s="2">
        <v>647.99</v>
      </c>
      <c r="F810">
        <v>0.1</v>
      </c>
      <c r="G810">
        <f t="shared" si="12"/>
        <v>647.89</v>
      </c>
      <c r="H810" t="str">
        <f>VLOOKUP(C810,'products '!$A$1:$G$322,2,FALSE)</f>
        <v>Sun Bicycles Biscayne Tandem CB - 2017</v>
      </c>
    </row>
    <row r="811" spans="1:8" x14ac:dyDescent="0.3">
      <c r="A811">
        <v>810</v>
      </c>
      <c r="B811">
        <v>1</v>
      </c>
      <c r="C811">
        <v>103</v>
      </c>
      <c r="D811" s="2">
        <v>2</v>
      </c>
      <c r="E811" s="2">
        <v>551.99</v>
      </c>
      <c r="F811">
        <v>0.05</v>
      </c>
      <c r="G811">
        <f t="shared" si="12"/>
        <v>1103.93</v>
      </c>
      <c r="H811" t="str">
        <f>VLOOKUP(C811,'products '!$A$1:$G$322,2,FALSE)</f>
        <v>Sun Bicycles Streamway 3 - 2017</v>
      </c>
    </row>
    <row r="812" spans="1:8" x14ac:dyDescent="0.3">
      <c r="A812">
        <v>811</v>
      </c>
      <c r="B812">
        <v>1</v>
      </c>
      <c r="C812">
        <v>45</v>
      </c>
      <c r="D812" s="2">
        <v>2</v>
      </c>
      <c r="E812" s="2">
        <v>869.99</v>
      </c>
      <c r="F812">
        <v>7.0000000000000007E-2</v>
      </c>
      <c r="G812">
        <f t="shared" si="12"/>
        <v>1739.91</v>
      </c>
      <c r="H812" t="str">
        <f>VLOOKUP(C812,'products '!$A$1:$G$322,2,FALSE)</f>
        <v>Haro SR 1.2 - 2017</v>
      </c>
    </row>
    <row r="813" spans="1:8" x14ac:dyDescent="0.3">
      <c r="A813">
        <v>812</v>
      </c>
      <c r="B813">
        <v>1</v>
      </c>
      <c r="C813">
        <v>76</v>
      </c>
      <c r="D813" s="2">
        <v>2</v>
      </c>
      <c r="E813" s="2">
        <v>299.99</v>
      </c>
      <c r="F813">
        <v>0.1</v>
      </c>
      <c r="G813">
        <f t="shared" si="12"/>
        <v>599.88</v>
      </c>
      <c r="H813" t="str">
        <f>VLOOKUP(C813,'products '!$A$1:$G$322,2,FALSE)</f>
        <v>Electra Girl's Hawaii 1 16" - 2017</v>
      </c>
    </row>
    <row r="814" spans="1:8" x14ac:dyDescent="0.3">
      <c r="A814">
        <v>813</v>
      </c>
      <c r="B814">
        <v>1</v>
      </c>
      <c r="C814">
        <v>96</v>
      </c>
      <c r="D814" s="2">
        <v>2</v>
      </c>
      <c r="E814" s="2">
        <v>349.99</v>
      </c>
      <c r="F814">
        <v>0.1</v>
      </c>
      <c r="G814">
        <f t="shared" si="12"/>
        <v>699.88</v>
      </c>
      <c r="H814" t="str">
        <f>VLOOKUP(C814,'products '!$A$1:$G$322,2,FALSE)</f>
        <v>Electra Moto 3i (20-inch) - Boy's - 2017</v>
      </c>
    </row>
    <row r="815" spans="1:8" x14ac:dyDescent="0.3">
      <c r="A815">
        <v>814</v>
      </c>
      <c r="B815">
        <v>1</v>
      </c>
      <c r="C815">
        <v>69</v>
      </c>
      <c r="D815" s="2">
        <v>2</v>
      </c>
      <c r="E815" s="2">
        <v>416.99</v>
      </c>
      <c r="F815">
        <v>0.1</v>
      </c>
      <c r="G815">
        <f t="shared" si="12"/>
        <v>833.88</v>
      </c>
      <c r="H815" t="str">
        <f>VLOOKUP(C815,'products '!$A$1:$G$322,2,FALSE)</f>
        <v>Sun Bicycles Cruz 7 - 2017</v>
      </c>
    </row>
    <row r="816" spans="1:8" x14ac:dyDescent="0.3">
      <c r="A816">
        <v>815</v>
      </c>
      <c r="B816">
        <v>1</v>
      </c>
      <c r="C816">
        <v>105</v>
      </c>
      <c r="D816" s="2">
        <v>2</v>
      </c>
      <c r="E816" s="2">
        <v>533.99</v>
      </c>
      <c r="F816">
        <v>0.2</v>
      </c>
      <c r="G816">
        <f t="shared" si="12"/>
        <v>1067.78</v>
      </c>
      <c r="H816" t="str">
        <f>VLOOKUP(C816,'products '!$A$1:$G$322,2,FALSE)</f>
        <v>Sun Bicycles Streamway 7 - 2017</v>
      </c>
    </row>
    <row r="817" spans="1:8" x14ac:dyDescent="0.3">
      <c r="A817">
        <v>816</v>
      </c>
      <c r="B817">
        <v>1</v>
      </c>
      <c r="C817">
        <v>75</v>
      </c>
      <c r="D817" s="2">
        <v>2</v>
      </c>
      <c r="E817" s="2">
        <v>599.99</v>
      </c>
      <c r="F817">
        <v>0.1</v>
      </c>
      <c r="G817">
        <f t="shared" si="12"/>
        <v>1199.8800000000001</v>
      </c>
      <c r="H817" t="str">
        <f>VLOOKUP(C817,'products '!$A$1:$G$322,2,FALSE)</f>
        <v>Electra Cruiser Lux Fat Tire 1 Ladies - 2017</v>
      </c>
    </row>
    <row r="818" spans="1:8" x14ac:dyDescent="0.3">
      <c r="A818">
        <v>817</v>
      </c>
      <c r="B818">
        <v>1</v>
      </c>
      <c r="C818">
        <v>85</v>
      </c>
      <c r="D818" s="2">
        <v>1</v>
      </c>
      <c r="E818" s="2">
        <v>329.99</v>
      </c>
      <c r="F818">
        <v>0.05</v>
      </c>
      <c r="G818">
        <f t="shared" si="12"/>
        <v>329.94</v>
      </c>
      <c r="H818" t="str">
        <f>VLOOKUP(C818,'products '!$A$1:$G$322,2,FALSE)</f>
        <v>Haro Downtown 16 - 2017</v>
      </c>
    </row>
    <row r="819" spans="1:8" x14ac:dyDescent="0.3">
      <c r="A819">
        <v>818</v>
      </c>
      <c r="B819">
        <v>1</v>
      </c>
      <c r="C819">
        <v>103</v>
      </c>
      <c r="D819" s="2">
        <v>1</v>
      </c>
      <c r="E819" s="2">
        <v>551.99</v>
      </c>
      <c r="F819">
        <v>0.05</v>
      </c>
      <c r="G819">
        <f t="shared" si="12"/>
        <v>551.94000000000005</v>
      </c>
      <c r="H819" t="str">
        <f>VLOOKUP(C819,'products '!$A$1:$G$322,2,FALSE)</f>
        <v>Sun Bicycles Streamway 3 - 2017</v>
      </c>
    </row>
    <row r="820" spans="1:8" x14ac:dyDescent="0.3">
      <c r="A820">
        <v>819</v>
      </c>
      <c r="B820">
        <v>1</v>
      </c>
      <c r="C820">
        <v>94</v>
      </c>
      <c r="D820" s="2">
        <v>1</v>
      </c>
      <c r="E820" s="2">
        <v>249.99</v>
      </c>
      <c r="F820">
        <v>0.2</v>
      </c>
      <c r="G820">
        <f t="shared" si="12"/>
        <v>249.79000000000002</v>
      </c>
      <c r="H820" t="str">
        <f>VLOOKUP(C820,'products '!$A$1:$G$322,2,FALSE)</f>
        <v>Haro Shredder Pro 20 - 2017</v>
      </c>
    </row>
    <row r="821" spans="1:8" x14ac:dyDescent="0.3">
      <c r="A821">
        <v>820</v>
      </c>
      <c r="B821">
        <v>1</v>
      </c>
      <c r="C821">
        <v>107</v>
      </c>
      <c r="D821" s="2">
        <v>1</v>
      </c>
      <c r="E821" s="2">
        <v>416.99</v>
      </c>
      <c r="F821">
        <v>0.05</v>
      </c>
      <c r="G821">
        <f t="shared" si="12"/>
        <v>416.94</v>
      </c>
      <c r="H821" t="str">
        <f>VLOOKUP(C821,'products '!$A$1:$G$322,2,FALSE)</f>
        <v>Sun Bicycles Cruz 7 - 2017</v>
      </c>
    </row>
    <row r="822" spans="1:8" x14ac:dyDescent="0.3">
      <c r="A822">
        <v>821</v>
      </c>
      <c r="B822">
        <v>1</v>
      </c>
      <c r="C822">
        <v>102</v>
      </c>
      <c r="D822" s="2">
        <v>1</v>
      </c>
      <c r="E822" s="2">
        <v>489.99</v>
      </c>
      <c r="F822">
        <v>7.0000000000000007E-2</v>
      </c>
      <c r="G822">
        <f t="shared" si="12"/>
        <v>489.92</v>
      </c>
      <c r="H822" t="str">
        <f>VLOOKUP(C822,'products '!$A$1:$G$322,2,FALSE)</f>
        <v>Electra Townie Original 7D - 2017</v>
      </c>
    </row>
    <row r="823" spans="1:8" x14ac:dyDescent="0.3">
      <c r="A823">
        <v>822</v>
      </c>
      <c r="B823">
        <v>1</v>
      </c>
      <c r="C823">
        <v>53</v>
      </c>
      <c r="D823" s="2">
        <v>1</v>
      </c>
      <c r="E823" s="2">
        <v>749.99</v>
      </c>
      <c r="F823">
        <v>0.05</v>
      </c>
      <c r="G823">
        <f t="shared" si="12"/>
        <v>749.94</v>
      </c>
      <c r="H823" t="str">
        <f>VLOOKUP(C823,'products '!$A$1:$G$322,2,FALSE)</f>
        <v>Surly Ogre Frameset - 2017</v>
      </c>
    </row>
    <row r="824" spans="1:8" x14ac:dyDescent="0.3">
      <c r="A824">
        <v>823</v>
      </c>
      <c r="B824">
        <v>1</v>
      </c>
      <c r="C824">
        <v>56</v>
      </c>
      <c r="D824" s="2">
        <v>2</v>
      </c>
      <c r="E824" s="2">
        <v>5499.99</v>
      </c>
      <c r="F824">
        <v>7.0000000000000007E-2</v>
      </c>
      <c r="G824">
        <f t="shared" si="12"/>
        <v>10999.91</v>
      </c>
      <c r="H824" t="str">
        <f>VLOOKUP(C824,'products '!$A$1:$G$322,2,FALSE)</f>
        <v>Trek Domane SLR 6 Disc - 2017</v>
      </c>
    </row>
    <row r="825" spans="1:8" x14ac:dyDescent="0.3">
      <c r="A825">
        <v>824</v>
      </c>
      <c r="B825">
        <v>1</v>
      </c>
      <c r="C825">
        <v>92</v>
      </c>
      <c r="D825" s="2">
        <v>2</v>
      </c>
      <c r="E825" s="2">
        <v>209.99</v>
      </c>
      <c r="F825">
        <v>0.1</v>
      </c>
      <c r="G825">
        <f t="shared" si="12"/>
        <v>419.88</v>
      </c>
      <c r="H825" t="str">
        <f>VLOOKUP(C825,'products '!$A$1:$G$322,2,FALSE)</f>
        <v>Haro Shredder 20 - 2017</v>
      </c>
    </row>
    <row r="826" spans="1:8" x14ac:dyDescent="0.3">
      <c r="A826">
        <v>825</v>
      </c>
      <c r="B826">
        <v>1</v>
      </c>
      <c r="C826">
        <v>19</v>
      </c>
      <c r="D826" s="2">
        <v>1</v>
      </c>
      <c r="E826" s="2">
        <v>449</v>
      </c>
      <c r="F826">
        <v>0.1</v>
      </c>
      <c r="G826">
        <f t="shared" si="12"/>
        <v>448.9</v>
      </c>
      <c r="H826" t="str">
        <f>VLOOKUP(C826,'products '!$A$1:$G$322,2,FALSE)</f>
        <v>Pure Cycles William 3-Speed - 2016</v>
      </c>
    </row>
    <row r="827" spans="1:8" x14ac:dyDescent="0.3">
      <c r="A827">
        <v>826</v>
      </c>
      <c r="B827">
        <v>1</v>
      </c>
      <c r="C827">
        <v>45</v>
      </c>
      <c r="D827" s="2">
        <v>2</v>
      </c>
      <c r="E827" s="2">
        <v>869.99</v>
      </c>
      <c r="F827">
        <v>0.2</v>
      </c>
      <c r="G827">
        <f t="shared" si="12"/>
        <v>1739.78</v>
      </c>
      <c r="H827" t="str">
        <f>VLOOKUP(C827,'products '!$A$1:$G$322,2,FALSE)</f>
        <v>Haro SR 1.2 - 2017</v>
      </c>
    </row>
    <row r="828" spans="1:8" x14ac:dyDescent="0.3">
      <c r="A828">
        <v>827</v>
      </c>
      <c r="B828">
        <v>1</v>
      </c>
      <c r="C828">
        <v>43</v>
      </c>
      <c r="D828" s="2">
        <v>1</v>
      </c>
      <c r="E828" s="2">
        <v>5299.99</v>
      </c>
      <c r="F828">
        <v>0.05</v>
      </c>
      <c r="G828">
        <f t="shared" si="12"/>
        <v>5299.94</v>
      </c>
      <c r="H828" t="str">
        <f>VLOOKUP(C828,'products '!$A$1:$G$322,2,FALSE)</f>
        <v>Trek Fuel EX 9.8 27.5 Plus - 2017</v>
      </c>
    </row>
    <row r="829" spans="1:8" x14ac:dyDescent="0.3">
      <c r="A829">
        <v>828</v>
      </c>
      <c r="B829">
        <v>1</v>
      </c>
      <c r="C829">
        <v>25</v>
      </c>
      <c r="D829" s="2">
        <v>2</v>
      </c>
      <c r="E829" s="2">
        <v>499.99</v>
      </c>
      <c r="F829">
        <v>0.2</v>
      </c>
      <c r="G829">
        <f t="shared" si="12"/>
        <v>999.78</v>
      </c>
      <c r="H829" t="str">
        <f>VLOOKUP(C829,'products '!$A$1:$G$322,2,FALSE)</f>
        <v>Electra Townie Original 7D - 2015/2016</v>
      </c>
    </row>
    <row r="830" spans="1:8" x14ac:dyDescent="0.3">
      <c r="A830">
        <v>829</v>
      </c>
      <c r="B830">
        <v>1</v>
      </c>
      <c r="C830">
        <v>103</v>
      </c>
      <c r="D830" s="2">
        <v>1</v>
      </c>
      <c r="E830" s="2">
        <v>551.99</v>
      </c>
      <c r="F830">
        <v>0.2</v>
      </c>
      <c r="G830">
        <f t="shared" si="12"/>
        <v>551.79</v>
      </c>
      <c r="H830" t="str">
        <f>VLOOKUP(C830,'products '!$A$1:$G$322,2,FALSE)</f>
        <v>Sun Bicycles Streamway 3 - 2017</v>
      </c>
    </row>
    <row r="831" spans="1:8" x14ac:dyDescent="0.3">
      <c r="A831">
        <v>830</v>
      </c>
      <c r="B831">
        <v>1</v>
      </c>
      <c r="C831">
        <v>85</v>
      </c>
      <c r="D831" s="2">
        <v>2</v>
      </c>
      <c r="E831" s="2">
        <v>329.99</v>
      </c>
      <c r="F831">
        <v>0.2</v>
      </c>
      <c r="G831">
        <f t="shared" si="12"/>
        <v>659.78</v>
      </c>
      <c r="H831" t="str">
        <f>VLOOKUP(C831,'products '!$A$1:$G$322,2,FALSE)</f>
        <v>Haro Downtown 16 - 2017</v>
      </c>
    </row>
    <row r="832" spans="1:8" x14ac:dyDescent="0.3">
      <c r="A832">
        <v>831</v>
      </c>
      <c r="B832">
        <v>1</v>
      </c>
      <c r="C832">
        <v>67</v>
      </c>
      <c r="D832" s="2">
        <v>1</v>
      </c>
      <c r="E832" s="2">
        <v>250.99</v>
      </c>
      <c r="F832">
        <v>0.2</v>
      </c>
      <c r="G832">
        <f t="shared" si="12"/>
        <v>250.79000000000002</v>
      </c>
      <c r="H832" t="str">
        <f>VLOOKUP(C832,'products '!$A$1:$G$322,2,FALSE)</f>
        <v>Sun Bicycles Revolutions 24 - Girl's - 2017</v>
      </c>
    </row>
    <row r="833" spans="1:8" x14ac:dyDescent="0.3">
      <c r="A833">
        <v>832</v>
      </c>
      <c r="B833">
        <v>1</v>
      </c>
      <c r="C833">
        <v>54</v>
      </c>
      <c r="D833" s="2">
        <v>1</v>
      </c>
      <c r="E833" s="2">
        <v>3199.99</v>
      </c>
      <c r="F833">
        <v>0.05</v>
      </c>
      <c r="G833">
        <f t="shared" si="12"/>
        <v>3199.9399999999996</v>
      </c>
      <c r="H833" t="str">
        <f>VLOOKUP(C833,'products '!$A$1:$G$322,2,FALSE)</f>
        <v>Trek Domane SL Disc Frameset - 2017</v>
      </c>
    </row>
    <row r="834" spans="1:8" x14ac:dyDescent="0.3">
      <c r="A834">
        <v>833</v>
      </c>
      <c r="B834">
        <v>1</v>
      </c>
      <c r="C834">
        <v>20</v>
      </c>
      <c r="D834" s="2">
        <v>2</v>
      </c>
      <c r="E834" s="2">
        <v>599.99</v>
      </c>
      <c r="F834">
        <v>0.05</v>
      </c>
      <c r="G834">
        <f t="shared" si="12"/>
        <v>1199.93</v>
      </c>
      <c r="H834" t="str">
        <f>VLOOKUP(C834,'products '!$A$1:$G$322,2,FALSE)</f>
        <v>Electra Townie Original 7D EQ - Women's - 2016</v>
      </c>
    </row>
    <row r="835" spans="1:8" x14ac:dyDescent="0.3">
      <c r="A835">
        <v>834</v>
      </c>
      <c r="B835">
        <v>1</v>
      </c>
      <c r="C835">
        <v>54</v>
      </c>
      <c r="D835" s="2">
        <v>1</v>
      </c>
      <c r="E835" s="2">
        <v>3199.99</v>
      </c>
      <c r="F835">
        <v>7.0000000000000007E-2</v>
      </c>
      <c r="G835">
        <f t="shared" ref="G835:G898" si="13">E835*D835-F835</f>
        <v>3199.9199999999996</v>
      </c>
      <c r="H835" t="str">
        <f>VLOOKUP(C835,'products '!$A$1:$G$322,2,FALSE)</f>
        <v>Trek Domane SL Disc Frameset - 2017</v>
      </c>
    </row>
    <row r="836" spans="1:8" x14ac:dyDescent="0.3">
      <c r="A836">
        <v>835</v>
      </c>
      <c r="B836">
        <v>1</v>
      </c>
      <c r="C836">
        <v>65</v>
      </c>
      <c r="D836" s="2">
        <v>2</v>
      </c>
      <c r="E836" s="2">
        <v>346.99</v>
      </c>
      <c r="F836">
        <v>7.0000000000000007E-2</v>
      </c>
      <c r="G836">
        <f t="shared" si="13"/>
        <v>693.91</v>
      </c>
      <c r="H836" t="str">
        <f>VLOOKUP(C836,'products '!$A$1:$G$322,2,FALSE)</f>
        <v>Sun Bicycles Lil Bolt Type-R - 2017</v>
      </c>
    </row>
    <row r="837" spans="1:8" x14ac:dyDescent="0.3">
      <c r="A837">
        <v>836</v>
      </c>
      <c r="B837">
        <v>1</v>
      </c>
      <c r="C837">
        <v>108</v>
      </c>
      <c r="D837" s="2">
        <v>2</v>
      </c>
      <c r="E837" s="2">
        <v>449.99</v>
      </c>
      <c r="F837">
        <v>0.2</v>
      </c>
      <c r="G837">
        <f t="shared" si="13"/>
        <v>899.78</v>
      </c>
      <c r="H837" t="str">
        <f>VLOOKUP(C837,'products '!$A$1:$G$322,2,FALSE)</f>
        <v>Sun Bicycles Cruz 3 - Women's - 2017</v>
      </c>
    </row>
    <row r="838" spans="1:8" x14ac:dyDescent="0.3">
      <c r="A838">
        <v>837</v>
      </c>
      <c r="B838">
        <v>1</v>
      </c>
      <c r="C838">
        <v>51</v>
      </c>
      <c r="D838" s="2">
        <v>1</v>
      </c>
      <c r="E838" s="2">
        <v>6499.99</v>
      </c>
      <c r="F838">
        <v>0.05</v>
      </c>
      <c r="G838">
        <f t="shared" si="13"/>
        <v>6499.94</v>
      </c>
      <c r="H838" t="str">
        <f>VLOOKUP(C838,'products '!$A$1:$G$322,2,FALSE)</f>
        <v>Trek Silque SLR 8 Women's - 2017</v>
      </c>
    </row>
    <row r="839" spans="1:8" x14ac:dyDescent="0.3">
      <c r="A839">
        <v>838</v>
      </c>
      <c r="B839">
        <v>1</v>
      </c>
      <c r="C839">
        <v>28</v>
      </c>
      <c r="D839" s="2">
        <v>1</v>
      </c>
      <c r="E839" s="2">
        <v>2499.9899999999998</v>
      </c>
      <c r="F839">
        <v>0.1</v>
      </c>
      <c r="G839">
        <f t="shared" si="13"/>
        <v>2499.89</v>
      </c>
      <c r="H839" t="str">
        <f>VLOOKUP(C839,'products '!$A$1:$G$322,2,FALSE)</f>
        <v>Surly Karate Monkey 27.5+ Frameset - 2017</v>
      </c>
    </row>
    <row r="840" spans="1:8" x14ac:dyDescent="0.3">
      <c r="A840">
        <v>839</v>
      </c>
      <c r="B840">
        <v>1</v>
      </c>
      <c r="C840">
        <v>55</v>
      </c>
      <c r="D840" s="2">
        <v>1</v>
      </c>
      <c r="E840" s="2">
        <v>2699.99</v>
      </c>
      <c r="F840">
        <v>7.0000000000000007E-2</v>
      </c>
      <c r="G840">
        <f t="shared" si="13"/>
        <v>2699.9199999999996</v>
      </c>
      <c r="H840" t="str">
        <f>VLOOKUP(C840,'products '!$A$1:$G$322,2,FALSE)</f>
        <v>Trek Domane S 6 - 2017</v>
      </c>
    </row>
    <row r="841" spans="1:8" x14ac:dyDescent="0.3">
      <c r="A841">
        <v>840</v>
      </c>
      <c r="B841">
        <v>1</v>
      </c>
      <c r="C841">
        <v>27</v>
      </c>
      <c r="D841" s="2">
        <v>1</v>
      </c>
      <c r="E841" s="2">
        <v>999.99</v>
      </c>
      <c r="F841">
        <v>7.0000000000000007E-2</v>
      </c>
      <c r="G841">
        <f t="shared" si="13"/>
        <v>999.92</v>
      </c>
      <c r="H841" t="str">
        <f>VLOOKUP(C841,'products '!$A$1:$G$322,2,FALSE)</f>
        <v>Surly Big Dummy Frameset - 2017</v>
      </c>
    </row>
    <row r="842" spans="1:8" x14ac:dyDescent="0.3">
      <c r="A842">
        <v>841</v>
      </c>
      <c r="B842">
        <v>1</v>
      </c>
      <c r="C842">
        <v>22</v>
      </c>
      <c r="D842" s="2">
        <v>2</v>
      </c>
      <c r="E842" s="2">
        <v>269.99</v>
      </c>
      <c r="F842">
        <v>0.1</v>
      </c>
      <c r="G842">
        <f t="shared" si="13"/>
        <v>539.88</v>
      </c>
      <c r="H842" t="str">
        <f>VLOOKUP(C842,'products '!$A$1:$G$322,2,FALSE)</f>
        <v>Electra Girl's Hawaii 1 (16-inch) - 2015/2016</v>
      </c>
    </row>
    <row r="843" spans="1:8" x14ac:dyDescent="0.3">
      <c r="A843">
        <v>842</v>
      </c>
      <c r="B843">
        <v>1</v>
      </c>
      <c r="C843">
        <v>81</v>
      </c>
      <c r="D843" s="2">
        <v>2</v>
      </c>
      <c r="E843" s="2">
        <v>1099.99</v>
      </c>
      <c r="F843">
        <v>7.0000000000000007E-2</v>
      </c>
      <c r="G843">
        <f t="shared" si="13"/>
        <v>2199.91</v>
      </c>
      <c r="H843" t="str">
        <f>VLOOKUP(C843,'products '!$A$1:$G$322,2,FALSE)</f>
        <v>Electra Amsterdam Fashion 7i Ladies' - 2017</v>
      </c>
    </row>
    <row r="844" spans="1:8" x14ac:dyDescent="0.3">
      <c r="A844">
        <v>843</v>
      </c>
      <c r="B844">
        <v>1</v>
      </c>
      <c r="C844">
        <v>72</v>
      </c>
      <c r="D844" s="2">
        <v>1</v>
      </c>
      <c r="E844" s="2">
        <v>619.99</v>
      </c>
      <c r="F844">
        <v>0.1</v>
      </c>
      <c r="G844">
        <f t="shared" si="13"/>
        <v>619.89</v>
      </c>
      <c r="H844" t="str">
        <f>VLOOKUP(C844,'products '!$A$1:$G$322,2,FALSE)</f>
        <v>Sun Bicycles Biscayne Tandem 7 - 2017</v>
      </c>
    </row>
    <row r="845" spans="1:8" x14ac:dyDescent="0.3">
      <c r="A845">
        <v>844</v>
      </c>
      <c r="B845">
        <v>1</v>
      </c>
      <c r="C845">
        <v>79</v>
      </c>
      <c r="D845" s="2">
        <v>2</v>
      </c>
      <c r="E845" s="2">
        <v>402.99</v>
      </c>
      <c r="F845">
        <v>7.0000000000000007E-2</v>
      </c>
      <c r="G845">
        <f t="shared" si="13"/>
        <v>805.91</v>
      </c>
      <c r="H845" t="str">
        <f>VLOOKUP(C845,'products '!$A$1:$G$322,2,FALSE)</f>
        <v>Sun Bicycles Boardwalk (24-inch Wheels) - 2017</v>
      </c>
    </row>
    <row r="846" spans="1:8" x14ac:dyDescent="0.3">
      <c r="A846">
        <v>845</v>
      </c>
      <c r="B846">
        <v>1</v>
      </c>
      <c r="C846">
        <v>16</v>
      </c>
      <c r="D846" s="2">
        <v>2</v>
      </c>
      <c r="E846" s="2">
        <v>599.99</v>
      </c>
      <c r="F846">
        <v>0.2</v>
      </c>
      <c r="G846">
        <f t="shared" si="13"/>
        <v>1199.78</v>
      </c>
      <c r="H846" t="str">
        <f>VLOOKUP(C846,'products '!$A$1:$G$322,2,FALSE)</f>
        <v>Electra Townie Original 7D EQ - 2016</v>
      </c>
    </row>
    <row r="847" spans="1:8" x14ac:dyDescent="0.3">
      <c r="A847">
        <v>846</v>
      </c>
      <c r="B847">
        <v>1</v>
      </c>
      <c r="C847">
        <v>46</v>
      </c>
      <c r="D847" s="2">
        <v>2</v>
      </c>
      <c r="E847" s="2">
        <v>1409.99</v>
      </c>
      <c r="F847">
        <v>0.05</v>
      </c>
      <c r="G847">
        <f t="shared" si="13"/>
        <v>2819.93</v>
      </c>
      <c r="H847" t="str">
        <f>VLOOKUP(C847,'products '!$A$1:$G$322,2,FALSE)</f>
        <v>Haro SR 1.3 - 2017</v>
      </c>
    </row>
    <row r="848" spans="1:8" x14ac:dyDescent="0.3">
      <c r="A848">
        <v>847</v>
      </c>
      <c r="B848">
        <v>1</v>
      </c>
      <c r="C848">
        <v>61</v>
      </c>
      <c r="D848" s="2">
        <v>2</v>
      </c>
      <c r="E848" s="2">
        <v>4999.99</v>
      </c>
      <c r="F848">
        <v>0.05</v>
      </c>
      <c r="G848">
        <f t="shared" si="13"/>
        <v>9999.93</v>
      </c>
      <c r="H848" t="str">
        <f>VLOOKUP(C848,'products '!$A$1:$G$322,2,FALSE)</f>
        <v>Trek Powerfly 8 FS Plus - 2017</v>
      </c>
    </row>
    <row r="849" spans="1:8" x14ac:dyDescent="0.3">
      <c r="A849">
        <v>848</v>
      </c>
      <c r="B849">
        <v>1</v>
      </c>
      <c r="C849">
        <v>93</v>
      </c>
      <c r="D849" s="2">
        <v>1</v>
      </c>
      <c r="E849" s="2">
        <v>209.99</v>
      </c>
      <c r="F849">
        <v>7.0000000000000007E-2</v>
      </c>
      <c r="G849">
        <f t="shared" si="13"/>
        <v>209.92000000000002</v>
      </c>
      <c r="H849" t="str">
        <f>VLOOKUP(C849,'products '!$A$1:$G$322,2,FALSE)</f>
        <v>Haro Shredder 20 Girls - 2017</v>
      </c>
    </row>
    <row r="850" spans="1:8" x14ac:dyDescent="0.3">
      <c r="A850">
        <v>849</v>
      </c>
      <c r="B850">
        <v>1</v>
      </c>
      <c r="C850">
        <v>109</v>
      </c>
      <c r="D850" s="2">
        <v>1</v>
      </c>
      <c r="E850" s="2">
        <v>416.99</v>
      </c>
      <c r="F850">
        <v>0.2</v>
      </c>
      <c r="G850">
        <f t="shared" si="13"/>
        <v>416.79</v>
      </c>
      <c r="H850" t="str">
        <f>VLOOKUP(C850,'products '!$A$1:$G$322,2,FALSE)</f>
        <v>Sun Bicycles Cruz 7 - Women's - 2017</v>
      </c>
    </row>
    <row r="851" spans="1:8" x14ac:dyDescent="0.3">
      <c r="A851">
        <v>850</v>
      </c>
      <c r="B851">
        <v>1</v>
      </c>
      <c r="C851">
        <v>101</v>
      </c>
      <c r="D851" s="2">
        <v>2</v>
      </c>
      <c r="E851" s="2">
        <v>339.99</v>
      </c>
      <c r="F851">
        <v>7.0000000000000007E-2</v>
      </c>
      <c r="G851">
        <f t="shared" si="13"/>
        <v>679.91</v>
      </c>
      <c r="H851" t="str">
        <f>VLOOKUP(C851,'products '!$A$1:$G$322,2,FALSE)</f>
        <v>Electra Townie 7D (20-inch) - Boys' - 2017</v>
      </c>
    </row>
    <row r="852" spans="1:8" x14ac:dyDescent="0.3">
      <c r="A852">
        <v>851</v>
      </c>
      <c r="B852">
        <v>1</v>
      </c>
      <c r="C852">
        <v>30</v>
      </c>
      <c r="D852" s="2">
        <v>1</v>
      </c>
      <c r="E852" s="2">
        <v>999.99</v>
      </c>
      <c r="F852">
        <v>0.2</v>
      </c>
      <c r="G852">
        <f t="shared" si="13"/>
        <v>999.79</v>
      </c>
      <c r="H852" t="str">
        <f>VLOOKUP(C852,'products '!$A$1:$G$322,2,FALSE)</f>
        <v>Surly Ice Cream Truck Frameset - 2017</v>
      </c>
    </row>
    <row r="853" spans="1:8" x14ac:dyDescent="0.3">
      <c r="A853">
        <v>852</v>
      </c>
      <c r="B853">
        <v>1</v>
      </c>
      <c r="C853">
        <v>46</v>
      </c>
      <c r="D853" s="2">
        <v>2</v>
      </c>
      <c r="E853" s="2">
        <v>1409.99</v>
      </c>
      <c r="F853">
        <v>7.0000000000000007E-2</v>
      </c>
      <c r="G853">
        <f t="shared" si="13"/>
        <v>2819.91</v>
      </c>
      <c r="H853" t="str">
        <f>VLOOKUP(C853,'products '!$A$1:$G$322,2,FALSE)</f>
        <v>Haro SR 1.3 - 2017</v>
      </c>
    </row>
    <row r="854" spans="1:8" x14ac:dyDescent="0.3">
      <c r="A854">
        <v>853</v>
      </c>
      <c r="B854">
        <v>1</v>
      </c>
      <c r="C854">
        <v>99</v>
      </c>
      <c r="D854" s="2">
        <v>1</v>
      </c>
      <c r="E854" s="2">
        <v>299.99</v>
      </c>
      <c r="F854">
        <v>0.05</v>
      </c>
      <c r="G854">
        <f t="shared" si="13"/>
        <v>299.94</v>
      </c>
      <c r="H854" t="str">
        <f>VLOOKUP(C854,'products '!$A$1:$G$322,2,FALSE)</f>
        <v>Electra Sugar Skulls 1 (20-inch) - Girl's - 2017</v>
      </c>
    </row>
    <row r="855" spans="1:8" x14ac:dyDescent="0.3">
      <c r="A855">
        <v>854</v>
      </c>
      <c r="B855">
        <v>1</v>
      </c>
      <c r="C855">
        <v>87</v>
      </c>
      <c r="D855" s="2">
        <v>1</v>
      </c>
      <c r="E855" s="2">
        <v>189.99</v>
      </c>
      <c r="F855">
        <v>0.1</v>
      </c>
      <c r="G855">
        <f t="shared" si="13"/>
        <v>189.89000000000001</v>
      </c>
      <c r="H855" t="str">
        <f>VLOOKUP(C855,'products '!$A$1:$G$322,2,FALSE)</f>
        <v>Trek Precaliber 12 Boys - 2017</v>
      </c>
    </row>
    <row r="856" spans="1:8" x14ac:dyDescent="0.3">
      <c r="A856">
        <v>855</v>
      </c>
      <c r="B856">
        <v>1</v>
      </c>
      <c r="C856">
        <v>18</v>
      </c>
      <c r="D856" s="2">
        <v>1</v>
      </c>
      <c r="E856" s="2">
        <v>449</v>
      </c>
      <c r="F856">
        <v>0.1</v>
      </c>
      <c r="G856">
        <f t="shared" si="13"/>
        <v>448.9</v>
      </c>
      <c r="H856" t="str">
        <f>VLOOKUP(C856,'products '!$A$1:$G$322,2,FALSE)</f>
        <v>Pure Cycles Western 3-Speed - Women's - 2015/2016</v>
      </c>
    </row>
    <row r="857" spans="1:8" x14ac:dyDescent="0.3">
      <c r="A857">
        <v>856</v>
      </c>
      <c r="B857">
        <v>1</v>
      </c>
      <c r="C857">
        <v>38</v>
      </c>
      <c r="D857" s="2">
        <v>2</v>
      </c>
      <c r="E857" s="2">
        <v>549.99</v>
      </c>
      <c r="F857">
        <v>0.05</v>
      </c>
      <c r="G857">
        <f t="shared" si="13"/>
        <v>1099.93</v>
      </c>
      <c r="H857" t="str">
        <f>VLOOKUP(C857,'products '!$A$1:$G$322,2,FALSE)</f>
        <v>Haro Flightline Two 26 Plus - 2017</v>
      </c>
    </row>
    <row r="858" spans="1:8" x14ac:dyDescent="0.3">
      <c r="A858">
        <v>857</v>
      </c>
      <c r="B858">
        <v>1</v>
      </c>
      <c r="C858">
        <v>29</v>
      </c>
      <c r="D858" s="2">
        <v>1</v>
      </c>
      <c r="E858" s="2">
        <v>999.99</v>
      </c>
      <c r="F858">
        <v>0.2</v>
      </c>
      <c r="G858">
        <f t="shared" si="13"/>
        <v>999.79</v>
      </c>
      <c r="H858" t="str">
        <f>VLOOKUP(C858,'products '!$A$1:$G$322,2,FALSE)</f>
        <v>Trek X-Caliber 8 - 2017</v>
      </c>
    </row>
    <row r="859" spans="1:8" x14ac:dyDescent="0.3">
      <c r="A859">
        <v>858</v>
      </c>
      <c r="B859">
        <v>1</v>
      </c>
      <c r="C859">
        <v>45</v>
      </c>
      <c r="D859" s="2">
        <v>2</v>
      </c>
      <c r="E859" s="2">
        <v>869.99</v>
      </c>
      <c r="F859">
        <v>0.2</v>
      </c>
      <c r="G859">
        <f t="shared" si="13"/>
        <v>1739.78</v>
      </c>
      <c r="H859" t="str">
        <f>VLOOKUP(C859,'products '!$A$1:$G$322,2,FALSE)</f>
        <v>Haro SR 1.2 - 2017</v>
      </c>
    </row>
    <row r="860" spans="1:8" x14ac:dyDescent="0.3">
      <c r="A860">
        <v>859</v>
      </c>
      <c r="B860">
        <v>1</v>
      </c>
      <c r="C860">
        <v>38</v>
      </c>
      <c r="D860" s="2">
        <v>2</v>
      </c>
      <c r="E860" s="2">
        <v>549.99</v>
      </c>
      <c r="F860">
        <v>7.0000000000000007E-2</v>
      </c>
      <c r="G860">
        <f t="shared" si="13"/>
        <v>1099.9100000000001</v>
      </c>
      <c r="H860" t="str">
        <f>VLOOKUP(C860,'products '!$A$1:$G$322,2,FALSE)</f>
        <v>Haro Flightline Two 26 Plus - 2017</v>
      </c>
    </row>
    <row r="861" spans="1:8" x14ac:dyDescent="0.3">
      <c r="A861">
        <v>860</v>
      </c>
      <c r="B861">
        <v>1</v>
      </c>
      <c r="C861">
        <v>6</v>
      </c>
      <c r="D861" s="2">
        <v>1</v>
      </c>
      <c r="E861" s="2">
        <v>469.99</v>
      </c>
      <c r="F861">
        <v>0.05</v>
      </c>
      <c r="G861">
        <f t="shared" si="13"/>
        <v>469.94</v>
      </c>
      <c r="H861" t="str">
        <f>VLOOKUP(C861,'products '!$A$1:$G$322,2,FALSE)</f>
        <v>Surly Ice Cream Truck Frameset - 2016</v>
      </c>
    </row>
    <row r="862" spans="1:8" x14ac:dyDescent="0.3">
      <c r="A862">
        <v>861</v>
      </c>
      <c r="B862">
        <v>1</v>
      </c>
      <c r="C862">
        <v>14</v>
      </c>
      <c r="D862" s="2">
        <v>2</v>
      </c>
      <c r="E862" s="2">
        <v>269.99</v>
      </c>
      <c r="F862">
        <v>7.0000000000000007E-2</v>
      </c>
      <c r="G862">
        <f t="shared" si="13"/>
        <v>539.91</v>
      </c>
      <c r="H862" t="str">
        <f>VLOOKUP(C862,'products '!$A$1:$G$322,2,FALSE)</f>
        <v>Electra Girl's Hawaii 1 (16-inch) - 2015/2016</v>
      </c>
    </row>
    <row r="863" spans="1:8" x14ac:dyDescent="0.3">
      <c r="A863">
        <v>862</v>
      </c>
      <c r="B863">
        <v>1</v>
      </c>
      <c r="C863">
        <v>85</v>
      </c>
      <c r="D863" s="2">
        <v>1</v>
      </c>
      <c r="E863" s="2">
        <v>329.99</v>
      </c>
      <c r="F863">
        <v>0.05</v>
      </c>
      <c r="G863">
        <f t="shared" si="13"/>
        <v>329.94</v>
      </c>
      <c r="H863" t="str">
        <f>VLOOKUP(C863,'products '!$A$1:$G$322,2,FALSE)</f>
        <v>Haro Downtown 16 - 2017</v>
      </c>
    </row>
    <row r="864" spans="1:8" x14ac:dyDescent="0.3">
      <c r="A864">
        <v>863</v>
      </c>
      <c r="B864">
        <v>1</v>
      </c>
      <c r="C864">
        <v>93</v>
      </c>
      <c r="D864" s="2">
        <v>2</v>
      </c>
      <c r="E864" s="2">
        <v>209.99</v>
      </c>
      <c r="F864">
        <v>0.1</v>
      </c>
      <c r="G864">
        <f t="shared" si="13"/>
        <v>419.88</v>
      </c>
      <c r="H864" t="str">
        <f>VLOOKUP(C864,'products '!$A$1:$G$322,2,FALSE)</f>
        <v>Haro Shredder 20 Girls - 2017</v>
      </c>
    </row>
    <row r="865" spans="1:8" x14ac:dyDescent="0.3">
      <c r="A865">
        <v>864</v>
      </c>
      <c r="B865">
        <v>1</v>
      </c>
      <c r="C865">
        <v>37</v>
      </c>
      <c r="D865" s="2">
        <v>1</v>
      </c>
      <c r="E865" s="2">
        <v>379.99</v>
      </c>
      <c r="F865">
        <v>0.1</v>
      </c>
      <c r="G865">
        <f t="shared" si="13"/>
        <v>379.89</v>
      </c>
      <c r="H865" t="str">
        <f>VLOOKUP(C865,'products '!$A$1:$G$322,2,FALSE)</f>
        <v>Haro Flightline One ST - 2017</v>
      </c>
    </row>
    <row r="866" spans="1:8" x14ac:dyDescent="0.3">
      <c r="A866">
        <v>865</v>
      </c>
      <c r="B866">
        <v>1</v>
      </c>
      <c r="C866">
        <v>109</v>
      </c>
      <c r="D866" s="2">
        <v>2</v>
      </c>
      <c r="E866" s="2">
        <v>416.99</v>
      </c>
      <c r="F866">
        <v>0.1</v>
      </c>
      <c r="G866">
        <f t="shared" si="13"/>
        <v>833.88</v>
      </c>
      <c r="H866" t="str">
        <f>VLOOKUP(C866,'products '!$A$1:$G$322,2,FALSE)</f>
        <v>Sun Bicycles Cruz 7 - Women's - 2017</v>
      </c>
    </row>
    <row r="867" spans="1:8" x14ac:dyDescent="0.3">
      <c r="A867">
        <v>866</v>
      </c>
      <c r="B867">
        <v>1</v>
      </c>
      <c r="C867">
        <v>88</v>
      </c>
      <c r="D867" s="2">
        <v>1</v>
      </c>
      <c r="E867" s="2">
        <v>189.99</v>
      </c>
      <c r="F867">
        <v>0.2</v>
      </c>
      <c r="G867">
        <f t="shared" si="13"/>
        <v>189.79000000000002</v>
      </c>
      <c r="H867" t="str">
        <f>VLOOKUP(C867,'products '!$A$1:$G$322,2,FALSE)</f>
        <v>Trek Precaliber 12 Girls - 2017</v>
      </c>
    </row>
    <row r="868" spans="1:8" x14ac:dyDescent="0.3">
      <c r="A868">
        <v>867</v>
      </c>
      <c r="B868">
        <v>1</v>
      </c>
      <c r="C868">
        <v>101</v>
      </c>
      <c r="D868" s="2">
        <v>1</v>
      </c>
      <c r="E868" s="2">
        <v>339.99</v>
      </c>
      <c r="F868">
        <v>0.05</v>
      </c>
      <c r="G868">
        <f t="shared" si="13"/>
        <v>339.94</v>
      </c>
      <c r="H868" t="str">
        <f>VLOOKUP(C868,'products '!$A$1:$G$322,2,FALSE)</f>
        <v>Electra Townie 7D (20-inch) - Boys' - 2017</v>
      </c>
    </row>
    <row r="869" spans="1:8" x14ac:dyDescent="0.3">
      <c r="A869">
        <v>868</v>
      </c>
      <c r="B869">
        <v>1</v>
      </c>
      <c r="C869">
        <v>46</v>
      </c>
      <c r="D869" s="2">
        <v>1</v>
      </c>
      <c r="E869" s="2">
        <v>1409.99</v>
      </c>
      <c r="F869">
        <v>7.0000000000000007E-2</v>
      </c>
      <c r="G869">
        <f t="shared" si="13"/>
        <v>1409.92</v>
      </c>
      <c r="H869" t="str">
        <f>VLOOKUP(C869,'products '!$A$1:$G$322,2,FALSE)</f>
        <v>Haro SR 1.3 - 2017</v>
      </c>
    </row>
    <row r="870" spans="1:8" x14ac:dyDescent="0.3">
      <c r="A870">
        <v>869</v>
      </c>
      <c r="B870">
        <v>1</v>
      </c>
      <c r="C870">
        <v>7</v>
      </c>
      <c r="D870" s="2">
        <v>1</v>
      </c>
      <c r="E870" s="2">
        <v>3999.99</v>
      </c>
      <c r="F870">
        <v>0.2</v>
      </c>
      <c r="G870">
        <f t="shared" si="13"/>
        <v>3999.79</v>
      </c>
      <c r="H870" t="str">
        <f>VLOOKUP(C870,'products '!$A$1:$G$322,2,FALSE)</f>
        <v>Trek Slash 8 27.5 - 2016</v>
      </c>
    </row>
    <row r="871" spans="1:8" x14ac:dyDescent="0.3">
      <c r="A871">
        <v>870</v>
      </c>
      <c r="B871">
        <v>1</v>
      </c>
      <c r="C871">
        <v>63</v>
      </c>
      <c r="D871" s="2">
        <v>1</v>
      </c>
      <c r="E871" s="2">
        <v>3499.99</v>
      </c>
      <c r="F871">
        <v>7.0000000000000007E-2</v>
      </c>
      <c r="G871">
        <f t="shared" si="13"/>
        <v>3499.9199999999996</v>
      </c>
      <c r="H871" t="str">
        <f>VLOOKUP(C871,'products '!$A$1:$G$322,2,FALSE)</f>
        <v>Trek Boone Race Shop Limited - 2017</v>
      </c>
    </row>
    <row r="872" spans="1:8" x14ac:dyDescent="0.3">
      <c r="A872">
        <v>871</v>
      </c>
      <c r="B872">
        <v>1</v>
      </c>
      <c r="C872">
        <v>106</v>
      </c>
      <c r="D872" s="2">
        <v>1</v>
      </c>
      <c r="E872" s="2">
        <v>449.99</v>
      </c>
      <c r="F872">
        <v>0.2</v>
      </c>
      <c r="G872">
        <f t="shared" si="13"/>
        <v>449.79</v>
      </c>
      <c r="H872" t="str">
        <f>VLOOKUP(C872,'products '!$A$1:$G$322,2,FALSE)</f>
        <v>Sun Bicycles Cruz 3 - 2017</v>
      </c>
    </row>
    <row r="873" spans="1:8" x14ac:dyDescent="0.3">
      <c r="A873">
        <v>872</v>
      </c>
      <c r="B873">
        <v>1</v>
      </c>
      <c r="C873">
        <v>62</v>
      </c>
      <c r="D873" s="2">
        <v>2</v>
      </c>
      <c r="E873" s="2">
        <v>3499.99</v>
      </c>
      <c r="F873">
        <v>7.0000000000000007E-2</v>
      </c>
      <c r="G873">
        <f t="shared" si="13"/>
        <v>6999.91</v>
      </c>
      <c r="H873" t="str">
        <f>VLOOKUP(C873,'products '!$A$1:$G$322,2,FALSE)</f>
        <v>Trek Boone 7 - 2017</v>
      </c>
    </row>
    <row r="874" spans="1:8" x14ac:dyDescent="0.3">
      <c r="A874">
        <v>873</v>
      </c>
      <c r="B874">
        <v>1</v>
      </c>
      <c r="C874">
        <v>32</v>
      </c>
      <c r="D874" s="2">
        <v>2</v>
      </c>
      <c r="E874" s="2">
        <v>469.99</v>
      </c>
      <c r="F874">
        <v>0.1</v>
      </c>
      <c r="G874">
        <f t="shared" si="13"/>
        <v>939.88</v>
      </c>
      <c r="H874" t="str">
        <f>VLOOKUP(C874,'products '!$A$1:$G$322,2,FALSE)</f>
        <v>Trek Farley Alloy Frameset - 2017</v>
      </c>
    </row>
    <row r="875" spans="1:8" x14ac:dyDescent="0.3">
      <c r="A875">
        <v>874</v>
      </c>
      <c r="B875">
        <v>1</v>
      </c>
      <c r="C875">
        <v>56</v>
      </c>
      <c r="D875" s="2">
        <v>1</v>
      </c>
      <c r="E875" s="2">
        <v>5499.99</v>
      </c>
      <c r="F875">
        <v>0.05</v>
      </c>
      <c r="G875">
        <f t="shared" si="13"/>
        <v>5499.94</v>
      </c>
      <c r="H875" t="str">
        <f>VLOOKUP(C875,'products '!$A$1:$G$322,2,FALSE)</f>
        <v>Trek Domane SLR 6 Disc - 2017</v>
      </c>
    </row>
    <row r="876" spans="1:8" x14ac:dyDescent="0.3">
      <c r="A876">
        <v>875</v>
      </c>
      <c r="B876">
        <v>1</v>
      </c>
      <c r="C876">
        <v>5</v>
      </c>
      <c r="D876" s="2">
        <v>2</v>
      </c>
      <c r="E876" s="2">
        <v>1320.99</v>
      </c>
      <c r="F876">
        <v>0.1</v>
      </c>
      <c r="G876">
        <f t="shared" si="13"/>
        <v>2641.88</v>
      </c>
      <c r="H876" t="str">
        <f>VLOOKUP(C876,'products '!$A$1:$G$322,2,FALSE)</f>
        <v>Heller Shagamaw Frame - 2016</v>
      </c>
    </row>
    <row r="877" spans="1:8" x14ac:dyDescent="0.3">
      <c r="A877">
        <v>876</v>
      </c>
      <c r="B877">
        <v>1</v>
      </c>
      <c r="C877">
        <v>17</v>
      </c>
      <c r="D877" s="2">
        <v>2</v>
      </c>
      <c r="E877" s="2">
        <v>429</v>
      </c>
      <c r="F877">
        <v>0.2</v>
      </c>
      <c r="G877">
        <f t="shared" si="13"/>
        <v>857.8</v>
      </c>
      <c r="H877" t="str">
        <f>VLOOKUP(C877,'products '!$A$1:$G$322,2,FALSE)</f>
        <v>Pure Cycles Vine 8-Speed - 2016</v>
      </c>
    </row>
    <row r="878" spans="1:8" x14ac:dyDescent="0.3">
      <c r="A878">
        <v>877</v>
      </c>
      <c r="B878">
        <v>1</v>
      </c>
      <c r="C878">
        <v>73</v>
      </c>
      <c r="D878" s="2">
        <v>1</v>
      </c>
      <c r="E878" s="2">
        <v>749.99</v>
      </c>
      <c r="F878">
        <v>7.0000000000000007E-2</v>
      </c>
      <c r="G878">
        <f t="shared" si="13"/>
        <v>749.92</v>
      </c>
      <c r="H878" t="str">
        <f>VLOOKUP(C878,'products '!$A$1:$G$322,2,FALSE)</f>
        <v>Sun Bicycles Brickell Tandem 7 - 2017</v>
      </c>
    </row>
    <row r="879" spans="1:8" x14ac:dyDescent="0.3">
      <c r="A879">
        <v>878</v>
      </c>
      <c r="B879">
        <v>1</v>
      </c>
      <c r="C879">
        <v>103</v>
      </c>
      <c r="D879" s="2">
        <v>1</v>
      </c>
      <c r="E879" s="2">
        <v>551.99</v>
      </c>
      <c r="F879">
        <v>0.2</v>
      </c>
      <c r="G879">
        <f t="shared" si="13"/>
        <v>551.79</v>
      </c>
      <c r="H879" t="str">
        <f>VLOOKUP(C879,'products '!$A$1:$G$322,2,FALSE)</f>
        <v>Sun Bicycles Streamway 3 - 2017</v>
      </c>
    </row>
    <row r="880" spans="1:8" x14ac:dyDescent="0.3">
      <c r="A880">
        <v>879</v>
      </c>
      <c r="B880">
        <v>1</v>
      </c>
      <c r="C880">
        <v>100</v>
      </c>
      <c r="D880" s="2">
        <v>2</v>
      </c>
      <c r="E880" s="2">
        <v>489.99</v>
      </c>
      <c r="F880">
        <v>0.2</v>
      </c>
      <c r="G880">
        <f t="shared" si="13"/>
        <v>979.78</v>
      </c>
      <c r="H880" t="str">
        <f>VLOOKUP(C880,'products '!$A$1:$G$322,2,FALSE)</f>
        <v>Electra Townie 3i EQ (20-inch) - Boys' - 2017</v>
      </c>
    </row>
    <row r="881" spans="1:8" x14ac:dyDescent="0.3">
      <c r="A881">
        <v>880</v>
      </c>
      <c r="B881">
        <v>1</v>
      </c>
      <c r="C881">
        <v>28</v>
      </c>
      <c r="D881" s="2">
        <v>2</v>
      </c>
      <c r="E881" s="2">
        <v>2499.9899999999998</v>
      </c>
      <c r="F881">
        <v>0.2</v>
      </c>
      <c r="G881">
        <f t="shared" si="13"/>
        <v>4999.78</v>
      </c>
      <c r="H881" t="str">
        <f>VLOOKUP(C881,'products '!$A$1:$G$322,2,FALSE)</f>
        <v>Surly Karate Monkey 27.5+ Frameset - 2017</v>
      </c>
    </row>
    <row r="882" spans="1:8" x14ac:dyDescent="0.3">
      <c r="A882">
        <v>881</v>
      </c>
      <c r="B882">
        <v>1</v>
      </c>
      <c r="C882">
        <v>98</v>
      </c>
      <c r="D882" s="2">
        <v>1</v>
      </c>
      <c r="E882" s="2">
        <v>489.99</v>
      </c>
      <c r="F882">
        <v>7.0000000000000007E-2</v>
      </c>
      <c r="G882">
        <f t="shared" si="13"/>
        <v>489.92</v>
      </c>
      <c r="H882" t="str">
        <f>VLOOKUP(C882,'products '!$A$1:$G$322,2,FALSE)</f>
        <v>Electra Straight 8 3i (20-inch) - Boy's - 2017</v>
      </c>
    </row>
    <row r="883" spans="1:8" x14ac:dyDescent="0.3">
      <c r="A883">
        <v>882</v>
      </c>
      <c r="B883">
        <v>1</v>
      </c>
      <c r="C883">
        <v>63</v>
      </c>
      <c r="D883" s="2">
        <v>2</v>
      </c>
      <c r="E883" s="2">
        <v>3499.99</v>
      </c>
      <c r="F883">
        <v>7.0000000000000007E-2</v>
      </c>
      <c r="G883">
        <f t="shared" si="13"/>
        <v>6999.91</v>
      </c>
      <c r="H883" t="str">
        <f>VLOOKUP(C883,'products '!$A$1:$G$322,2,FALSE)</f>
        <v>Trek Boone Race Shop Limited - 2017</v>
      </c>
    </row>
    <row r="884" spans="1:8" x14ac:dyDescent="0.3">
      <c r="A884">
        <v>883</v>
      </c>
      <c r="B884">
        <v>1</v>
      </c>
      <c r="C884">
        <v>44</v>
      </c>
      <c r="D884" s="2">
        <v>1</v>
      </c>
      <c r="E884" s="2">
        <v>539.99</v>
      </c>
      <c r="F884">
        <v>0.05</v>
      </c>
      <c r="G884">
        <f t="shared" si="13"/>
        <v>539.94000000000005</v>
      </c>
      <c r="H884" t="str">
        <f>VLOOKUP(C884,'products '!$A$1:$G$322,2,FALSE)</f>
        <v>Haro SR 1.1 - 2017</v>
      </c>
    </row>
    <row r="885" spans="1:8" x14ac:dyDescent="0.3">
      <c r="A885">
        <v>884</v>
      </c>
      <c r="B885">
        <v>1</v>
      </c>
      <c r="C885">
        <v>49</v>
      </c>
      <c r="D885" s="2">
        <v>2</v>
      </c>
      <c r="E885" s="2">
        <v>3499.99</v>
      </c>
      <c r="F885">
        <v>0.05</v>
      </c>
      <c r="G885">
        <f t="shared" si="13"/>
        <v>6999.9299999999994</v>
      </c>
      <c r="H885" t="str">
        <f>VLOOKUP(C885,'products '!$A$1:$G$322,2,FALSE)</f>
        <v>Trek Domane SL 6 - 2017</v>
      </c>
    </row>
    <row r="886" spans="1:8" x14ac:dyDescent="0.3">
      <c r="A886">
        <v>885</v>
      </c>
      <c r="B886">
        <v>1</v>
      </c>
      <c r="C886">
        <v>106</v>
      </c>
      <c r="D886" s="2">
        <v>1</v>
      </c>
      <c r="E886" s="2">
        <v>449.99</v>
      </c>
      <c r="F886">
        <v>7.0000000000000007E-2</v>
      </c>
      <c r="G886">
        <f t="shared" si="13"/>
        <v>449.92</v>
      </c>
      <c r="H886" t="str">
        <f>VLOOKUP(C886,'products '!$A$1:$G$322,2,FALSE)</f>
        <v>Sun Bicycles Cruz 3 - 2017</v>
      </c>
    </row>
    <row r="887" spans="1:8" x14ac:dyDescent="0.3">
      <c r="A887">
        <v>886</v>
      </c>
      <c r="B887">
        <v>1</v>
      </c>
      <c r="C887">
        <v>47</v>
      </c>
      <c r="D887" s="2">
        <v>1</v>
      </c>
      <c r="E887" s="2">
        <v>5299.99</v>
      </c>
      <c r="F887">
        <v>0.05</v>
      </c>
      <c r="G887">
        <f t="shared" si="13"/>
        <v>5299.94</v>
      </c>
      <c r="H887" t="str">
        <f>VLOOKUP(C887,'products '!$A$1:$G$322,2,FALSE)</f>
        <v>Trek Remedy 9.8 - 2017</v>
      </c>
    </row>
    <row r="888" spans="1:8" x14ac:dyDescent="0.3">
      <c r="A888">
        <v>887</v>
      </c>
      <c r="B888">
        <v>1</v>
      </c>
      <c r="C888">
        <v>50</v>
      </c>
      <c r="D888" s="2">
        <v>2</v>
      </c>
      <c r="E888" s="2">
        <v>5999.99</v>
      </c>
      <c r="F888">
        <v>0.05</v>
      </c>
      <c r="G888">
        <f t="shared" si="13"/>
        <v>11999.93</v>
      </c>
      <c r="H888" t="str">
        <f>VLOOKUP(C888,'products '!$A$1:$G$322,2,FALSE)</f>
        <v>Trek Silque SLR 7 Women's - 2017</v>
      </c>
    </row>
    <row r="889" spans="1:8" x14ac:dyDescent="0.3">
      <c r="A889">
        <v>888</v>
      </c>
      <c r="B889">
        <v>1</v>
      </c>
      <c r="C889">
        <v>33</v>
      </c>
      <c r="D889" s="2">
        <v>2</v>
      </c>
      <c r="E889" s="2">
        <v>469.99</v>
      </c>
      <c r="F889">
        <v>0.1</v>
      </c>
      <c r="G889">
        <f t="shared" si="13"/>
        <v>939.88</v>
      </c>
      <c r="H889" t="str">
        <f>VLOOKUP(C889,'products '!$A$1:$G$322,2,FALSE)</f>
        <v>Surly Wednesday Frameset - 2017</v>
      </c>
    </row>
    <row r="890" spans="1:8" x14ac:dyDescent="0.3">
      <c r="A890">
        <v>889</v>
      </c>
      <c r="B890">
        <v>1</v>
      </c>
      <c r="C890">
        <v>12</v>
      </c>
      <c r="D890" s="2">
        <v>2</v>
      </c>
      <c r="E890" s="2">
        <v>549.99</v>
      </c>
      <c r="F890">
        <v>0.1</v>
      </c>
      <c r="G890">
        <f t="shared" si="13"/>
        <v>1099.8800000000001</v>
      </c>
      <c r="H890" t="str">
        <f>VLOOKUP(C890,'products '!$A$1:$G$322,2,FALSE)</f>
        <v>Electra Townie Original 21D - 2016</v>
      </c>
    </row>
    <row r="891" spans="1:8" x14ac:dyDescent="0.3">
      <c r="A891">
        <v>890</v>
      </c>
      <c r="B891">
        <v>1</v>
      </c>
      <c r="C891">
        <v>16</v>
      </c>
      <c r="D891" s="2">
        <v>2</v>
      </c>
      <c r="E891" s="2">
        <v>599.99</v>
      </c>
      <c r="F891">
        <v>0.1</v>
      </c>
      <c r="G891">
        <f t="shared" si="13"/>
        <v>1199.8800000000001</v>
      </c>
      <c r="H891" t="str">
        <f>VLOOKUP(C891,'products '!$A$1:$G$322,2,FALSE)</f>
        <v>Electra Townie Original 7D EQ - 2016</v>
      </c>
    </row>
    <row r="892" spans="1:8" x14ac:dyDescent="0.3">
      <c r="A892">
        <v>891</v>
      </c>
      <c r="B892">
        <v>1</v>
      </c>
      <c r="C892">
        <v>107</v>
      </c>
      <c r="D892" s="2">
        <v>2</v>
      </c>
      <c r="E892" s="2">
        <v>416.99</v>
      </c>
      <c r="F892">
        <v>0.1</v>
      </c>
      <c r="G892">
        <f t="shared" si="13"/>
        <v>833.88</v>
      </c>
      <c r="H892" t="str">
        <f>VLOOKUP(C892,'products '!$A$1:$G$322,2,FALSE)</f>
        <v>Sun Bicycles Cruz 7 - 2017</v>
      </c>
    </row>
    <row r="893" spans="1:8" x14ac:dyDescent="0.3">
      <c r="A893">
        <v>892</v>
      </c>
      <c r="B893">
        <v>1</v>
      </c>
      <c r="C893">
        <v>36</v>
      </c>
      <c r="D893" s="2">
        <v>1</v>
      </c>
      <c r="E893" s="2">
        <v>832.99</v>
      </c>
      <c r="F893">
        <v>0.1</v>
      </c>
      <c r="G893">
        <f t="shared" si="13"/>
        <v>832.89</v>
      </c>
      <c r="H893" t="str">
        <f>VLOOKUP(C893,'products '!$A$1:$G$322,2,FALSE)</f>
        <v>Surly Troll Frameset - 2017</v>
      </c>
    </row>
    <row r="894" spans="1:8" x14ac:dyDescent="0.3">
      <c r="A894">
        <v>893</v>
      </c>
      <c r="B894">
        <v>1</v>
      </c>
      <c r="C894">
        <v>67</v>
      </c>
      <c r="D894" s="2">
        <v>2</v>
      </c>
      <c r="E894" s="2">
        <v>250.99</v>
      </c>
      <c r="F894">
        <v>0.05</v>
      </c>
      <c r="G894">
        <f t="shared" si="13"/>
        <v>501.93</v>
      </c>
      <c r="H894" t="str">
        <f>VLOOKUP(C894,'products '!$A$1:$G$322,2,FALSE)</f>
        <v>Sun Bicycles Revolutions 24 - Girl's - 2017</v>
      </c>
    </row>
    <row r="895" spans="1:8" x14ac:dyDescent="0.3">
      <c r="A895">
        <v>894</v>
      </c>
      <c r="B895">
        <v>1</v>
      </c>
      <c r="C895">
        <v>101</v>
      </c>
      <c r="D895" s="2">
        <v>2</v>
      </c>
      <c r="E895" s="2">
        <v>339.99</v>
      </c>
      <c r="F895">
        <v>0.2</v>
      </c>
      <c r="G895">
        <f t="shared" si="13"/>
        <v>679.78</v>
      </c>
      <c r="H895" t="str">
        <f>VLOOKUP(C895,'products '!$A$1:$G$322,2,FALSE)</f>
        <v>Electra Townie 7D (20-inch) - Boys' - 2017</v>
      </c>
    </row>
    <row r="896" spans="1:8" x14ac:dyDescent="0.3">
      <c r="A896">
        <v>895</v>
      </c>
      <c r="B896">
        <v>1</v>
      </c>
      <c r="C896">
        <v>106</v>
      </c>
      <c r="D896" s="2">
        <v>1</v>
      </c>
      <c r="E896" s="2">
        <v>449.99</v>
      </c>
      <c r="F896">
        <v>7.0000000000000007E-2</v>
      </c>
      <c r="G896">
        <f t="shared" si="13"/>
        <v>449.92</v>
      </c>
      <c r="H896" t="str">
        <f>VLOOKUP(C896,'products '!$A$1:$G$322,2,FALSE)</f>
        <v>Sun Bicycles Cruz 3 - 2017</v>
      </c>
    </row>
    <row r="897" spans="1:8" x14ac:dyDescent="0.3">
      <c r="A897">
        <v>896</v>
      </c>
      <c r="B897">
        <v>1</v>
      </c>
      <c r="C897">
        <v>91</v>
      </c>
      <c r="D897" s="2">
        <v>2</v>
      </c>
      <c r="E897" s="2">
        <v>349.99</v>
      </c>
      <c r="F897">
        <v>0.05</v>
      </c>
      <c r="G897">
        <f t="shared" si="13"/>
        <v>699.93000000000006</v>
      </c>
      <c r="H897" t="str">
        <f>VLOOKUP(C897,'products '!$A$1:$G$322,2,FALSE)</f>
        <v>Trek Precaliber 24 (21-Speed) - Girls - 2017</v>
      </c>
    </row>
    <row r="898" spans="1:8" x14ac:dyDescent="0.3">
      <c r="A898">
        <v>897</v>
      </c>
      <c r="B898">
        <v>1</v>
      </c>
      <c r="C898">
        <v>105</v>
      </c>
      <c r="D898" s="2">
        <v>1</v>
      </c>
      <c r="E898" s="2">
        <v>533.99</v>
      </c>
      <c r="F898">
        <v>0.05</v>
      </c>
      <c r="G898">
        <f t="shared" si="13"/>
        <v>533.94000000000005</v>
      </c>
      <c r="H898" t="str">
        <f>VLOOKUP(C898,'products '!$A$1:$G$322,2,FALSE)</f>
        <v>Sun Bicycles Streamway 7 - 2017</v>
      </c>
    </row>
    <row r="899" spans="1:8" x14ac:dyDescent="0.3">
      <c r="A899">
        <v>898</v>
      </c>
      <c r="B899">
        <v>1</v>
      </c>
      <c r="C899">
        <v>45</v>
      </c>
      <c r="D899" s="2">
        <v>2</v>
      </c>
      <c r="E899" s="2">
        <v>869.99</v>
      </c>
      <c r="F899">
        <v>0.2</v>
      </c>
      <c r="G899">
        <f t="shared" ref="G899:G962" si="14">E899*D899-F899</f>
        <v>1739.78</v>
      </c>
      <c r="H899" t="str">
        <f>VLOOKUP(C899,'products '!$A$1:$G$322,2,FALSE)</f>
        <v>Haro SR 1.2 - 2017</v>
      </c>
    </row>
    <row r="900" spans="1:8" x14ac:dyDescent="0.3">
      <c r="A900">
        <v>899</v>
      </c>
      <c r="B900">
        <v>1</v>
      </c>
      <c r="C900">
        <v>59</v>
      </c>
      <c r="D900" s="2">
        <v>2</v>
      </c>
      <c r="E900" s="2">
        <v>2599.9899999999998</v>
      </c>
      <c r="F900">
        <v>0.1</v>
      </c>
      <c r="G900">
        <f t="shared" si="14"/>
        <v>5199.8799999999992</v>
      </c>
      <c r="H900" t="str">
        <f>VLOOKUP(C900,'products '!$A$1:$G$322,2,FALSE)</f>
        <v>Trek Domane S 5 Disc - 2017</v>
      </c>
    </row>
    <row r="901" spans="1:8" x14ac:dyDescent="0.3">
      <c r="A901">
        <v>900</v>
      </c>
      <c r="B901">
        <v>1</v>
      </c>
      <c r="C901">
        <v>26</v>
      </c>
      <c r="D901" s="2">
        <v>2</v>
      </c>
      <c r="E901" s="2">
        <v>599.99</v>
      </c>
      <c r="F901">
        <v>0.05</v>
      </c>
      <c r="G901">
        <f t="shared" si="14"/>
        <v>1199.93</v>
      </c>
      <c r="H901" t="str">
        <f>VLOOKUP(C901,'products '!$A$1:$G$322,2,FALSE)</f>
        <v>Electra Townie Original 7D EQ - 2016</v>
      </c>
    </row>
    <row r="902" spans="1:8" x14ac:dyDescent="0.3">
      <c r="A902">
        <v>901</v>
      </c>
      <c r="B902">
        <v>1</v>
      </c>
      <c r="C902">
        <v>50</v>
      </c>
      <c r="D902" s="2">
        <v>1</v>
      </c>
      <c r="E902" s="2">
        <v>5999.99</v>
      </c>
      <c r="F902">
        <v>0.2</v>
      </c>
      <c r="G902">
        <f t="shared" si="14"/>
        <v>5999.79</v>
      </c>
      <c r="H902" t="str">
        <f>VLOOKUP(C902,'products '!$A$1:$G$322,2,FALSE)</f>
        <v>Trek Silque SLR 7 Women's - 2017</v>
      </c>
    </row>
    <row r="903" spans="1:8" x14ac:dyDescent="0.3">
      <c r="A903">
        <v>902</v>
      </c>
      <c r="B903">
        <v>1</v>
      </c>
      <c r="C903">
        <v>38</v>
      </c>
      <c r="D903" s="2">
        <v>2</v>
      </c>
      <c r="E903" s="2">
        <v>549.99</v>
      </c>
      <c r="F903">
        <v>7.0000000000000007E-2</v>
      </c>
      <c r="G903">
        <f t="shared" si="14"/>
        <v>1099.9100000000001</v>
      </c>
      <c r="H903" t="str">
        <f>VLOOKUP(C903,'products '!$A$1:$G$322,2,FALSE)</f>
        <v>Haro Flightline Two 26 Plus - 2017</v>
      </c>
    </row>
    <row r="904" spans="1:8" x14ac:dyDescent="0.3">
      <c r="A904">
        <v>903</v>
      </c>
      <c r="B904">
        <v>1</v>
      </c>
      <c r="C904">
        <v>31</v>
      </c>
      <c r="D904" s="2">
        <v>2</v>
      </c>
      <c r="E904" s="2">
        <v>1632.99</v>
      </c>
      <c r="F904">
        <v>7.0000000000000007E-2</v>
      </c>
      <c r="G904">
        <f t="shared" si="14"/>
        <v>3265.91</v>
      </c>
      <c r="H904" t="str">
        <f>VLOOKUP(C904,'products '!$A$1:$G$322,2,FALSE)</f>
        <v>Surly Wednesday - 2017</v>
      </c>
    </row>
    <row r="905" spans="1:8" x14ac:dyDescent="0.3">
      <c r="A905">
        <v>904</v>
      </c>
      <c r="B905">
        <v>1</v>
      </c>
      <c r="C905">
        <v>36</v>
      </c>
      <c r="D905" s="2">
        <v>2</v>
      </c>
      <c r="E905" s="2">
        <v>832.99</v>
      </c>
      <c r="F905">
        <v>0.1</v>
      </c>
      <c r="G905">
        <f t="shared" si="14"/>
        <v>1665.88</v>
      </c>
      <c r="H905" t="str">
        <f>VLOOKUP(C905,'products '!$A$1:$G$322,2,FALSE)</f>
        <v>Surly Troll Frameset - 2017</v>
      </c>
    </row>
    <row r="906" spans="1:8" x14ac:dyDescent="0.3">
      <c r="A906">
        <v>905</v>
      </c>
      <c r="B906">
        <v>1</v>
      </c>
      <c r="C906">
        <v>67</v>
      </c>
      <c r="D906" s="2">
        <v>1</v>
      </c>
      <c r="E906" s="2">
        <v>250.99</v>
      </c>
      <c r="F906">
        <v>0.1</v>
      </c>
      <c r="G906">
        <f t="shared" si="14"/>
        <v>250.89000000000001</v>
      </c>
      <c r="H906" t="str">
        <f>VLOOKUP(C906,'products '!$A$1:$G$322,2,FALSE)</f>
        <v>Sun Bicycles Revolutions 24 - Girl's - 2017</v>
      </c>
    </row>
    <row r="907" spans="1:8" x14ac:dyDescent="0.3">
      <c r="A907">
        <v>906</v>
      </c>
      <c r="B907">
        <v>1</v>
      </c>
      <c r="C907">
        <v>23</v>
      </c>
      <c r="D907" s="2">
        <v>2</v>
      </c>
      <c r="E907" s="2">
        <v>299.99</v>
      </c>
      <c r="F907">
        <v>0.2</v>
      </c>
      <c r="G907">
        <f t="shared" si="14"/>
        <v>599.78</v>
      </c>
      <c r="H907" t="str">
        <f>VLOOKUP(C907,'products '!$A$1:$G$322,2,FALSE)</f>
        <v>Electra Girl's Hawaii 1 (20-inch) - 2015/2016</v>
      </c>
    </row>
    <row r="908" spans="1:8" x14ac:dyDescent="0.3">
      <c r="A908">
        <v>907</v>
      </c>
      <c r="B908">
        <v>1</v>
      </c>
      <c r="C908">
        <v>84</v>
      </c>
      <c r="D908" s="2">
        <v>2</v>
      </c>
      <c r="E908" s="2">
        <v>109.99</v>
      </c>
      <c r="F908">
        <v>7.0000000000000007E-2</v>
      </c>
      <c r="G908">
        <f t="shared" si="14"/>
        <v>219.91</v>
      </c>
      <c r="H908" t="str">
        <f>VLOOKUP(C908,'products '!$A$1:$G$322,2,FALSE)</f>
        <v>Sun Bicycles Lil Kitt'n - 2017</v>
      </c>
    </row>
    <row r="909" spans="1:8" x14ac:dyDescent="0.3">
      <c r="A909">
        <v>908</v>
      </c>
      <c r="B909">
        <v>1</v>
      </c>
      <c r="C909">
        <v>41</v>
      </c>
      <c r="D909" s="2">
        <v>1</v>
      </c>
      <c r="E909" s="2">
        <v>1469.99</v>
      </c>
      <c r="F909">
        <v>0.2</v>
      </c>
      <c r="G909">
        <f t="shared" si="14"/>
        <v>1469.79</v>
      </c>
      <c r="H909" t="str">
        <f>VLOOKUP(C909,'products '!$A$1:$G$322,2,FALSE)</f>
        <v>Haro Shift R3 - 2017</v>
      </c>
    </row>
    <row r="910" spans="1:8" x14ac:dyDescent="0.3">
      <c r="A910">
        <v>909</v>
      </c>
      <c r="B910">
        <v>1</v>
      </c>
      <c r="C910">
        <v>5</v>
      </c>
      <c r="D910" s="2">
        <v>1</v>
      </c>
      <c r="E910" s="2">
        <v>1320.99</v>
      </c>
      <c r="F910">
        <v>0.2</v>
      </c>
      <c r="G910">
        <f t="shared" si="14"/>
        <v>1320.79</v>
      </c>
      <c r="H910" t="str">
        <f>VLOOKUP(C910,'products '!$A$1:$G$322,2,FALSE)</f>
        <v>Heller Shagamaw Frame - 2016</v>
      </c>
    </row>
    <row r="911" spans="1:8" x14ac:dyDescent="0.3">
      <c r="A911">
        <v>910</v>
      </c>
      <c r="B911">
        <v>1</v>
      </c>
      <c r="C911">
        <v>23</v>
      </c>
      <c r="D911" s="2">
        <v>1</v>
      </c>
      <c r="E911" s="2">
        <v>299.99</v>
      </c>
      <c r="F911">
        <v>0.1</v>
      </c>
      <c r="G911">
        <f t="shared" si="14"/>
        <v>299.89</v>
      </c>
      <c r="H911" t="str">
        <f>VLOOKUP(C911,'products '!$A$1:$G$322,2,FALSE)</f>
        <v>Electra Girl's Hawaii 1 (20-inch) - 2015/2016</v>
      </c>
    </row>
    <row r="912" spans="1:8" x14ac:dyDescent="0.3">
      <c r="A912">
        <v>911</v>
      </c>
      <c r="B912">
        <v>1</v>
      </c>
      <c r="C912">
        <v>66</v>
      </c>
      <c r="D912" s="2">
        <v>2</v>
      </c>
      <c r="E912" s="2">
        <v>250.99</v>
      </c>
      <c r="F912">
        <v>0.05</v>
      </c>
      <c r="G912">
        <f t="shared" si="14"/>
        <v>501.93</v>
      </c>
      <c r="H912" t="str">
        <f>VLOOKUP(C912,'products '!$A$1:$G$322,2,FALSE)</f>
        <v>Sun Bicycles Revolutions 24 - 2017</v>
      </c>
    </row>
    <row r="913" spans="1:8" x14ac:dyDescent="0.3">
      <c r="A913">
        <v>912</v>
      </c>
      <c r="B913">
        <v>1</v>
      </c>
      <c r="C913">
        <v>22</v>
      </c>
      <c r="D913" s="2">
        <v>2</v>
      </c>
      <c r="E913" s="2">
        <v>269.99</v>
      </c>
      <c r="F913">
        <v>0.2</v>
      </c>
      <c r="G913">
        <f t="shared" si="14"/>
        <v>539.78</v>
      </c>
      <c r="H913" t="str">
        <f>VLOOKUP(C913,'products '!$A$1:$G$322,2,FALSE)</f>
        <v>Electra Girl's Hawaii 1 (16-inch) - 2015/2016</v>
      </c>
    </row>
    <row r="914" spans="1:8" x14ac:dyDescent="0.3">
      <c r="A914">
        <v>913</v>
      </c>
      <c r="B914">
        <v>1</v>
      </c>
      <c r="C914">
        <v>90</v>
      </c>
      <c r="D914" s="2">
        <v>2</v>
      </c>
      <c r="E914" s="2">
        <v>209.99</v>
      </c>
      <c r="F914">
        <v>0.1</v>
      </c>
      <c r="G914">
        <f t="shared" si="14"/>
        <v>419.88</v>
      </c>
      <c r="H914" t="str">
        <f>VLOOKUP(C914,'products '!$A$1:$G$322,2,FALSE)</f>
        <v>Trek Precaliber 16 Girls - 2017</v>
      </c>
    </row>
    <row r="915" spans="1:8" x14ac:dyDescent="0.3">
      <c r="A915">
        <v>914</v>
      </c>
      <c r="B915">
        <v>1</v>
      </c>
      <c r="C915">
        <v>38</v>
      </c>
      <c r="D915" s="2">
        <v>1</v>
      </c>
      <c r="E915" s="2">
        <v>549.99</v>
      </c>
      <c r="F915">
        <v>7.0000000000000007E-2</v>
      </c>
      <c r="G915">
        <f t="shared" si="14"/>
        <v>549.91999999999996</v>
      </c>
      <c r="H915" t="str">
        <f>VLOOKUP(C915,'products '!$A$1:$G$322,2,FALSE)</f>
        <v>Haro Flightline Two 26 Plus - 2017</v>
      </c>
    </row>
    <row r="916" spans="1:8" x14ac:dyDescent="0.3">
      <c r="A916">
        <v>915</v>
      </c>
      <c r="B916">
        <v>1</v>
      </c>
      <c r="C916">
        <v>64</v>
      </c>
      <c r="D916" s="2">
        <v>1</v>
      </c>
      <c r="E916" s="2">
        <v>489.99</v>
      </c>
      <c r="F916">
        <v>0.05</v>
      </c>
      <c r="G916">
        <f t="shared" si="14"/>
        <v>489.94</v>
      </c>
      <c r="H916" t="str">
        <f>VLOOKUP(C916,'products '!$A$1:$G$322,2,FALSE)</f>
        <v>Electra Townie Original 7D - 2017</v>
      </c>
    </row>
    <row r="917" spans="1:8" x14ac:dyDescent="0.3">
      <c r="A917">
        <v>916</v>
      </c>
      <c r="B917">
        <v>1</v>
      </c>
      <c r="C917">
        <v>92</v>
      </c>
      <c r="D917" s="2">
        <v>1</v>
      </c>
      <c r="E917" s="2">
        <v>209.99</v>
      </c>
      <c r="F917">
        <v>0.2</v>
      </c>
      <c r="G917">
        <f t="shared" si="14"/>
        <v>209.79000000000002</v>
      </c>
      <c r="H917" t="str">
        <f>VLOOKUP(C917,'products '!$A$1:$G$322,2,FALSE)</f>
        <v>Haro Shredder 20 - 2017</v>
      </c>
    </row>
    <row r="918" spans="1:8" x14ac:dyDescent="0.3">
      <c r="A918">
        <v>917</v>
      </c>
      <c r="B918">
        <v>1</v>
      </c>
      <c r="C918">
        <v>41</v>
      </c>
      <c r="D918" s="2">
        <v>1</v>
      </c>
      <c r="E918" s="2">
        <v>1469.99</v>
      </c>
      <c r="F918">
        <v>7.0000000000000007E-2</v>
      </c>
      <c r="G918">
        <f t="shared" si="14"/>
        <v>1469.92</v>
      </c>
      <c r="H918" t="str">
        <f>VLOOKUP(C918,'products '!$A$1:$G$322,2,FALSE)</f>
        <v>Haro Shift R3 - 2017</v>
      </c>
    </row>
    <row r="919" spans="1:8" x14ac:dyDescent="0.3">
      <c r="A919">
        <v>918</v>
      </c>
      <c r="B919">
        <v>1</v>
      </c>
      <c r="C919">
        <v>91</v>
      </c>
      <c r="D919" s="2">
        <v>1</v>
      </c>
      <c r="E919" s="2">
        <v>349.99</v>
      </c>
      <c r="F919">
        <v>0.2</v>
      </c>
      <c r="G919">
        <f t="shared" si="14"/>
        <v>349.79</v>
      </c>
      <c r="H919" t="str">
        <f>VLOOKUP(C919,'products '!$A$1:$G$322,2,FALSE)</f>
        <v>Trek Precaliber 24 (21-Speed) - Girls - 2017</v>
      </c>
    </row>
    <row r="920" spans="1:8" x14ac:dyDescent="0.3">
      <c r="A920">
        <v>919</v>
      </c>
      <c r="B920">
        <v>1</v>
      </c>
      <c r="C920">
        <v>7</v>
      </c>
      <c r="D920" s="2">
        <v>1</v>
      </c>
      <c r="E920" s="2">
        <v>3999.99</v>
      </c>
      <c r="F920">
        <v>7.0000000000000007E-2</v>
      </c>
      <c r="G920">
        <f t="shared" si="14"/>
        <v>3999.9199999999996</v>
      </c>
      <c r="H920" t="str">
        <f>VLOOKUP(C920,'products '!$A$1:$G$322,2,FALSE)</f>
        <v>Trek Slash 8 27.5 - 2016</v>
      </c>
    </row>
    <row r="921" spans="1:8" x14ac:dyDescent="0.3">
      <c r="A921">
        <v>920</v>
      </c>
      <c r="B921">
        <v>1</v>
      </c>
      <c r="C921">
        <v>76</v>
      </c>
      <c r="D921" s="2">
        <v>1</v>
      </c>
      <c r="E921" s="2">
        <v>299.99</v>
      </c>
      <c r="F921">
        <v>0.05</v>
      </c>
      <c r="G921">
        <f t="shared" si="14"/>
        <v>299.94</v>
      </c>
      <c r="H921" t="str">
        <f>VLOOKUP(C921,'products '!$A$1:$G$322,2,FALSE)</f>
        <v>Electra Girl's Hawaii 1 16" - 2017</v>
      </c>
    </row>
    <row r="922" spans="1:8" x14ac:dyDescent="0.3">
      <c r="A922">
        <v>921</v>
      </c>
      <c r="B922">
        <v>1</v>
      </c>
      <c r="C922">
        <v>77</v>
      </c>
      <c r="D922" s="2">
        <v>1</v>
      </c>
      <c r="E922" s="2">
        <v>799.99</v>
      </c>
      <c r="F922">
        <v>0.2</v>
      </c>
      <c r="G922">
        <f t="shared" si="14"/>
        <v>799.79</v>
      </c>
      <c r="H922" t="str">
        <f>VLOOKUP(C922,'products '!$A$1:$G$322,2,FALSE)</f>
        <v>Electra Glam Punk 3i Ladies' - 2017</v>
      </c>
    </row>
    <row r="923" spans="1:8" x14ac:dyDescent="0.3">
      <c r="A923">
        <v>922</v>
      </c>
      <c r="B923">
        <v>1</v>
      </c>
      <c r="C923">
        <v>68</v>
      </c>
      <c r="D923" s="2">
        <v>1</v>
      </c>
      <c r="E923" s="2">
        <v>449.99</v>
      </c>
      <c r="F923">
        <v>0.2</v>
      </c>
      <c r="G923">
        <f t="shared" si="14"/>
        <v>449.79</v>
      </c>
      <c r="H923" t="str">
        <f>VLOOKUP(C923,'products '!$A$1:$G$322,2,FALSE)</f>
        <v>Sun Bicycles Cruz 3 - 2017</v>
      </c>
    </row>
    <row r="924" spans="1:8" x14ac:dyDescent="0.3">
      <c r="A924">
        <v>923</v>
      </c>
      <c r="B924">
        <v>1</v>
      </c>
      <c r="C924">
        <v>74</v>
      </c>
      <c r="D924" s="2">
        <v>2</v>
      </c>
      <c r="E924" s="2">
        <v>439.99</v>
      </c>
      <c r="F924">
        <v>0.05</v>
      </c>
      <c r="G924">
        <f t="shared" si="14"/>
        <v>879.93000000000006</v>
      </c>
      <c r="H924" t="str">
        <f>VLOOKUP(C924,'products '!$A$1:$G$322,2,FALSE)</f>
        <v>Electra Cruiser Lux 1 - 2017</v>
      </c>
    </row>
    <row r="925" spans="1:8" x14ac:dyDescent="0.3">
      <c r="A925">
        <v>924</v>
      </c>
      <c r="B925">
        <v>1</v>
      </c>
      <c r="C925">
        <v>97</v>
      </c>
      <c r="D925" s="2">
        <v>2</v>
      </c>
      <c r="E925" s="2">
        <v>349.99</v>
      </c>
      <c r="F925">
        <v>0.2</v>
      </c>
      <c r="G925">
        <f t="shared" si="14"/>
        <v>699.78</v>
      </c>
      <c r="H925" t="str">
        <f>VLOOKUP(C925,'products '!$A$1:$G$322,2,FALSE)</f>
        <v>Electra Savannah 3i (20-inch) - Girl's - 2017</v>
      </c>
    </row>
    <row r="926" spans="1:8" x14ac:dyDescent="0.3">
      <c r="A926">
        <v>925</v>
      </c>
      <c r="B926">
        <v>1</v>
      </c>
      <c r="C926">
        <v>97</v>
      </c>
      <c r="D926" s="2">
        <v>1</v>
      </c>
      <c r="E926" s="2">
        <v>349.99</v>
      </c>
      <c r="F926">
        <v>7.0000000000000007E-2</v>
      </c>
      <c r="G926">
        <f t="shared" si="14"/>
        <v>349.92</v>
      </c>
      <c r="H926" t="str">
        <f>VLOOKUP(C926,'products '!$A$1:$G$322,2,FALSE)</f>
        <v>Electra Savannah 3i (20-inch) - Girl's - 2017</v>
      </c>
    </row>
    <row r="927" spans="1:8" x14ac:dyDescent="0.3">
      <c r="A927">
        <v>926</v>
      </c>
      <c r="B927">
        <v>1</v>
      </c>
      <c r="C927">
        <v>37</v>
      </c>
      <c r="D927" s="2">
        <v>2</v>
      </c>
      <c r="E927" s="2">
        <v>379.99</v>
      </c>
      <c r="F927">
        <v>0.2</v>
      </c>
      <c r="G927">
        <f t="shared" si="14"/>
        <v>759.78</v>
      </c>
      <c r="H927" t="str">
        <f>VLOOKUP(C927,'products '!$A$1:$G$322,2,FALSE)</f>
        <v>Haro Flightline One ST - 2017</v>
      </c>
    </row>
    <row r="928" spans="1:8" x14ac:dyDescent="0.3">
      <c r="A928">
        <v>927</v>
      </c>
      <c r="B928">
        <v>1</v>
      </c>
      <c r="C928">
        <v>74</v>
      </c>
      <c r="D928" s="2">
        <v>2</v>
      </c>
      <c r="E928" s="2">
        <v>439.99</v>
      </c>
      <c r="F928">
        <v>0.1</v>
      </c>
      <c r="G928">
        <f t="shared" si="14"/>
        <v>879.88</v>
      </c>
      <c r="H928" t="str">
        <f>VLOOKUP(C928,'products '!$A$1:$G$322,2,FALSE)</f>
        <v>Electra Cruiser Lux 1 - 2017</v>
      </c>
    </row>
    <row r="929" spans="1:8" x14ac:dyDescent="0.3">
      <c r="A929">
        <v>928</v>
      </c>
      <c r="B929">
        <v>1</v>
      </c>
      <c r="C929">
        <v>71</v>
      </c>
      <c r="D929" s="2">
        <v>2</v>
      </c>
      <c r="E929" s="2">
        <v>416.99</v>
      </c>
      <c r="F929">
        <v>0.05</v>
      </c>
      <c r="G929">
        <f t="shared" si="14"/>
        <v>833.93000000000006</v>
      </c>
      <c r="H929" t="str">
        <f>VLOOKUP(C929,'products '!$A$1:$G$322,2,FALSE)</f>
        <v>Sun Bicycles Atlas X-Type - 2017</v>
      </c>
    </row>
    <row r="930" spans="1:8" x14ac:dyDescent="0.3">
      <c r="A930">
        <v>929</v>
      </c>
      <c r="B930">
        <v>1</v>
      </c>
      <c r="C930">
        <v>82</v>
      </c>
      <c r="D930" s="2">
        <v>1</v>
      </c>
      <c r="E930" s="2">
        <v>659.99</v>
      </c>
      <c r="F930">
        <v>0.2</v>
      </c>
      <c r="G930">
        <f t="shared" si="14"/>
        <v>659.79</v>
      </c>
      <c r="H930" t="str">
        <f>VLOOKUP(C930,'products '!$A$1:$G$322,2,FALSE)</f>
        <v>Electra Amsterdam Original 3i Ladies' - 2017</v>
      </c>
    </row>
    <row r="931" spans="1:8" x14ac:dyDescent="0.3">
      <c r="A931">
        <v>930</v>
      </c>
      <c r="B931">
        <v>1</v>
      </c>
      <c r="C931">
        <v>56</v>
      </c>
      <c r="D931" s="2">
        <v>2</v>
      </c>
      <c r="E931" s="2">
        <v>5499.99</v>
      </c>
      <c r="F931">
        <v>7.0000000000000007E-2</v>
      </c>
      <c r="G931">
        <f t="shared" si="14"/>
        <v>10999.91</v>
      </c>
      <c r="H931" t="str">
        <f>VLOOKUP(C931,'products '!$A$1:$G$322,2,FALSE)</f>
        <v>Trek Domane SLR 6 Disc - 2017</v>
      </c>
    </row>
    <row r="932" spans="1:8" x14ac:dyDescent="0.3">
      <c r="A932">
        <v>931</v>
      </c>
      <c r="B932">
        <v>1</v>
      </c>
      <c r="C932">
        <v>49</v>
      </c>
      <c r="D932" s="2">
        <v>2</v>
      </c>
      <c r="E932" s="2">
        <v>3499.99</v>
      </c>
      <c r="F932">
        <v>7.0000000000000007E-2</v>
      </c>
      <c r="G932">
        <f t="shared" si="14"/>
        <v>6999.91</v>
      </c>
      <c r="H932" t="str">
        <f>VLOOKUP(C932,'products '!$A$1:$G$322,2,FALSE)</f>
        <v>Trek Domane SL 6 - 2017</v>
      </c>
    </row>
    <row r="933" spans="1:8" x14ac:dyDescent="0.3">
      <c r="A933">
        <v>932</v>
      </c>
      <c r="B933">
        <v>1</v>
      </c>
      <c r="C933">
        <v>74</v>
      </c>
      <c r="D933" s="2">
        <v>1</v>
      </c>
      <c r="E933" s="2">
        <v>439.99</v>
      </c>
      <c r="F933">
        <v>0.05</v>
      </c>
      <c r="G933">
        <f t="shared" si="14"/>
        <v>439.94</v>
      </c>
      <c r="H933" t="str">
        <f>VLOOKUP(C933,'products '!$A$1:$G$322,2,FALSE)</f>
        <v>Electra Cruiser Lux 1 - 2017</v>
      </c>
    </row>
    <row r="934" spans="1:8" x14ac:dyDescent="0.3">
      <c r="A934">
        <v>933</v>
      </c>
      <c r="B934">
        <v>1</v>
      </c>
      <c r="C934">
        <v>77</v>
      </c>
      <c r="D934" s="2">
        <v>1</v>
      </c>
      <c r="E934" s="2">
        <v>799.99</v>
      </c>
      <c r="F934">
        <v>7.0000000000000007E-2</v>
      </c>
      <c r="G934">
        <f t="shared" si="14"/>
        <v>799.92</v>
      </c>
      <c r="H934" t="str">
        <f>VLOOKUP(C934,'products '!$A$1:$G$322,2,FALSE)</f>
        <v>Electra Glam Punk 3i Ladies' - 2017</v>
      </c>
    </row>
    <row r="935" spans="1:8" x14ac:dyDescent="0.3">
      <c r="A935">
        <v>934</v>
      </c>
      <c r="B935">
        <v>1</v>
      </c>
      <c r="C935">
        <v>35</v>
      </c>
      <c r="D935" s="2">
        <v>2</v>
      </c>
      <c r="E935" s="2">
        <v>832.99</v>
      </c>
      <c r="F935">
        <v>0.05</v>
      </c>
      <c r="G935">
        <f t="shared" si="14"/>
        <v>1665.93</v>
      </c>
      <c r="H935" t="str">
        <f>VLOOKUP(C935,'products '!$A$1:$G$322,2,FALSE)</f>
        <v>Sun Bicycles Spider 3i - 2017</v>
      </c>
    </row>
    <row r="936" spans="1:8" x14ac:dyDescent="0.3">
      <c r="A936">
        <v>935</v>
      </c>
      <c r="B936">
        <v>1</v>
      </c>
      <c r="C936">
        <v>65</v>
      </c>
      <c r="D936" s="2">
        <v>2</v>
      </c>
      <c r="E936" s="2">
        <v>346.99</v>
      </c>
      <c r="F936">
        <v>0.2</v>
      </c>
      <c r="G936">
        <f t="shared" si="14"/>
        <v>693.78</v>
      </c>
      <c r="H936" t="str">
        <f>VLOOKUP(C936,'products '!$A$1:$G$322,2,FALSE)</f>
        <v>Sun Bicycles Lil Bolt Type-R - 2017</v>
      </c>
    </row>
    <row r="937" spans="1:8" x14ac:dyDescent="0.3">
      <c r="A937">
        <v>936</v>
      </c>
      <c r="B937">
        <v>1</v>
      </c>
      <c r="C937">
        <v>70</v>
      </c>
      <c r="D937" s="2">
        <v>1</v>
      </c>
      <c r="E937" s="2">
        <v>659.99</v>
      </c>
      <c r="F937">
        <v>0.1</v>
      </c>
      <c r="G937">
        <f t="shared" si="14"/>
        <v>659.89</v>
      </c>
      <c r="H937" t="str">
        <f>VLOOKUP(C937,'products '!$A$1:$G$322,2,FALSE)</f>
        <v>Electra Amsterdam Original 3i - 2015/2017</v>
      </c>
    </row>
    <row r="938" spans="1:8" x14ac:dyDescent="0.3">
      <c r="A938">
        <v>937</v>
      </c>
      <c r="B938">
        <v>1</v>
      </c>
      <c r="C938">
        <v>108</v>
      </c>
      <c r="D938" s="2">
        <v>2</v>
      </c>
      <c r="E938" s="2">
        <v>449.99</v>
      </c>
      <c r="F938">
        <v>0.1</v>
      </c>
      <c r="G938">
        <f t="shared" si="14"/>
        <v>899.88</v>
      </c>
      <c r="H938" t="str">
        <f>VLOOKUP(C938,'products '!$A$1:$G$322,2,FALSE)</f>
        <v>Sun Bicycles Cruz 3 - Women's - 2017</v>
      </c>
    </row>
    <row r="939" spans="1:8" x14ac:dyDescent="0.3">
      <c r="A939">
        <v>938</v>
      </c>
      <c r="B939">
        <v>1</v>
      </c>
      <c r="C939">
        <v>4</v>
      </c>
      <c r="D939" s="2">
        <v>1</v>
      </c>
      <c r="E939" s="2">
        <v>2899.99</v>
      </c>
      <c r="F939">
        <v>0.05</v>
      </c>
      <c r="G939">
        <f t="shared" si="14"/>
        <v>2899.9399999999996</v>
      </c>
      <c r="H939" t="str">
        <f>VLOOKUP(C939,'products '!$A$1:$G$322,2,FALSE)</f>
        <v>Trek Fuel EX 8 29 - 2016</v>
      </c>
    </row>
    <row r="940" spans="1:8" x14ac:dyDescent="0.3">
      <c r="A940">
        <v>939</v>
      </c>
      <c r="B940">
        <v>1</v>
      </c>
      <c r="C940">
        <v>5</v>
      </c>
      <c r="D940" s="2">
        <v>1</v>
      </c>
      <c r="E940" s="2">
        <v>1320.99</v>
      </c>
      <c r="F940">
        <v>0.1</v>
      </c>
      <c r="G940">
        <f t="shared" si="14"/>
        <v>1320.89</v>
      </c>
      <c r="H940" t="str">
        <f>VLOOKUP(C940,'products '!$A$1:$G$322,2,FALSE)</f>
        <v>Heller Shagamaw Frame - 2016</v>
      </c>
    </row>
    <row r="941" spans="1:8" x14ac:dyDescent="0.3">
      <c r="A941">
        <v>940</v>
      </c>
      <c r="B941">
        <v>1</v>
      </c>
      <c r="C941">
        <v>75</v>
      </c>
      <c r="D941" s="2">
        <v>2</v>
      </c>
      <c r="E941" s="2">
        <v>599.99</v>
      </c>
      <c r="F941">
        <v>0.2</v>
      </c>
      <c r="G941">
        <f t="shared" si="14"/>
        <v>1199.78</v>
      </c>
      <c r="H941" t="str">
        <f>VLOOKUP(C941,'products '!$A$1:$G$322,2,FALSE)</f>
        <v>Electra Cruiser Lux Fat Tire 1 Ladies - 2017</v>
      </c>
    </row>
    <row r="942" spans="1:8" x14ac:dyDescent="0.3">
      <c r="A942">
        <v>941</v>
      </c>
      <c r="B942">
        <v>1</v>
      </c>
      <c r="C942">
        <v>25</v>
      </c>
      <c r="D942" s="2">
        <v>1</v>
      </c>
      <c r="E942" s="2">
        <v>499.99</v>
      </c>
      <c r="F942">
        <v>0.1</v>
      </c>
      <c r="G942">
        <f t="shared" si="14"/>
        <v>499.89</v>
      </c>
      <c r="H942" t="str">
        <f>VLOOKUP(C942,'products '!$A$1:$G$322,2,FALSE)</f>
        <v>Electra Townie Original 7D - 2015/2016</v>
      </c>
    </row>
    <row r="943" spans="1:8" x14ac:dyDescent="0.3">
      <c r="A943">
        <v>942</v>
      </c>
      <c r="B943">
        <v>1</v>
      </c>
      <c r="C943">
        <v>98</v>
      </c>
      <c r="D943" s="2">
        <v>2</v>
      </c>
      <c r="E943" s="2">
        <v>489.99</v>
      </c>
      <c r="F943">
        <v>0.05</v>
      </c>
      <c r="G943">
        <f t="shared" si="14"/>
        <v>979.93000000000006</v>
      </c>
      <c r="H943" t="str">
        <f>VLOOKUP(C943,'products '!$A$1:$G$322,2,FALSE)</f>
        <v>Electra Straight 8 3i (20-inch) - Boy's - 2017</v>
      </c>
    </row>
    <row r="944" spans="1:8" x14ac:dyDescent="0.3">
      <c r="A944">
        <v>943</v>
      </c>
      <c r="B944">
        <v>1</v>
      </c>
      <c r="C944">
        <v>25</v>
      </c>
      <c r="D944" s="2">
        <v>1</v>
      </c>
      <c r="E944" s="2">
        <v>499.99</v>
      </c>
      <c r="F944">
        <v>0.2</v>
      </c>
      <c r="G944">
        <f t="shared" si="14"/>
        <v>499.79</v>
      </c>
      <c r="H944" t="str">
        <f>VLOOKUP(C944,'products '!$A$1:$G$322,2,FALSE)</f>
        <v>Electra Townie Original 7D - 2015/2016</v>
      </c>
    </row>
    <row r="945" spans="1:8" x14ac:dyDescent="0.3">
      <c r="A945">
        <v>944</v>
      </c>
      <c r="B945">
        <v>1</v>
      </c>
      <c r="C945">
        <v>29</v>
      </c>
      <c r="D945" s="2">
        <v>2</v>
      </c>
      <c r="E945" s="2">
        <v>999.99</v>
      </c>
      <c r="F945">
        <v>7.0000000000000007E-2</v>
      </c>
      <c r="G945">
        <f t="shared" si="14"/>
        <v>1999.91</v>
      </c>
      <c r="H945" t="str">
        <f>VLOOKUP(C945,'products '!$A$1:$G$322,2,FALSE)</f>
        <v>Trek X-Caliber 8 - 2017</v>
      </c>
    </row>
    <row r="946" spans="1:8" x14ac:dyDescent="0.3">
      <c r="A946">
        <v>945</v>
      </c>
      <c r="B946">
        <v>1</v>
      </c>
      <c r="C946">
        <v>105</v>
      </c>
      <c r="D946" s="2">
        <v>1</v>
      </c>
      <c r="E946" s="2">
        <v>533.99</v>
      </c>
      <c r="F946">
        <v>0.05</v>
      </c>
      <c r="G946">
        <f t="shared" si="14"/>
        <v>533.94000000000005</v>
      </c>
      <c r="H946" t="str">
        <f>VLOOKUP(C946,'products '!$A$1:$G$322,2,FALSE)</f>
        <v>Sun Bicycles Streamway 7 - 2017</v>
      </c>
    </row>
    <row r="947" spans="1:8" x14ac:dyDescent="0.3">
      <c r="A947">
        <v>946</v>
      </c>
      <c r="B947">
        <v>1</v>
      </c>
      <c r="C947">
        <v>7</v>
      </c>
      <c r="D947" s="2">
        <v>1</v>
      </c>
      <c r="E947" s="2">
        <v>3999.99</v>
      </c>
      <c r="F947">
        <v>0.1</v>
      </c>
      <c r="G947">
        <f t="shared" si="14"/>
        <v>3999.89</v>
      </c>
      <c r="H947" t="str">
        <f>VLOOKUP(C947,'products '!$A$1:$G$322,2,FALSE)</f>
        <v>Trek Slash 8 27.5 - 2016</v>
      </c>
    </row>
    <row r="948" spans="1:8" x14ac:dyDescent="0.3">
      <c r="A948">
        <v>947</v>
      </c>
      <c r="B948">
        <v>1</v>
      </c>
      <c r="C948">
        <v>32</v>
      </c>
      <c r="D948" s="2">
        <v>1</v>
      </c>
      <c r="E948" s="2">
        <v>469.99</v>
      </c>
      <c r="F948">
        <v>0.05</v>
      </c>
      <c r="G948">
        <f t="shared" si="14"/>
        <v>469.94</v>
      </c>
      <c r="H948" t="str">
        <f>VLOOKUP(C948,'products '!$A$1:$G$322,2,FALSE)</f>
        <v>Trek Farley Alloy Frameset - 2017</v>
      </c>
    </row>
    <row r="949" spans="1:8" x14ac:dyDescent="0.3">
      <c r="A949">
        <v>948</v>
      </c>
      <c r="B949">
        <v>1</v>
      </c>
      <c r="C949">
        <v>23</v>
      </c>
      <c r="D949" s="2">
        <v>2</v>
      </c>
      <c r="E949" s="2">
        <v>299.99</v>
      </c>
      <c r="F949">
        <v>0.2</v>
      </c>
      <c r="G949">
        <f t="shared" si="14"/>
        <v>599.78</v>
      </c>
      <c r="H949" t="str">
        <f>VLOOKUP(C949,'products '!$A$1:$G$322,2,FALSE)</f>
        <v>Electra Girl's Hawaii 1 (20-inch) - 2015/2016</v>
      </c>
    </row>
    <row r="950" spans="1:8" x14ac:dyDescent="0.3">
      <c r="A950">
        <v>949</v>
      </c>
      <c r="B950">
        <v>1</v>
      </c>
      <c r="C950">
        <v>9</v>
      </c>
      <c r="D950" s="2">
        <v>2</v>
      </c>
      <c r="E950" s="2">
        <v>2999.99</v>
      </c>
      <c r="F950">
        <v>0.1</v>
      </c>
      <c r="G950">
        <f t="shared" si="14"/>
        <v>5999.8799999999992</v>
      </c>
      <c r="H950" t="str">
        <f>VLOOKUP(C950,'products '!$A$1:$G$322,2,FALSE)</f>
        <v>Trek Conduit+ - 2016</v>
      </c>
    </row>
    <row r="951" spans="1:8" x14ac:dyDescent="0.3">
      <c r="A951">
        <v>950</v>
      </c>
      <c r="B951">
        <v>1</v>
      </c>
      <c r="C951">
        <v>56</v>
      </c>
      <c r="D951" s="2">
        <v>1</v>
      </c>
      <c r="E951" s="2">
        <v>5499.99</v>
      </c>
      <c r="F951">
        <v>0.05</v>
      </c>
      <c r="G951">
        <f t="shared" si="14"/>
        <v>5499.94</v>
      </c>
      <c r="H951" t="str">
        <f>VLOOKUP(C951,'products '!$A$1:$G$322,2,FALSE)</f>
        <v>Trek Domane SLR 6 Disc - 2017</v>
      </c>
    </row>
    <row r="952" spans="1:8" x14ac:dyDescent="0.3">
      <c r="A952">
        <v>951</v>
      </c>
      <c r="B952">
        <v>1</v>
      </c>
      <c r="C952">
        <v>59</v>
      </c>
      <c r="D952" s="2">
        <v>1</v>
      </c>
      <c r="E952" s="2">
        <v>2599.9899999999998</v>
      </c>
      <c r="F952">
        <v>0.1</v>
      </c>
      <c r="G952">
        <f t="shared" si="14"/>
        <v>2599.89</v>
      </c>
      <c r="H952" t="str">
        <f>VLOOKUP(C952,'products '!$A$1:$G$322,2,FALSE)</f>
        <v>Trek Domane S 5 Disc - 2017</v>
      </c>
    </row>
    <row r="953" spans="1:8" x14ac:dyDescent="0.3">
      <c r="A953">
        <v>952</v>
      </c>
      <c r="B953">
        <v>1</v>
      </c>
      <c r="C953">
        <v>20</v>
      </c>
      <c r="D953" s="2">
        <v>2</v>
      </c>
      <c r="E953" s="2">
        <v>599.99</v>
      </c>
      <c r="F953">
        <v>7.0000000000000007E-2</v>
      </c>
      <c r="G953">
        <f t="shared" si="14"/>
        <v>1199.9100000000001</v>
      </c>
      <c r="H953" t="str">
        <f>VLOOKUP(C953,'products '!$A$1:$G$322,2,FALSE)</f>
        <v>Electra Townie Original 7D EQ - Women's - 2016</v>
      </c>
    </row>
    <row r="954" spans="1:8" x14ac:dyDescent="0.3">
      <c r="A954">
        <v>953</v>
      </c>
      <c r="B954">
        <v>1</v>
      </c>
      <c r="C954">
        <v>23</v>
      </c>
      <c r="D954" s="2">
        <v>2</v>
      </c>
      <c r="E954" s="2">
        <v>299.99</v>
      </c>
      <c r="F954">
        <v>7.0000000000000007E-2</v>
      </c>
      <c r="G954">
        <f t="shared" si="14"/>
        <v>599.91</v>
      </c>
      <c r="H954" t="str">
        <f>VLOOKUP(C954,'products '!$A$1:$G$322,2,FALSE)</f>
        <v>Electra Girl's Hawaii 1 (20-inch) - 2015/2016</v>
      </c>
    </row>
    <row r="955" spans="1:8" x14ac:dyDescent="0.3">
      <c r="A955">
        <v>954</v>
      </c>
      <c r="B955">
        <v>1</v>
      </c>
      <c r="C955">
        <v>4</v>
      </c>
      <c r="D955" s="2">
        <v>2</v>
      </c>
      <c r="E955" s="2">
        <v>2899.99</v>
      </c>
      <c r="F955">
        <v>0.1</v>
      </c>
      <c r="G955">
        <f t="shared" si="14"/>
        <v>5799.8799999999992</v>
      </c>
      <c r="H955" t="str">
        <f>VLOOKUP(C955,'products '!$A$1:$G$322,2,FALSE)</f>
        <v>Trek Fuel EX 8 29 - 2016</v>
      </c>
    </row>
    <row r="956" spans="1:8" x14ac:dyDescent="0.3">
      <c r="A956">
        <v>955</v>
      </c>
      <c r="B956">
        <v>1</v>
      </c>
      <c r="C956">
        <v>43</v>
      </c>
      <c r="D956" s="2">
        <v>1</v>
      </c>
      <c r="E956" s="2">
        <v>5299.99</v>
      </c>
      <c r="F956">
        <v>0.1</v>
      </c>
      <c r="G956">
        <f t="shared" si="14"/>
        <v>5299.8899999999994</v>
      </c>
      <c r="H956" t="str">
        <f>VLOOKUP(C956,'products '!$A$1:$G$322,2,FALSE)</f>
        <v>Trek Fuel EX 9.8 27.5 Plus - 2017</v>
      </c>
    </row>
    <row r="957" spans="1:8" x14ac:dyDescent="0.3">
      <c r="A957">
        <v>956</v>
      </c>
      <c r="B957">
        <v>1</v>
      </c>
      <c r="C957">
        <v>76</v>
      </c>
      <c r="D957" s="2">
        <v>2</v>
      </c>
      <c r="E957" s="2">
        <v>299.99</v>
      </c>
      <c r="F957">
        <v>0.1</v>
      </c>
      <c r="G957">
        <f t="shared" si="14"/>
        <v>599.88</v>
      </c>
      <c r="H957" t="str">
        <f>VLOOKUP(C957,'products '!$A$1:$G$322,2,FALSE)</f>
        <v>Electra Girl's Hawaii 1 16" - 2017</v>
      </c>
    </row>
    <row r="958" spans="1:8" x14ac:dyDescent="0.3">
      <c r="A958">
        <v>957</v>
      </c>
      <c r="B958">
        <v>1</v>
      </c>
      <c r="C958">
        <v>108</v>
      </c>
      <c r="D958" s="2">
        <v>2</v>
      </c>
      <c r="E958" s="2">
        <v>449.99</v>
      </c>
      <c r="F958">
        <v>0.05</v>
      </c>
      <c r="G958">
        <f t="shared" si="14"/>
        <v>899.93000000000006</v>
      </c>
      <c r="H958" t="str">
        <f>VLOOKUP(C958,'products '!$A$1:$G$322,2,FALSE)</f>
        <v>Sun Bicycles Cruz 3 - Women's - 2017</v>
      </c>
    </row>
    <row r="959" spans="1:8" x14ac:dyDescent="0.3">
      <c r="A959">
        <v>958</v>
      </c>
      <c r="B959">
        <v>1</v>
      </c>
      <c r="C959">
        <v>51</v>
      </c>
      <c r="D959" s="2">
        <v>1</v>
      </c>
      <c r="E959" s="2">
        <v>6499.99</v>
      </c>
      <c r="F959">
        <v>0.1</v>
      </c>
      <c r="G959">
        <f t="shared" si="14"/>
        <v>6499.8899999999994</v>
      </c>
      <c r="H959" t="str">
        <f>VLOOKUP(C959,'products '!$A$1:$G$322,2,FALSE)</f>
        <v>Trek Silque SLR 8 Women's - 2017</v>
      </c>
    </row>
    <row r="960" spans="1:8" x14ac:dyDescent="0.3">
      <c r="A960">
        <v>959</v>
      </c>
      <c r="B960">
        <v>1</v>
      </c>
      <c r="C960">
        <v>15</v>
      </c>
      <c r="D960" s="2">
        <v>1</v>
      </c>
      <c r="E960" s="2">
        <v>529.99</v>
      </c>
      <c r="F960">
        <v>0.2</v>
      </c>
      <c r="G960">
        <f t="shared" si="14"/>
        <v>529.79</v>
      </c>
      <c r="H960" t="str">
        <f>VLOOKUP(C960,'products '!$A$1:$G$322,2,FALSE)</f>
        <v>Electra Moto 1 - 2016</v>
      </c>
    </row>
    <row r="961" spans="1:8" x14ac:dyDescent="0.3">
      <c r="A961">
        <v>960</v>
      </c>
      <c r="B961">
        <v>1</v>
      </c>
      <c r="C961">
        <v>73</v>
      </c>
      <c r="D961" s="2">
        <v>2</v>
      </c>
      <c r="E961" s="2">
        <v>749.99</v>
      </c>
      <c r="F961">
        <v>0.05</v>
      </c>
      <c r="G961">
        <f t="shared" si="14"/>
        <v>1499.93</v>
      </c>
      <c r="H961" t="str">
        <f>VLOOKUP(C961,'products '!$A$1:$G$322,2,FALSE)</f>
        <v>Sun Bicycles Brickell Tandem 7 - 2017</v>
      </c>
    </row>
    <row r="962" spans="1:8" x14ac:dyDescent="0.3">
      <c r="A962">
        <v>961</v>
      </c>
      <c r="B962">
        <v>1</v>
      </c>
      <c r="C962">
        <v>105</v>
      </c>
      <c r="D962" s="2">
        <v>1</v>
      </c>
      <c r="E962" s="2">
        <v>533.99</v>
      </c>
      <c r="F962">
        <v>0.1</v>
      </c>
      <c r="G962">
        <f t="shared" si="14"/>
        <v>533.89</v>
      </c>
      <c r="H962" t="str">
        <f>VLOOKUP(C962,'products '!$A$1:$G$322,2,FALSE)</f>
        <v>Sun Bicycles Streamway 7 - 2017</v>
      </c>
    </row>
    <row r="963" spans="1:8" x14ac:dyDescent="0.3">
      <c r="A963">
        <v>962</v>
      </c>
      <c r="B963">
        <v>1</v>
      </c>
      <c r="C963">
        <v>65</v>
      </c>
      <c r="D963" s="2">
        <v>2</v>
      </c>
      <c r="E963" s="2">
        <v>346.99</v>
      </c>
      <c r="F963">
        <v>7.0000000000000007E-2</v>
      </c>
      <c r="G963">
        <f t="shared" ref="G963:G1026" si="15">E963*D963-F963</f>
        <v>693.91</v>
      </c>
      <c r="H963" t="str">
        <f>VLOOKUP(C963,'products '!$A$1:$G$322,2,FALSE)</f>
        <v>Sun Bicycles Lil Bolt Type-R - 2017</v>
      </c>
    </row>
    <row r="964" spans="1:8" x14ac:dyDescent="0.3">
      <c r="A964">
        <v>963</v>
      </c>
      <c r="B964">
        <v>1</v>
      </c>
      <c r="C964">
        <v>4</v>
      </c>
      <c r="D964" s="2">
        <v>1</v>
      </c>
      <c r="E964" s="2">
        <v>2899.99</v>
      </c>
      <c r="F964">
        <v>7.0000000000000007E-2</v>
      </c>
      <c r="G964">
        <f t="shared" si="15"/>
        <v>2899.9199999999996</v>
      </c>
      <c r="H964" t="str">
        <f>VLOOKUP(C964,'products '!$A$1:$G$322,2,FALSE)</f>
        <v>Trek Fuel EX 8 29 - 2016</v>
      </c>
    </row>
    <row r="965" spans="1:8" x14ac:dyDescent="0.3">
      <c r="A965">
        <v>964</v>
      </c>
      <c r="B965">
        <v>1</v>
      </c>
      <c r="C965">
        <v>90</v>
      </c>
      <c r="D965" s="2">
        <v>1</v>
      </c>
      <c r="E965" s="2">
        <v>209.99</v>
      </c>
      <c r="F965">
        <v>0.2</v>
      </c>
      <c r="G965">
        <f t="shared" si="15"/>
        <v>209.79000000000002</v>
      </c>
      <c r="H965" t="str">
        <f>VLOOKUP(C965,'products '!$A$1:$G$322,2,FALSE)</f>
        <v>Trek Precaliber 16 Girls - 2017</v>
      </c>
    </row>
    <row r="966" spans="1:8" x14ac:dyDescent="0.3">
      <c r="A966">
        <v>965</v>
      </c>
      <c r="B966">
        <v>1</v>
      </c>
      <c r="C966">
        <v>90</v>
      </c>
      <c r="D966" s="2">
        <v>2</v>
      </c>
      <c r="E966" s="2">
        <v>209.99</v>
      </c>
      <c r="F966">
        <v>0.1</v>
      </c>
      <c r="G966">
        <f t="shared" si="15"/>
        <v>419.88</v>
      </c>
      <c r="H966" t="str">
        <f>VLOOKUP(C966,'products '!$A$1:$G$322,2,FALSE)</f>
        <v>Trek Precaliber 16 Girls - 2017</v>
      </c>
    </row>
    <row r="967" spans="1:8" x14ac:dyDescent="0.3">
      <c r="A967">
        <v>966</v>
      </c>
      <c r="B967">
        <v>1</v>
      </c>
      <c r="C967">
        <v>88</v>
      </c>
      <c r="D967" s="2">
        <v>1</v>
      </c>
      <c r="E967" s="2">
        <v>189.99</v>
      </c>
      <c r="F967">
        <v>0.05</v>
      </c>
      <c r="G967">
        <f t="shared" si="15"/>
        <v>189.94</v>
      </c>
      <c r="H967" t="str">
        <f>VLOOKUP(C967,'products '!$A$1:$G$322,2,FALSE)</f>
        <v>Trek Precaliber 12 Girls - 2017</v>
      </c>
    </row>
    <row r="968" spans="1:8" x14ac:dyDescent="0.3">
      <c r="A968">
        <v>967</v>
      </c>
      <c r="B968">
        <v>1</v>
      </c>
      <c r="C968">
        <v>66</v>
      </c>
      <c r="D968" s="2">
        <v>1</v>
      </c>
      <c r="E968" s="2">
        <v>250.99</v>
      </c>
      <c r="F968">
        <v>0.2</v>
      </c>
      <c r="G968">
        <f t="shared" si="15"/>
        <v>250.79000000000002</v>
      </c>
      <c r="H968" t="str">
        <f>VLOOKUP(C968,'products '!$A$1:$G$322,2,FALSE)</f>
        <v>Sun Bicycles Revolutions 24 - 2017</v>
      </c>
    </row>
    <row r="969" spans="1:8" x14ac:dyDescent="0.3">
      <c r="A969">
        <v>968</v>
      </c>
      <c r="B969">
        <v>1</v>
      </c>
      <c r="C969">
        <v>87</v>
      </c>
      <c r="D969" s="2">
        <v>1</v>
      </c>
      <c r="E969" s="2">
        <v>189.99</v>
      </c>
      <c r="F969">
        <v>0.2</v>
      </c>
      <c r="G969">
        <f t="shared" si="15"/>
        <v>189.79000000000002</v>
      </c>
      <c r="H969" t="str">
        <f>VLOOKUP(C969,'products '!$A$1:$G$322,2,FALSE)</f>
        <v>Trek Precaliber 12 Boys - 2017</v>
      </c>
    </row>
    <row r="970" spans="1:8" x14ac:dyDescent="0.3">
      <c r="A970">
        <v>969</v>
      </c>
      <c r="B970">
        <v>1</v>
      </c>
      <c r="C970">
        <v>74</v>
      </c>
      <c r="D970" s="2">
        <v>1</v>
      </c>
      <c r="E970" s="2">
        <v>439.99</v>
      </c>
      <c r="F970">
        <v>0.2</v>
      </c>
      <c r="G970">
        <f t="shared" si="15"/>
        <v>439.79</v>
      </c>
      <c r="H970" t="str">
        <f>VLOOKUP(C970,'products '!$A$1:$G$322,2,FALSE)</f>
        <v>Electra Cruiser Lux 1 - 2017</v>
      </c>
    </row>
    <row r="971" spans="1:8" x14ac:dyDescent="0.3">
      <c r="A971">
        <v>970</v>
      </c>
      <c r="B971">
        <v>1</v>
      </c>
      <c r="C971">
        <v>85</v>
      </c>
      <c r="D971" s="2">
        <v>1</v>
      </c>
      <c r="E971" s="2">
        <v>329.99</v>
      </c>
      <c r="F971">
        <v>0.1</v>
      </c>
      <c r="G971">
        <f t="shared" si="15"/>
        <v>329.89</v>
      </c>
      <c r="H971" t="str">
        <f>VLOOKUP(C971,'products '!$A$1:$G$322,2,FALSE)</f>
        <v>Haro Downtown 16 - 2017</v>
      </c>
    </row>
    <row r="972" spans="1:8" x14ac:dyDescent="0.3">
      <c r="A972">
        <v>971</v>
      </c>
      <c r="B972">
        <v>1</v>
      </c>
      <c r="C972">
        <v>70</v>
      </c>
      <c r="D972" s="2">
        <v>2</v>
      </c>
      <c r="E972" s="2">
        <v>659.99</v>
      </c>
      <c r="F972">
        <v>0.05</v>
      </c>
      <c r="G972">
        <f t="shared" si="15"/>
        <v>1319.93</v>
      </c>
      <c r="H972" t="str">
        <f>VLOOKUP(C972,'products '!$A$1:$G$322,2,FALSE)</f>
        <v>Electra Amsterdam Original 3i - 2015/2017</v>
      </c>
    </row>
    <row r="973" spans="1:8" x14ac:dyDescent="0.3">
      <c r="A973">
        <v>972</v>
      </c>
      <c r="B973">
        <v>1</v>
      </c>
      <c r="C973">
        <v>100</v>
      </c>
      <c r="D973" s="2">
        <v>1</v>
      </c>
      <c r="E973" s="2">
        <v>489.99</v>
      </c>
      <c r="F973">
        <v>0.2</v>
      </c>
      <c r="G973">
        <f t="shared" si="15"/>
        <v>489.79</v>
      </c>
      <c r="H973" t="str">
        <f>VLOOKUP(C973,'products '!$A$1:$G$322,2,FALSE)</f>
        <v>Electra Townie 3i EQ (20-inch) - Boys' - 2017</v>
      </c>
    </row>
    <row r="974" spans="1:8" x14ac:dyDescent="0.3">
      <c r="A974">
        <v>973</v>
      </c>
      <c r="B974">
        <v>1</v>
      </c>
      <c r="C974">
        <v>4</v>
      </c>
      <c r="D974" s="2">
        <v>2</v>
      </c>
      <c r="E974" s="2">
        <v>2899.99</v>
      </c>
      <c r="F974">
        <v>0.1</v>
      </c>
      <c r="G974">
        <f t="shared" si="15"/>
        <v>5799.8799999999992</v>
      </c>
      <c r="H974" t="str">
        <f>VLOOKUP(C974,'products '!$A$1:$G$322,2,FALSE)</f>
        <v>Trek Fuel EX 8 29 - 2016</v>
      </c>
    </row>
    <row r="975" spans="1:8" x14ac:dyDescent="0.3">
      <c r="A975">
        <v>974</v>
      </c>
      <c r="B975">
        <v>1</v>
      </c>
      <c r="C975">
        <v>33</v>
      </c>
      <c r="D975" s="2">
        <v>2</v>
      </c>
      <c r="E975" s="2">
        <v>469.99</v>
      </c>
      <c r="F975">
        <v>0.1</v>
      </c>
      <c r="G975">
        <f t="shared" si="15"/>
        <v>939.88</v>
      </c>
      <c r="H975" t="str">
        <f>VLOOKUP(C975,'products '!$A$1:$G$322,2,FALSE)</f>
        <v>Surly Wednesday Frameset - 2017</v>
      </c>
    </row>
    <row r="976" spans="1:8" x14ac:dyDescent="0.3">
      <c r="A976">
        <v>975</v>
      </c>
      <c r="B976">
        <v>1</v>
      </c>
      <c r="C976">
        <v>110</v>
      </c>
      <c r="D976" s="2">
        <v>2</v>
      </c>
      <c r="E976" s="2">
        <v>470.99</v>
      </c>
      <c r="F976">
        <v>0.2</v>
      </c>
      <c r="G976">
        <f t="shared" si="15"/>
        <v>941.78</v>
      </c>
      <c r="H976" t="str">
        <f>VLOOKUP(C976,'products '!$A$1:$G$322,2,FALSE)</f>
        <v>Sun Bicycles Drifter 7 - 2017</v>
      </c>
    </row>
    <row r="977" spans="1:8" x14ac:dyDescent="0.3">
      <c r="A977">
        <v>976</v>
      </c>
      <c r="B977">
        <v>1</v>
      </c>
      <c r="C977">
        <v>26</v>
      </c>
      <c r="D977" s="2">
        <v>2</v>
      </c>
      <c r="E977" s="2">
        <v>599.99</v>
      </c>
      <c r="F977">
        <v>0.1</v>
      </c>
      <c r="G977">
        <f t="shared" si="15"/>
        <v>1199.8800000000001</v>
      </c>
      <c r="H977" t="str">
        <f>VLOOKUP(C977,'products '!$A$1:$G$322,2,FALSE)</f>
        <v>Electra Townie Original 7D EQ - 2016</v>
      </c>
    </row>
    <row r="978" spans="1:8" x14ac:dyDescent="0.3">
      <c r="A978">
        <v>977</v>
      </c>
      <c r="B978">
        <v>1</v>
      </c>
      <c r="C978">
        <v>52</v>
      </c>
      <c r="D978" s="2">
        <v>2</v>
      </c>
      <c r="E978" s="2">
        <v>875.99</v>
      </c>
      <c r="F978">
        <v>0.1</v>
      </c>
      <c r="G978">
        <f t="shared" si="15"/>
        <v>1751.88</v>
      </c>
      <c r="H978" t="str">
        <f>VLOOKUP(C978,'products '!$A$1:$G$322,2,FALSE)</f>
        <v>Surly Steamroller - 2017</v>
      </c>
    </row>
    <row r="979" spans="1:8" x14ac:dyDescent="0.3">
      <c r="A979">
        <v>978</v>
      </c>
      <c r="B979">
        <v>1</v>
      </c>
      <c r="C979">
        <v>106</v>
      </c>
      <c r="D979" s="2">
        <v>2</v>
      </c>
      <c r="E979" s="2">
        <v>449.99</v>
      </c>
      <c r="F979">
        <v>0.05</v>
      </c>
      <c r="G979">
        <f t="shared" si="15"/>
        <v>899.93000000000006</v>
      </c>
      <c r="H979" t="str">
        <f>VLOOKUP(C979,'products '!$A$1:$G$322,2,FALSE)</f>
        <v>Sun Bicycles Cruz 3 - 2017</v>
      </c>
    </row>
    <row r="980" spans="1:8" x14ac:dyDescent="0.3">
      <c r="A980">
        <v>979</v>
      </c>
      <c r="B980">
        <v>1</v>
      </c>
      <c r="C980">
        <v>55</v>
      </c>
      <c r="D980" s="2">
        <v>1</v>
      </c>
      <c r="E980" s="2">
        <v>2699.99</v>
      </c>
      <c r="F980">
        <v>0.05</v>
      </c>
      <c r="G980">
        <f t="shared" si="15"/>
        <v>2699.9399999999996</v>
      </c>
      <c r="H980" t="str">
        <f>VLOOKUP(C980,'products '!$A$1:$G$322,2,FALSE)</f>
        <v>Trek Domane S 6 - 2017</v>
      </c>
    </row>
    <row r="981" spans="1:8" x14ac:dyDescent="0.3">
      <c r="A981">
        <v>980</v>
      </c>
      <c r="B981">
        <v>1</v>
      </c>
      <c r="C981">
        <v>49</v>
      </c>
      <c r="D981" s="2">
        <v>2</v>
      </c>
      <c r="E981" s="2">
        <v>3499.99</v>
      </c>
      <c r="F981">
        <v>0.2</v>
      </c>
      <c r="G981">
        <f t="shared" si="15"/>
        <v>6999.78</v>
      </c>
      <c r="H981" t="str">
        <f>VLOOKUP(C981,'products '!$A$1:$G$322,2,FALSE)</f>
        <v>Trek Domane SL 6 - 2017</v>
      </c>
    </row>
    <row r="982" spans="1:8" x14ac:dyDescent="0.3">
      <c r="A982">
        <v>981</v>
      </c>
      <c r="B982">
        <v>1</v>
      </c>
      <c r="C982">
        <v>35</v>
      </c>
      <c r="D982" s="2">
        <v>1</v>
      </c>
      <c r="E982" s="2">
        <v>832.99</v>
      </c>
      <c r="F982">
        <v>0.1</v>
      </c>
      <c r="G982">
        <f t="shared" si="15"/>
        <v>832.89</v>
      </c>
      <c r="H982" t="str">
        <f>VLOOKUP(C982,'products '!$A$1:$G$322,2,FALSE)</f>
        <v>Sun Bicycles Spider 3i - 2017</v>
      </c>
    </row>
    <row r="983" spans="1:8" x14ac:dyDescent="0.3">
      <c r="A983">
        <v>982</v>
      </c>
      <c r="B983">
        <v>1</v>
      </c>
      <c r="C983">
        <v>22</v>
      </c>
      <c r="D983" s="2">
        <v>2</v>
      </c>
      <c r="E983" s="2">
        <v>269.99</v>
      </c>
      <c r="F983">
        <v>0.1</v>
      </c>
      <c r="G983">
        <f t="shared" si="15"/>
        <v>539.88</v>
      </c>
      <c r="H983" t="str">
        <f>VLOOKUP(C983,'products '!$A$1:$G$322,2,FALSE)</f>
        <v>Electra Girl's Hawaii 1 (16-inch) - 2015/2016</v>
      </c>
    </row>
    <row r="984" spans="1:8" x14ac:dyDescent="0.3">
      <c r="A984">
        <v>983</v>
      </c>
      <c r="B984">
        <v>1</v>
      </c>
      <c r="C984">
        <v>63</v>
      </c>
      <c r="D984" s="2">
        <v>1</v>
      </c>
      <c r="E984" s="2">
        <v>3499.99</v>
      </c>
      <c r="F984">
        <v>0.1</v>
      </c>
      <c r="G984">
        <f t="shared" si="15"/>
        <v>3499.89</v>
      </c>
      <c r="H984" t="str">
        <f>VLOOKUP(C984,'products '!$A$1:$G$322,2,FALSE)</f>
        <v>Trek Boone Race Shop Limited - 2017</v>
      </c>
    </row>
    <row r="985" spans="1:8" x14ac:dyDescent="0.3">
      <c r="A985">
        <v>984</v>
      </c>
      <c r="B985">
        <v>1</v>
      </c>
      <c r="C985">
        <v>68</v>
      </c>
      <c r="D985" s="2">
        <v>1</v>
      </c>
      <c r="E985" s="2">
        <v>449.99</v>
      </c>
      <c r="F985">
        <v>0.2</v>
      </c>
      <c r="G985">
        <f t="shared" si="15"/>
        <v>449.79</v>
      </c>
      <c r="H985" t="str">
        <f>VLOOKUP(C985,'products '!$A$1:$G$322,2,FALSE)</f>
        <v>Sun Bicycles Cruz 3 - 2017</v>
      </c>
    </row>
    <row r="986" spans="1:8" x14ac:dyDescent="0.3">
      <c r="A986">
        <v>985</v>
      </c>
      <c r="B986">
        <v>1</v>
      </c>
      <c r="C986">
        <v>5</v>
      </c>
      <c r="D986" s="2">
        <v>2</v>
      </c>
      <c r="E986" s="2">
        <v>1320.99</v>
      </c>
      <c r="F986">
        <v>7.0000000000000007E-2</v>
      </c>
      <c r="G986">
        <f t="shared" si="15"/>
        <v>2641.91</v>
      </c>
      <c r="H986" t="str">
        <f>VLOOKUP(C986,'products '!$A$1:$G$322,2,FALSE)</f>
        <v>Heller Shagamaw Frame - 2016</v>
      </c>
    </row>
    <row r="987" spans="1:8" x14ac:dyDescent="0.3">
      <c r="A987">
        <v>986</v>
      </c>
      <c r="B987">
        <v>1</v>
      </c>
      <c r="C987">
        <v>87</v>
      </c>
      <c r="D987" s="2">
        <v>1</v>
      </c>
      <c r="E987" s="2">
        <v>189.99</v>
      </c>
      <c r="F987">
        <v>0.1</v>
      </c>
      <c r="G987">
        <f t="shared" si="15"/>
        <v>189.89000000000001</v>
      </c>
      <c r="H987" t="str">
        <f>VLOOKUP(C987,'products '!$A$1:$G$322,2,FALSE)</f>
        <v>Trek Precaliber 12 Boys - 2017</v>
      </c>
    </row>
    <row r="988" spans="1:8" x14ac:dyDescent="0.3">
      <c r="A988">
        <v>987</v>
      </c>
      <c r="B988">
        <v>1</v>
      </c>
      <c r="C988">
        <v>51</v>
      </c>
      <c r="D988" s="2">
        <v>2</v>
      </c>
      <c r="E988" s="2">
        <v>6499.99</v>
      </c>
      <c r="F988">
        <v>0.1</v>
      </c>
      <c r="G988">
        <f t="shared" si="15"/>
        <v>12999.88</v>
      </c>
      <c r="H988" t="str">
        <f>VLOOKUP(C988,'products '!$A$1:$G$322,2,FALSE)</f>
        <v>Trek Silque SLR 8 Women's - 2017</v>
      </c>
    </row>
    <row r="989" spans="1:8" x14ac:dyDescent="0.3">
      <c r="A989">
        <v>988</v>
      </c>
      <c r="B989">
        <v>1</v>
      </c>
      <c r="C989">
        <v>35</v>
      </c>
      <c r="D989" s="2">
        <v>1</v>
      </c>
      <c r="E989" s="2">
        <v>832.99</v>
      </c>
      <c r="F989">
        <v>0.2</v>
      </c>
      <c r="G989">
        <f t="shared" si="15"/>
        <v>832.79</v>
      </c>
      <c r="H989" t="str">
        <f>VLOOKUP(C989,'products '!$A$1:$G$322,2,FALSE)</f>
        <v>Sun Bicycles Spider 3i - 2017</v>
      </c>
    </row>
    <row r="990" spans="1:8" x14ac:dyDescent="0.3">
      <c r="A990">
        <v>989</v>
      </c>
      <c r="B990">
        <v>1</v>
      </c>
      <c r="C990">
        <v>99</v>
      </c>
      <c r="D990" s="2">
        <v>1</v>
      </c>
      <c r="E990" s="2">
        <v>299.99</v>
      </c>
      <c r="F990">
        <v>0.05</v>
      </c>
      <c r="G990">
        <f t="shared" si="15"/>
        <v>299.94</v>
      </c>
      <c r="H990" t="str">
        <f>VLOOKUP(C990,'products '!$A$1:$G$322,2,FALSE)</f>
        <v>Electra Sugar Skulls 1 (20-inch) - Girl's - 2017</v>
      </c>
    </row>
    <row r="991" spans="1:8" x14ac:dyDescent="0.3">
      <c r="A991">
        <v>990</v>
      </c>
      <c r="B991">
        <v>1</v>
      </c>
      <c r="C991">
        <v>6</v>
      </c>
      <c r="D991" s="2">
        <v>2</v>
      </c>
      <c r="E991" s="2">
        <v>469.99</v>
      </c>
      <c r="F991">
        <v>0.2</v>
      </c>
      <c r="G991">
        <f t="shared" si="15"/>
        <v>939.78</v>
      </c>
      <c r="H991" t="str">
        <f>VLOOKUP(C991,'products '!$A$1:$G$322,2,FALSE)</f>
        <v>Surly Ice Cream Truck Frameset - 2016</v>
      </c>
    </row>
    <row r="992" spans="1:8" x14ac:dyDescent="0.3">
      <c r="A992">
        <v>991</v>
      </c>
      <c r="B992">
        <v>1</v>
      </c>
      <c r="C992">
        <v>9</v>
      </c>
      <c r="D992" s="2">
        <v>2</v>
      </c>
      <c r="E992" s="2">
        <v>2999.99</v>
      </c>
      <c r="F992">
        <v>0.2</v>
      </c>
      <c r="G992">
        <f t="shared" si="15"/>
        <v>5999.78</v>
      </c>
      <c r="H992" t="str">
        <f>VLOOKUP(C992,'products '!$A$1:$G$322,2,FALSE)</f>
        <v>Trek Conduit+ - 2016</v>
      </c>
    </row>
    <row r="993" spans="1:8" x14ac:dyDescent="0.3">
      <c r="A993">
        <v>992</v>
      </c>
      <c r="B993">
        <v>1</v>
      </c>
      <c r="C993">
        <v>45</v>
      </c>
      <c r="D993" s="2">
        <v>1</v>
      </c>
      <c r="E993" s="2">
        <v>869.99</v>
      </c>
      <c r="F993">
        <v>7.0000000000000007E-2</v>
      </c>
      <c r="G993">
        <f t="shared" si="15"/>
        <v>869.92</v>
      </c>
      <c r="H993" t="str">
        <f>VLOOKUP(C993,'products '!$A$1:$G$322,2,FALSE)</f>
        <v>Haro SR 1.2 - 2017</v>
      </c>
    </row>
    <row r="994" spans="1:8" x14ac:dyDescent="0.3">
      <c r="A994">
        <v>993</v>
      </c>
      <c r="B994">
        <v>1</v>
      </c>
      <c r="C994">
        <v>58</v>
      </c>
      <c r="D994" s="2">
        <v>1</v>
      </c>
      <c r="E994" s="2">
        <v>4999.99</v>
      </c>
      <c r="F994">
        <v>0.2</v>
      </c>
      <c r="G994">
        <f t="shared" si="15"/>
        <v>4999.79</v>
      </c>
      <c r="H994" t="str">
        <f>VLOOKUP(C994,'products '!$A$1:$G$322,2,FALSE)</f>
        <v>Trek Madone 9.2 - 2017</v>
      </c>
    </row>
    <row r="995" spans="1:8" x14ac:dyDescent="0.3">
      <c r="A995">
        <v>994</v>
      </c>
      <c r="B995">
        <v>1</v>
      </c>
      <c r="C995">
        <v>37</v>
      </c>
      <c r="D995" s="2">
        <v>2</v>
      </c>
      <c r="E995" s="2">
        <v>379.99</v>
      </c>
      <c r="F995">
        <v>0.1</v>
      </c>
      <c r="G995">
        <f t="shared" si="15"/>
        <v>759.88</v>
      </c>
      <c r="H995" t="str">
        <f>VLOOKUP(C995,'products '!$A$1:$G$322,2,FALSE)</f>
        <v>Haro Flightline One ST - 2017</v>
      </c>
    </row>
    <row r="996" spans="1:8" x14ac:dyDescent="0.3">
      <c r="A996">
        <v>995</v>
      </c>
      <c r="B996">
        <v>1</v>
      </c>
      <c r="C996">
        <v>16</v>
      </c>
      <c r="D996" s="2">
        <v>2</v>
      </c>
      <c r="E996" s="2">
        <v>599.99</v>
      </c>
      <c r="F996">
        <v>0.1</v>
      </c>
      <c r="G996">
        <f t="shared" si="15"/>
        <v>1199.8800000000001</v>
      </c>
      <c r="H996" t="str">
        <f>VLOOKUP(C996,'products '!$A$1:$G$322,2,FALSE)</f>
        <v>Electra Townie Original 7D EQ - 2016</v>
      </c>
    </row>
    <row r="997" spans="1:8" x14ac:dyDescent="0.3">
      <c r="A997">
        <v>996</v>
      </c>
      <c r="B997">
        <v>1</v>
      </c>
      <c r="C997">
        <v>68</v>
      </c>
      <c r="D997" s="2">
        <v>2</v>
      </c>
      <c r="E997" s="2">
        <v>449.99</v>
      </c>
      <c r="F997">
        <v>0.05</v>
      </c>
      <c r="G997">
        <f t="shared" si="15"/>
        <v>899.93000000000006</v>
      </c>
      <c r="H997" t="str">
        <f>VLOOKUP(C997,'products '!$A$1:$G$322,2,FALSE)</f>
        <v>Sun Bicycles Cruz 3 - 2017</v>
      </c>
    </row>
    <row r="998" spans="1:8" x14ac:dyDescent="0.3">
      <c r="A998">
        <v>997</v>
      </c>
      <c r="B998">
        <v>1</v>
      </c>
      <c r="C998">
        <v>86</v>
      </c>
      <c r="D998" s="2">
        <v>2</v>
      </c>
      <c r="E998" s="2">
        <v>149.99</v>
      </c>
      <c r="F998">
        <v>7.0000000000000007E-2</v>
      </c>
      <c r="G998">
        <f t="shared" si="15"/>
        <v>299.91000000000003</v>
      </c>
      <c r="H998" t="str">
        <f>VLOOKUP(C998,'products '!$A$1:$G$322,2,FALSE)</f>
        <v>Trek Girl's Kickster - 2017</v>
      </c>
    </row>
    <row r="999" spans="1:8" x14ac:dyDescent="0.3">
      <c r="A999">
        <v>998</v>
      </c>
      <c r="B999">
        <v>1</v>
      </c>
      <c r="C999">
        <v>26</v>
      </c>
      <c r="D999" s="2">
        <v>2</v>
      </c>
      <c r="E999" s="2">
        <v>599.99</v>
      </c>
      <c r="F999">
        <v>0.05</v>
      </c>
      <c r="G999">
        <f t="shared" si="15"/>
        <v>1199.93</v>
      </c>
      <c r="H999" t="str">
        <f>VLOOKUP(C999,'products '!$A$1:$G$322,2,FALSE)</f>
        <v>Electra Townie Original 7D EQ - 2016</v>
      </c>
    </row>
    <row r="1000" spans="1:8" x14ac:dyDescent="0.3">
      <c r="A1000">
        <v>999</v>
      </c>
      <c r="B1000">
        <v>1</v>
      </c>
      <c r="C1000">
        <v>70</v>
      </c>
      <c r="D1000" s="2">
        <v>2</v>
      </c>
      <c r="E1000" s="2">
        <v>659.99</v>
      </c>
      <c r="F1000">
        <v>7.0000000000000007E-2</v>
      </c>
      <c r="G1000">
        <f t="shared" si="15"/>
        <v>1319.91</v>
      </c>
      <c r="H1000" t="str">
        <f>VLOOKUP(C1000,'products '!$A$1:$G$322,2,FALSE)</f>
        <v>Electra Amsterdam Original 3i - 2015/2017</v>
      </c>
    </row>
    <row r="1001" spans="1:8" x14ac:dyDescent="0.3">
      <c r="A1001">
        <v>1000</v>
      </c>
      <c r="B1001">
        <v>1</v>
      </c>
      <c r="C1001">
        <v>65</v>
      </c>
      <c r="D1001" s="2">
        <v>2</v>
      </c>
      <c r="E1001" s="2">
        <v>346.99</v>
      </c>
      <c r="F1001">
        <v>0.05</v>
      </c>
      <c r="G1001">
        <f t="shared" si="15"/>
        <v>693.93000000000006</v>
      </c>
      <c r="H1001" t="str">
        <f>VLOOKUP(C1001,'products '!$A$1:$G$322,2,FALSE)</f>
        <v>Sun Bicycles Lil Bolt Type-R - 2017</v>
      </c>
    </row>
    <row r="1002" spans="1:8" x14ac:dyDescent="0.3">
      <c r="A1002">
        <v>1001</v>
      </c>
      <c r="B1002">
        <v>1</v>
      </c>
      <c r="C1002">
        <v>72</v>
      </c>
      <c r="D1002" s="2">
        <v>1</v>
      </c>
      <c r="E1002" s="2">
        <v>619.99</v>
      </c>
      <c r="F1002">
        <v>0.05</v>
      </c>
      <c r="G1002">
        <f t="shared" si="15"/>
        <v>619.94000000000005</v>
      </c>
      <c r="H1002" t="str">
        <f>VLOOKUP(C1002,'products '!$A$1:$G$322,2,FALSE)</f>
        <v>Sun Bicycles Biscayne Tandem 7 - 2017</v>
      </c>
    </row>
    <row r="1003" spans="1:8" x14ac:dyDescent="0.3">
      <c r="A1003">
        <v>1002</v>
      </c>
      <c r="B1003">
        <v>1</v>
      </c>
      <c r="C1003">
        <v>100</v>
      </c>
      <c r="D1003" s="2">
        <v>1</v>
      </c>
      <c r="E1003" s="2">
        <v>489.99</v>
      </c>
      <c r="F1003">
        <v>0.05</v>
      </c>
      <c r="G1003">
        <f t="shared" si="15"/>
        <v>489.94</v>
      </c>
      <c r="H1003" t="str">
        <f>VLOOKUP(C1003,'products '!$A$1:$G$322,2,FALSE)</f>
        <v>Electra Townie 3i EQ (20-inch) - Boys' - 2017</v>
      </c>
    </row>
    <row r="1004" spans="1:8" x14ac:dyDescent="0.3">
      <c r="A1004">
        <v>1003</v>
      </c>
      <c r="B1004">
        <v>1</v>
      </c>
      <c r="C1004">
        <v>34</v>
      </c>
      <c r="D1004" s="2">
        <v>2</v>
      </c>
      <c r="E1004" s="2">
        <v>469.99</v>
      </c>
      <c r="F1004">
        <v>0.05</v>
      </c>
      <c r="G1004">
        <f t="shared" si="15"/>
        <v>939.93000000000006</v>
      </c>
      <c r="H1004" t="str">
        <f>VLOOKUP(C1004,'products '!$A$1:$G$322,2,FALSE)</f>
        <v>Trek Session DH 27.5 Carbon Frameset - 2017</v>
      </c>
    </row>
    <row r="1005" spans="1:8" x14ac:dyDescent="0.3">
      <c r="A1005">
        <v>1004</v>
      </c>
      <c r="B1005">
        <v>1</v>
      </c>
      <c r="C1005">
        <v>36</v>
      </c>
      <c r="D1005" s="2">
        <v>2</v>
      </c>
      <c r="E1005" s="2">
        <v>832.99</v>
      </c>
      <c r="F1005">
        <v>0.1</v>
      </c>
      <c r="G1005">
        <f t="shared" si="15"/>
        <v>1665.88</v>
      </c>
      <c r="H1005" t="str">
        <f>VLOOKUP(C1005,'products '!$A$1:$G$322,2,FALSE)</f>
        <v>Surly Troll Frameset - 2017</v>
      </c>
    </row>
    <row r="1006" spans="1:8" x14ac:dyDescent="0.3">
      <c r="A1006">
        <v>1005</v>
      </c>
      <c r="B1006">
        <v>1</v>
      </c>
      <c r="C1006">
        <v>14</v>
      </c>
      <c r="D1006" s="2">
        <v>2</v>
      </c>
      <c r="E1006" s="2">
        <v>269.99</v>
      </c>
      <c r="F1006">
        <v>0.2</v>
      </c>
      <c r="G1006">
        <f t="shared" si="15"/>
        <v>539.78</v>
      </c>
      <c r="H1006" t="str">
        <f>VLOOKUP(C1006,'products '!$A$1:$G$322,2,FALSE)</f>
        <v>Electra Girl's Hawaii 1 (16-inch) - 2015/2016</v>
      </c>
    </row>
    <row r="1007" spans="1:8" x14ac:dyDescent="0.3">
      <c r="A1007">
        <v>1006</v>
      </c>
      <c r="B1007">
        <v>1</v>
      </c>
      <c r="C1007">
        <v>20</v>
      </c>
      <c r="D1007" s="2">
        <v>1</v>
      </c>
      <c r="E1007" s="2">
        <v>599.99</v>
      </c>
      <c r="F1007">
        <v>7.0000000000000007E-2</v>
      </c>
      <c r="G1007">
        <f t="shared" si="15"/>
        <v>599.91999999999996</v>
      </c>
      <c r="H1007" t="str">
        <f>VLOOKUP(C1007,'products '!$A$1:$G$322,2,FALSE)</f>
        <v>Electra Townie Original 7D EQ - Women's - 2016</v>
      </c>
    </row>
    <row r="1008" spans="1:8" x14ac:dyDescent="0.3">
      <c r="A1008">
        <v>1007</v>
      </c>
      <c r="B1008">
        <v>1</v>
      </c>
      <c r="C1008">
        <v>26</v>
      </c>
      <c r="D1008" s="2">
        <v>1</v>
      </c>
      <c r="E1008" s="2">
        <v>599.99</v>
      </c>
      <c r="F1008">
        <v>0.2</v>
      </c>
      <c r="G1008">
        <f t="shared" si="15"/>
        <v>599.79</v>
      </c>
      <c r="H1008" t="str">
        <f>VLOOKUP(C1008,'products '!$A$1:$G$322,2,FALSE)</f>
        <v>Electra Townie Original 7D EQ - 2016</v>
      </c>
    </row>
    <row r="1009" spans="1:8" x14ac:dyDescent="0.3">
      <c r="A1009">
        <v>1008</v>
      </c>
      <c r="B1009">
        <v>1</v>
      </c>
      <c r="C1009">
        <v>71</v>
      </c>
      <c r="D1009" s="2">
        <v>1</v>
      </c>
      <c r="E1009" s="2">
        <v>416.99</v>
      </c>
      <c r="F1009">
        <v>0.2</v>
      </c>
      <c r="G1009">
        <f t="shared" si="15"/>
        <v>416.79</v>
      </c>
      <c r="H1009" t="str">
        <f>VLOOKUP(C1009,'products '!$A$1:$G$322,2,FALSE)</f>
        <v>Sun Bicycles Atlas X-Type - 2017</v>
      </c>
    </row>
    <row r="1010" spans="1:8" x14ac:dyDescent="0.3">
      <c r="A1010">
        <v>1009</v>
      </c>
      <c r="B1010">
        <v>1</v>
      </c>
      <c r="C1010">
        <v>95</v>
      </c>
      <c r="D1010" s="2">
        <v>2</v>
      </c>
      <c r="E1010" s="2">
        <v>299.99</v>
      </c>
      <c r="F1010">
        <v>7.0000000000000007E-2</v>
      </c>
      <c r="G1010">
        <f t="shared" si="15"/>
        <v>599.91</v>
      </c>
      <c r="H1010" t="str">
        <f>VLOOKUP(C1010,'products '!$A$1:$G$322,2,FALSE)</f>
        <v>Electra Girl's Hawaii 1 16" - 2017</v>
      </c>
    </row>
    <row r="1011" spans="1:8" x14ac:dyDescent="0.3">
      <c r="A1011">
        <v>1010</v>
      </c>
      <c r="B1011">
        <v>1</v>
      </c>
      <c r="C1011">
        <v>109</v>
      </c>
      <c r="D1011" s="2">
        <v>2</v>
      </c>
      <c r="E1011" s="2">
        <v>416.99</v>
      </c>
      <c r="F1011">
        <v>0.1</v>
      </c>
      <c r="G1011">
        <f t="shared" si="15"/>
        <v>833.88</v>
      </c>
      <c r="H1011" t="str">
        <f>VLOOKUP(C1011,'products '!$A$1:$G$322,2,FALSE)</f>
        <v>Sun Bicycles Cruz 7 - Women's - 2017</v>
      </c>
    </row>
    <row r="1012" spans="1:8" x14ac:dyDescent="0.3">
      <c r="A1012">
        <v>1011</v>
      </c>
      <c r="B1012">
        <v>1</v>
      </c>
      <c r="C1012">
        <v>88</v>
      </c>
      <c r="D1012" s="2">
        <v>1</v>
      </c>
      <c r="E1012" s="2">
        <v>189.99</v>
      </c>
      <c r="F1012">
        <v>0.2</v>
      </c>
      <c r="G1012">
        <f t="shared" si="15"/>
        <v>189.79000000000002</v>
      </c>
      <c r="H1012" t="str">
        <f>VLOOKUP(C1012,'products '!$A$1:$G$322,2,FALSE)</f>
        <v>Trek Precaliber 12 Girls - 2017</v>
      </c>
    </row>
    <row r="1013" spans="1:8" x14ac:dyDescent="0.3">
      <c r="A1013">
        <v>1012</v>
      </c>
      <c r="B1013">
        <v>1</v>
      </c>
      <c r="C1013">
        <v>8</v>
      </c>
      <c r="D1013" s="2">
        <v>1</v>
      </c>
      <c r="E1013" s="2">
        <v>1799.99</v>
      </c>
      <c r="F1013">
        <v>7.0000000000000007E-2</v>
      </c>
      <c r="G1013">
        <f t="shared" si="15"/>
        <v>1799.92</v>
      </c>
      <c r="H1013" t="str">
        <f>VLOOKUP(C1013,'products '!$A$1:$G$322,2,FALSE)</f>
        <v>Trek Remedy 29 Carbon Frameset - 2016</v>
      </c>
    </row>
    <row r="1014" spans="1:8" x14ac:dyDescent="0.3">
      <c r="A1014">
        <v>1013</v>
      </c>
      <c r="B1014">
        <v>1</v>
      </c>
      <c r="C1014">
        <v>60</v>
      </c>
      <c r="D1014" s="2">
        <v>2</v>
      </c>
      <c r="E1014" s="2">
        <v>1559.99</v>
      </c>
      <c r="F1014">
        <v>0.05</v>
      </c>
      <c r="G1014">
        <f t="shared" si="15"/>
        <v>3119.93</v>
      </c>
      <c r="H1014" t="str">
        <f>VLOOKUP(C1014,'products '!$A$1:$G$322,2,FALSE)</f>
        <v>Sun Bicycles ElectroLite - 2017</v>
      </c>
    </row>
    <row r="1015" spans="1:8" x14ac:dyDescent="0.3">
      <c r="A1015">
        <v>1014</v>
      </c>
      <c r="B1015">
        <v>1</v>
      </c>
      <c r="C1015">
        <v>97</v>
      </c>
      <c r="D1015" s="2">
        <v>1</v>
      </c>
      <c r="E1015" s="2">
        <v>349.99</v>
      </c>
      <c r="F1015">
        <v>0.2</v>
      </c>
      <c r="G1015">
        <f t="shared" si="15"/>
        <v>349.79</v>
      </c>
      <c r="H1015" t="str">
        <f>VLOOKUP(C1015,'products '!$A$1:$G$322,2,FALSE)</f>
        <v>Electra Savannah 3i (20-inch) - Girl's - 2017</v>
      </c>
    </row>
    <row r="1016" spans="1:8" x14ac:dyDescent="0.3">
      <c r="A1016">
        <v>1015</v>
      </c>
      <c r="B1016">
        <v>1</v>
      </c>
      <c r="C1016">
        <v>6</v>
      </c>
      <c r="D1016" s="2">
        <v>2</v>
      </c>
      <c r="E1016" s="2">
        <v>469.99</v>
      </c>
      <c r="F1016">
        <v>0.1</v>
      </c>
      <c r="G1016">
        <f t="shared" si="15"/>
        <v>939.88</v>
      </c>
      <c r="H1016" t="str">
        <f>VLOOKUP(C1016,'products '!$A$1:$G$322,2,FALSE)</f>
        <v>Surly Ice Cream Truck Frameset - 2016</v>
      </c>
    </row>
    <row r="1017" spans="1:8" x14ac:dyDescent="0.3">
      <c r="A1017">
        <v>1016</v>
      </c>
      <c r="B1017">
        <v>1</v>
      </c>
      <c r="C1017">
        <v>76</v>
      </c>
      <c r="D1017" s="2">
        <v>2</v>
      </c>
      <c r="E1017" s="2">
        <v>299.99</v>
      </c>
      <c r="F1017">
        <v>7.0000000000000007E-2</v>
      </c>
      <c r="G1017">
        <f t="shared" si="15"/>
        <v>599.91</v>
      </c>
      <c r="H1017" t="str">
        <f>VLOOKUP(C1017,'products '!$A$1:$G$322,2,FALSE)</f>
        <v>Electra Girl's Hawaii 1 16" - 2017</v>
      </c>
    </row>
    <row r="1018" spans="1:8" x14ac:dyDescent="0.3">
      <c r="A1018">
        <v>1017</v>
      </c>
      <c r="B1018">
        <v>1</v>
      </c>
      <c r="C1018">
        <v>89</v>
      </c>
      <c r="D1018" s="2">
        <v>1</v>
      </c>
      <c r="E1018" s="2">
        <v>209.99</v>
      </c>
      <c r="F1018">
        <v>7.0000000000000007E-2</v>
      </c>
      <c r="G1018">
        <f t="shared" si="15"/>
        <v>209.92000000000002</v>
      </c>
      <c r="H1018" t="str">
        <f>VLOOKUP(C1018,'products '!$A$1:$G$322,2,FALSE)</f>
        <v>Trek Precaliber 16 Boys - 2017</v>
      </c>
    </row>
    <row r="1019" spans="1:8" x14ac:dyDescent="0.3">
      <c r="A1019">
        <v>1018</v>
      </c>
      <c r="B1019">
        <v>1</v>
      </c>
      <c r="C1019">
        <v>76</v>
      </c>
      <c r="D1019" s="2">
        <v>2</v>
      </c>
      <c r="E1019" s="2">
        <v>299.99</v>
      </c>
      <c r="F1019">
        <v>7.0000000000000007E-2</v>
      </c>
      <c r="G1019">
        <f t="shared" si="15"/>
        <v>599.91</v>
      </c>
      <c r="H1019" t="str">
        <f>VLOOKUP(C1019,'products '!$A$1:$G$322,2,FALSE)</f>
        <v>Electra Girl's Hawaii 1 16" - 2017</v>
      </c>
    </row>
    <row r="1020" spans="1:8" x14ac:dyDescent="0.3">
      <c r="A1020">
        <v>1019</v>
      </c>
      <c r="B1020">
        <v>1</v>
      </c>
      <c r="C1020">
        <v>30</v>
      </c>
      <c r="D1020" s="2">
        <v>1</v>
      </c>
      <c r="E1020" s="2">
        <v>999.99</v>
      </c>
      <c r="F1020">
        <v>0.1</v>
      </c>
      <c r="G1020">
        <f t="shared" si="15"/>
        <v>999.89</v>
      </c>
      <c r="H1020" t="str">
        <f>VLOOKUP(C1020,'products '!$A$1:$G$322,2,FALSE)</f>
        <v>Surly Ice Cream Truck Frameset - 2017</v>
      </c>
    </row>
    <row r="1021" spans="1:8" x14ac:dyDescent="0.3">
      <c r="A1021">
        <v>1020</v>
      </c>
      <c r="B1021">
        <v>1</v>
      </c>
      <c r="C1021">
        <v>20</v>
      </c>
      <c r="D1021" s="2">
        <v>2</v>
      </c>
      <c r="E1021" s="2">
        <v>599.99</v>
      </c>
      <c r="F1021">
        <v>0.05</v>
      </c>
      <c r="G1021">
        <f t="shared" si="15"/>
        <v>1199.93</v>
      </c>
      <c r="H1021" t="str">
        <f>VLOOKUP(C1021,'products '!$A$1:$G$322,2,FALSE)</f>
        <v>Electra Townie Original 7D EQ - Women's - 2016</v>
      </c>
    </row>
    <row r="1022" spans="1:8" x14ac:dyDescent="0.3">
      <c r="A1022">
        <v>1021</v>
      </c>
      <c r="B1022">
        <v>1</v>
      </c>
      <c r="C1022">
        <v>49</v>
      </c>
      <c r="D1022" s="2">
        <v>2</v>
      </c>
      <c r="E1022" s="2">
        <v>3499.99</v>
      </c>
      <c r="F1022">
        <v>7.0000000000000007E-2</v>
      </c>
      <c r="G1022">
        <f t="shared" si="15"/>
        <v>6999.91</v>
      </c>
      <c r="H1022" t="str">
        <f>VLOOKUP(C1022,'products '!$A$1:$G$322,2,FALSE)</f>
        <v>Trek Domane SL 6 - 2017</v>
      </c>
    </row>
    <row r="1023" spans="1:8" x14ac:dyDescent="0.3">
      <c r="A1023">
        <v>1022</v>
      </c>
      <c r="B1023">
        <v>1</v>
      </c>
      <c r="C1023">
        <v>33</v>
      </c>
      <c r="D1023" s="2">
        <v>1</v>
      </c>
      <c r="E1023" s="2">
        <v>469.99</v>
      </c>
      <c r="F1023">
        <v>0.2</v>
      </c>
      <c r="G1023">
        <f t="shared" si="15"/>
        <v>469.79</v>
      </c>
      <c r="H1023" t="str">
        <f>VLOOKUP(C1023,'products '!$A$1:$G$322,2,FALSE)</f>
        <v>Surly Wednesday Frameset - 2017</v>
      </c>
    </row>
    <row r="1024" spans="1:8" x14ac:dyDescent="0.3">
      <c r="A1024">
        <v>1023</v>
      </c>
      <c r="B1024">
        <v>1</v>
      </c>
      <c r="C1024">
        <v>91</v>
      </c>
      <c r="D1024" s="2">
        <v>1</v>
      </c>
      <c r="E1024" s="2">
        <v>349.99</v>
      </c>
      <c r="F1024">
        <v>7.0000000000000007E-2</v>
      </c>
      <c r="G1024">
        <f t="shared" si="15"/>
        <v>349.92</v>
      </c>
      <c r="H1024" t="str">
        <f>VLOOKUP(C1024,'products '!$A$1:$G$322,2,FALSE)</f>
        <v>Trek Precaliber 24 (21-Speed) - Girls - 2017</v>
      </c>
    </row>
    <row r="1025" spans="1:8" x14ac:dyDescent="0.3">
      <c r="A1025">
        <v>1024</v>
      </c>
      <c r="B1025">
        <v>1</v>
      </c>
      <c r="C1025">
        <v>104</v>
      </c>
      <c r="D1025" s="2">
        <v>1</v>
      </c>
      <c r="E1025" s="2">
        <v>481.99</v>
      </c>
      <c r="F1025">
        <v>0.2</v>
      </c>
      <c r="G1025">
        <f t="shared" si="15"/>
        <v>481.79</v>
      </c>
      <c r="H1025" t="str">
        <f>VLOOKUP(C1025,'products '!$A$1:$G$322,2,FALSE)</f>
        <v>Sun Bicycles Streamway - 2017</v>
      </c>
    </row>
    <row r="1026" spans="1:8" x14ac:dyDescent="0.3">
      <c r="A1026">
        <v>1025</v>
      </c>
      <c r="B1026">
        <v>1</v>
      </c>
      <c r="C1026">
        <v>89</v>
      </c>
      <c r="D1026" s="2">
        <v>1</v>
      </c>
      <c r="E1026" s="2">
        <v>209.99</v>
      </c>
      <c r="F1026">
        <v>7.0000000000000007E-2</v>
      </c>
      <c r="G1026">
        <f t="shared" si="15"/>
        <v>209.92000000000002</v>
      </c>
      <c r="H1026" t="str">
        <f>VLOOKUP(C1026,'products '!$A$1:$G$322,2,FALSE)</f>
        <v>Trek Precaliber 16 Boys - 2017</v>
      </c>
    </row>
    <row r="1027" spans="1:8" x14ac:dyDescent="0.3">
      <c r="A1027">
        <v>1026</v>
      </c>
      <c r="B1027">
        <v>1</v>
      </c>
      <c r="C1027">
        <v>7</v>
      </c>
      <c r="D1027" s="2">
        <v>2</v>
      </c>
      <c r="E1027" s="2">
        <v>3999.99</v>
      </c>
      <c r="F1027">
        <v>7.0000000000000007E-2</v>
      </c>
      <c r="G1027">
        <f t="shared" ref="G1027:G1090" si="16">E1027*D1027-F1027</f>
        <v>7999.91</v>
      </c>
      <c r="H1027" t="str">
        <f>VLOOKUP(C1027,'products '!$A$1:$G$322,2,FALSE)</f>
        <v>Trek Slash 8 27.5 - 2016</v>
      </c>
    </row>
    <row r="1028" spans="1:8" x14ac:dyDescent="0.3">
      <c r="A1028">
        <v>1027</v>
      </c>
      <c r="B1028">
        <v>1</v>
      </c>
      <c r="C1028">
        <v>95</v>
      </c>
      <c r="D1028" s="2">
        <v>2</v>
      </c>
      <c r="E1028" s="2">
        <v>299.99</v>
      </c>
      <c r="F1028">
        <v>0.1</v>
      </c>
      <c r="G1028">
        <f t="shared" si="16"/>
        <v>599.88</v>
      </c>
      <c r="H1028" t="str">
        <f>VLOOKUP(C1028,'products '!$A$1:$G$322,2,FALSE)</f>
        <v>Electra Girl's Hawaii 1 16" - 2017</v>
      </c>
    </row>
    <row r="1029" spans="1:8" x14ac:dyDescent="0.3">
      <c r="A1029">
        <v>1028</v>
      </c>
      <c r="B1029">
        <v>1</v>
      </c>
      <c r="C1029">
        <v>111</v>
      </c>
      <c r="D1029" s="2">
        <v>2</v>
      </c>
      <c r="E1029" s="2">
        <v>470.99</v>
      </c>
      <c r="F1029">
        <v>0.1</v>
      </c>
      <c r="G1029">
        <f t="shared" si="16"/>
        <v>941.88</v>
      </c>
      <c r="H1029" t="str">
        <f>VLOOKUP(C1029,'products '!$A$1:$G$322,2,FALSE)</f>
        <v>Sun Bicycles Drifter 7 - Women's - 2017</v>
      </c>
    </row>
    <row r="1030" spans="1:8" x14ac:dyDescent="0.3">
      <c r="A1030">
        <v>1029</v>
      </c>
      <c r="B1030">
        <v>1</v>
      </c>
      <c r="C1030">
        <v>20</v>
      </c>
      <c r="D1030" s="2">
        <v>1</v>
      </c>
      <c r="E1030" s="2">
        <v>599.99</v>
      </c>
      <c r="F1030">
        <v>0.2</v>
      </c>
      <c r="G1030">
        <f t="shared" si="16"/>
        <v>599.79</v>
      </c>
      <c r="H1030" t="str">
        <f>VLOOKUP(C1030,'products '!$A$1:$G$322,2,FALSE)</f>
        <v>Electra Townie Original 7D EQ - Women's - 2016</v>
      </c>
    </row>
    <row r="1031" spans="1:8" x14ac:dyDescent="0.3">
      <c r="A1031">
        <v>1030</v>
      </c>
      <c r="B1031">
        <v>1</v>
      </c>
      <c r="C1031">
        <v>27</v>
      </c>
      <c r="D1031" s="2">
        <v>1</v>
      </c>
      <c r="E1031" s="2">
        <v>999.99</v>
      </c>
      <c r="F1031">
        <v>0.05</v>
      </c>
      <c r="G1031">
        <f t="shared" si="16"/>
        <v>999.94</v>
      </c>
      <c r="H1031" t="str">
        <f>VLOOKUP(C1031,'products '!$A$1:$G$322,2,FALSE)</f>
        <v>Surly Big Dummy Frameset - 2017</v>
      </c>
    </row>
    <row r="1032" spans="1:8" x14ac:dyDescent="0.3">
      <c r="A1032">
        <v>1031</v>
      </c>
      <c r="B1032">
        <v>1</v>
      </c>
      <c r="C1032">
        <v>27</v>
      </c>
      <c r="D1032" s="2">
        <v>2</v>
      </c>
      <c r="E1032" s="2">
        <v>999.99</v>
      </c>
      <c r="F1032">
        <v>0.2</v>
      </c>
      <c r="G1032">
        <f t="shared" si="16"/>
        <v>1999.78</v>
      </c>
      <c r="H1032" t="str">
        <f>VLOOKUP(C1032,'products '!$A$1:$G$322,2,FALSE)</f>
        <v>Surly Big Dummy Frameset - 2017</v>
      </c>
    </row>
    <row r="1033" spans="1:8" x14ac:dyDescent="0.3">
      <c r="A1033">
        <v>1032</v>
      </c>
      <c r="B1033">
        <v>1</v>
      </c>
      <c r="C1033">
        <v>60</v>
      </c>
      <c r="D1033" s="2">
        <v>2</v>
      </c>
      <c r="E1033" s="2">
        <v>1559.99</v>
      </c>
      <c r="F1033">
        <v>0.1</v>
      </c>
      <c r="G1033">
        <f t="shared" si="16"/>
        <v>3119.88</v>
      </c>
      <c r="H1033" t="str">
        <f>VLOOKUP(C1033,'products '!$A$1:$G$322,2,FALSE)</f>
        <v>Sun Bicycles ElectroLite - 2017</v>
      </c>
    </row>
    <row r="1034" spans="1:8" x14ac:dyDescent="0.3">
      <c r="A1034">
        <v>1033</v>
      </c>
      <c r="B1034">
        <v>1</v>
      </c>
      <c r="C1034">
        <v>26</v>
      </c>
      <c r="D1034" s="2">
        <v>1</v>
      </c>
      <c r="E1034" s="2">
        <v>599.99</v>
      </c>
      <c r="F1034">
        <v>7.0000000000000007E-2</v>
      </c>
      <c r="G1034">
        <f t="shared" si="16"/>
        <v>599.91999999999996</v>
      </c>
      <c r="H1034" t="str">
        <f>VLOOKUP(C1034,'products '!$A$1:$G$322,2,FALSE)</f>
        <v>Electra Townie Original 7D EQ - 2016</v>
      </c>
    </row>
    <row r="1035" spans="1:8" x14ac:dyDescent="0.3">
      <c r="A1035">
        <v>1034</v>
      </c>
      <c r="B1035">
        <v>1</v>
      </c>
      <c r="C1035">
        <v>101</v>
      </c>
      <c r="D1035" s="2">
        <v>1</v>
      </c>
      <c r="E1035" s="2">
        <v>339.99</v>
      </c>
      <c r="F1035">
        <v>0.1</v>
      </c>
      <c r="G1035">
        <f t="shared" si="16"/>
        <v>339.89</v>
      </c>
      <c r="H1035" t="str">
        <f>VLOOKUP(C1035,'products '!$A$1:$G$322,2,FALSE)</f>
        <v>Electra Townie 7D (20-inch) - Boys' - 2017</v>
      </c>
    </row>
    <row r="1036" spans="1:8" x14ac:dyDescent="0.3">
      <c r="A1036">
        <v>1035</v>
      </c>
      <c r="B1036">
        <v>1</v>
      </c>
      <c r="C1036">
        <v>96</v>
      </c>
      <c r="D1036" s="2">
        <v>1</v>
      </c>
      <c r="E1036" s="2">
        <v>349.99</v>
      </c>
      <c r="F1036">
        <v>0.2</v>
      </c>
      <c r="G1036">
        <f t="shared" si="16"/>
        <v>349.79</v>
      </c>
      <c r="H1036" t="str">
        <f>VLOOKUP(C1036,'products '!$A$1:$G$322,2,FALSE)</f>
        <v>Electra Moto 3i (20-inch) - Boy's - 2017</v>
      </c>
    </row>
    <row r="1037" spans="1:8" x14ac:dyDescent="0.3">
      <c r="A1037">
        <v>1036</v>
      </c>
      <c r="B1037">
        <v>1</v>
      </c>
      <c r="C1037">
        <v>55</v>
      </c>
      <c r="D1037" s="2">
        <v>2</v>
      </c>
      <c r="E1037" s="2">
        <v>2699.99</v>
      </c>
      <c r="F1037">
        <v>0.1</v>
      </c>
      <c r="G1037">
        <f t="shared" si="16"/>
        <v>5399.8799999999992</v>
      </c>
      <c r="H1037" t="str">
        <f>VLOOKUP(C1037,'products '!$A$1:$G$322,2,FALSE)</f>
        <v>Trek Domane S 6 - 2017</v>
      </c>
    </row>
    <row r="1038" spans="1:8" x14ac:dyDescent="0.3">
      <c r="A1038">
        <v>1037</v>
      </c>
      <c r="B1038">
        <v>1</v>
      </c>
      <c r="C1038">
        <v>74</v>
      </c>
      <c r="D1038" s="2">
        <v>2</v>
      </c>
      <c r="E1038" s="2">
        <v>439.99</v>
      </c>
      <c r="F1038">
        <v>7.0000000000000007E-2</v>
      </c>
      <c r="G1038">
        <f t="shared" si="16"/>
        <v>879.91</v>
      </c>
      <c r="H1038" t="str">
        <f>VLOOKUP(C1038,'products '!$A$1:$G$322,2,FALSE)</f>
        <v>Electra Cruiser Lux 1 - 2017</v>
      </c>
    </row>
    <row r="1039" spans="1:8" x14ac:dyDescent="0.3">
      <c r="A1039">
        <v>1038</v>
      </c>
      <c r="B1039">
        <v>1</v>
      </c>
      <c r="C1039">
        <v>83</v>
      </c>
      <c r="D1039" s="2">
        <v>1</v>
      </c>
      <c r="E1039" s="2">
        <v>149.99</v>
      </c>
      <c r="F1039">
        <v>0.05</v>
      </c>
      <c r="G1039">
        <f t="shared" si="16"/>
        <v>149.94</v>
      </c>
      <c r="H1039" t="str">
        <f>VLOOKUP(C1039,'products '!$A$1:$G$322,2,FALSE)</f>
        <v>Trek Boy's Kickster - 2015/2017</v>
      </c>
    </row>
    <row r="1040" spans="1:8" x14ac:dyDescent="0.3">
      <c r="A1040">
        <v>1039</v>
      </c>
      <c r="B1040">
        <v>1</v>
      </c>
      <c r="C1040">
        <v>18</v>
      </c>
      <c r="D1040" s="2">
        <v>2</v>
      </c>
      <c r="E1040" s="2">
        <v>449</v>
      </c>
      <c r="F1040">
        <v>0.2</v>
      </c>
      <c r="G1040">
        <f t="shared" si="16"/>
        <v>897.8</v>
      </c>
      <c r="H1040" t="str">
        <f>VLOOKUP(C1040,'products '!$A$1:$G$322,2,FALSE)</f>
        <v>Pure Cycles Western 3-Speed - Women's - 2015/2016</v>
      </c>
    </row>
    <row r="1041" spans="1:8" x14ac:dyDescent="0.3">
      <c r="A1041">
        <v>1040</v>
      </c>
      <c r="B1041">
        <v>1</v>
      </c>
      <c r="C1041">
        <v>97</v>
      </c>
      <c r="D1041" s="2">
        <v>1</v>
      </c>
      <c r="E1041" s="2">
        <v>349.99</v>
      </c>
      <c r="F1041">
        <v>0.1</v>
      </c>
      <c r="G1041">
        <f t="shared" si="16"/>
        <v>349.89</v>
      </c>
      <c r="H1041" t="str">
        <f>VLOOKUP(C1041,'products '!$A$1:$G$322,2,FALSE)</f>
        <v>Electra Savannah 3i (20-inch) - Girl's - 2017</v>
      </c>
    </row>
    <row r="1042" spans="1:8" x14ac:dyDescent="0.3">
      <c r="A1042">
        <v>1041</v>
      </c>
      <c r="B1042">
        <v>1</v>
      </c>
      <c r="C1042">
        <v>89</v>
      </c>
      <c r="D1042" s="2">
        <v>1</v>
      </c>
      <c r="E1042" s="2">
        <v>209.99</v>
      </c>
      <c r="F1042">
        <v>0.1</v>
      </c>
      <c r="G1042">
        <f t="shared" si="16"/>
        <v>209.89000000000001</v>
      </c>
      <c r="H1042" t="str">
        <f>VLOOKUP(C1042,'products '!$A$1:$G$322,2,FALSE)</f>
        <v>Trek Precaliber 16 Boys - 2017</v>
      </c>
    </row>
    <row r="1043" spans="1:8" x14ac:dyDescent="0.3">
      <c r="A1043">
        <v>1042</v>
      </c>
      <c r="B1043">
        <v>1</v>
      </c>
      <c r="C1043">
        <v>23</v>
      </c>
      <c r="D1043" s="2">
        <v>1</v>
      </c>
      <c r="E1043" s="2">
        <v>299.99</v>
      </c>
      <c r="F1043">
        <v>0.1</v>
      </c>
      <c r="G1043">
        <f t="shared" si="16"/>
        <v>299.89</v>
      </c>
      <c r="H1043" t="str">
        <f>VLOOKUP(C1043,'products '!$A$1:$G$322,2,FALSE)</f>
        <v>Electra Girl's Hawaii 1 (20-inch) - 2015/2016</v>
      </c>
    </row>
    <row r="1044" spans="1:8" x14ac:dyDescent="0.3">
      <c r="A1044">
        <v>1043</v>
      </c>
      <c r="B1044">
        <v>1</v>
      </c>
      <c r="C1044">
        <v>55</v>
      </c>
      <c r="D1044" s="2">
        <v>2</v>
      </c>
      <c r="E1044" s="2">
        <v>2699.99</v>
      </c>
      <c r="F1044">
        <v>0.1</v>
      </c>
      <c r="G1044">
        <f t="shared" si="16"/>
        <v>5399.8799999999992</v>
      </c>
      <c r="H1044" t="str">
        <f>VLOOKUP(C1044,'products '!$A$1:$G$322,2,FALSE)</f>
        <v>Trek Domane S 6 - 2017</v>
      </c>
    </row>
    <row r="1045" spans="1:8" x14ac:dyDescent="0.3">
      <c r="A1045">
        <v>1044</v>
      </c>
      <c r="B1045">
        <v>1</v>
      </c>
      <c r="C1045">
        <v>97</v>
      </c>
      <c r="D1045" s="2">
        <v>2</v>
      </c>
      <c r="E1045" s="2">
        <v>349.99</v>
      </c>
      <c r="F1045">
        <v>0.1</v>
      </c>
      <c r="G1045">
        <f t="shared" si="16"/>
        <v>699.88</v>
      </c>
      <c r="H1045" t="str">
        <f>VLOOKUP(C1045,'products '!$A$1:$G$322,2,FALSE)</f>
        <v>Electra Savannah 3i (20-inch) - Girl's - 2017</v>
      </c>
    </row>
    <row r="1046" spans="1:8" x14ac:dyDescent="0.3">
      <c r="A1046">
        <v>1045</v>
      </c>
      <c r="B1046">
        <v>1</v>
      </c>
      <c r="C1046">
        <v>28</v>
      </c>
      <c r="D1046" s="2">
        <v>1</v>
      </c>
      <c r="E1046" s="2">
        <v>2499.9899999999998</v>
      </c>
      <c r="F1046">
        <v>0.05</v>
      </c>
      <c r="G1046">
        <f t="shared" si="16"/>
        <v>2499.9399999999996</v>
      </c>
      <c r="H1046" t="str">
        <f>VLOOKUP(C1046,'products '!$A$1:$G$322,2,FALSE)</f>
        <v>Surly Karate Monkey 27.5+ Frameset - 2017</v>
      </c>
    </row>
    <row r="1047" spans="1:8" x14ac:dyDescent="0.3">
      <c r="A1047">
        <v>1046</v>
      </c>
      <c r="B1047">
        <v>1</v>
      </c>
      <c r="C1047">
        <v>60</v>
      </c>
      <c r="D1047" s="2">
        <v>1</v>
      </c>
      <c r="E1047" s="2">
        <v>1559.99</v>
      </c>
      <c r="F1047">
        <v>7.0000000000000007E-2</v>
      </c>
      <c r="G1047">
        <f t="shared" si="16"/>
        <v>1559.92</v>
      </c>
      <c r="H1047" t="str">
        <f>VLOOKUP(C1047,'products '!$A$1:$G$322,2,FALSE)</f>
        <v>Sun Bicycles ElectroLite - 2017</v>
      </c>
    </row>
    <row r="1048" spans="1:8" x14ac:dyDescent="0.3">
      <c r="A1048">
        <v>1047</v>
      </c>
      <c r="B1048">
        <v>1</v>
      </c>
      <c r="C1048">
        <v>28</v>
      </c>
      <c r="D1048" s="2">
        <v>2</v>
      </c>
      <c r="E1048" s="2">
        <v>2499.9899999999998</v>
      </c>
      <c r="F1048">
        <v>0.1</v>
      </c>
      <c r="G1048">
        <f t="shared" si="16"/>
        <v>4999.8799999999992</v>
      </c>
      <c r="H1048" t="str">
        <f>VLOOKUP(C1048,'products '!$A$1:$G$322,2,FALSE)</f>
        <v>Surly Karate Monkey 27.5+ Frameset - 2017</v>
      </c>
    </row>
    <row r="1049" spans="1:8" x14ac:dyDescent="0.3">
      <c r="A1049">
        <v>1048</v>
      </c>
      <c r="B1049">
        <v>1</v>
      </c>
      <c r="C1049">
        <v>3</v>
      </c>
      <c r="D1049" s="2">
        <v>2</v>
      </c>
      <c r="E1049" s="2">
        <v>999.99</v>
      </c>
      <c r="F1049">
        <v>0.1</v>
      </c>
      <c r="G1049">
        <f t="shared" si="16"/>
        <v>1999.88</v>
      </c>
      <c r="H1049" t="str">
        <f>VLOOKUP(C1049,'products '!$A$1:$G$322,2,FALSE)</f>
        <v>Surly Wednesday Frameset - 2016</v>
      </c>
    </row>
    <row r="1050" spans="1:8" x14ac:dyDescent="0.3">
      <c r="A1050">
        <v>1049</v>
      </c>
      <c r="B1050">
        <v>1</v>
      </c>
      <c r="C1050">
        <v>9</v>
      </c>
      <c r="D1050" s="2">
        <v>1</v>
      </c>
      <c r="E1050" s="2">
        <v>2999.99</v>
      </c>
      <c r="F1050">
        <v>0.1</v>
      </c>
      <c r="G1050">
        <f t="shared" si="16"/>
        <v>2999.89</v>
      </c>
      <c r="H1050" t="str">
        <f>VLOOKUP(C1050,'products '!$A$1:$G$322,2,FALSE)</f>
        <v>Trek Conduit+ - 2016</v>
      </c>
    </row>
    <row r="1051" spans="1:8" x14ac:dyDescent="0.3">
      <c r="A1051">
        <v>1050</v>
      </c>
      <c r="B1051">
        <v>1</v>
      </c>
      <c r="C1051">
        <v>96</v>
      </c>
      <c r="D1051" s="2">
        <v>2</v>
      </c>
      <c r="E1051" s="2">
        <v>349.99</v>
      </c>
      <c r="F1051">
        <v>7.0000000000000007E-2</v>
      </c>
      <c r="G1051">
        <f t="shared" si="16"/>
        <v>699.91</v>
      </c>
      <c r="H1051" t="str">
        <f>VLOOKUP(C1051,'products '!$A$1:$G$322,2,FALSE)</f>
        <v>Electra Moto 3i (20-inch) - Boy's - 2017</v>
      </c>
    </row>
    <row r="1052" spans="1:8" x14ac:dyDescent="0.3">
      <c r="A1052">
        <v>1051</v>
      </c>
      <c r="B1052">
        <v>1</v>
      </c>
      <c r="C1052">
        <v>46</v>
      </c>
      <c r="D1052" s="2">
        <v>1</v>
      </c>
      <c r="E1052" s="2">
        <v>1409.99</v>
      </c>
      <c r="F1052">
        <v>0.2</v>
      </c>
      <c r="G1052">
        <f t="shared" si="16"/>
        <v>1409.79</v>
      </c>
      <c r="H1052" t="str">
        <f>VLOOKUP(C1052,'products '!$A$1:$G$322,2,FALSE)</f>
        <v>Haro SR 1.3 - 2017</v>
      </c>
    </row>
    <row r="1053" spans="1:8" x14ac:dyDescent="0.3">
      <c r="A1053">
        <v>1052</v>
      </c>
      <c r="B1053">
        <v>1</v>
      </c>
      <c r="C1053">
        <v>7</v>
      </c>
      <c r="D1053" s="2">
        <v>1</v>
      </c>
      <c r="E1053" s="2">
        <v>3999.99</v>
      </c>
      <c r="F1053">
        <v>0.05</v>
      </c>
      <c r="G1053">
        <f t="shared" si="16"/>
        <v>3999.9399999999996</v>
      </c>
      <c r="H1053" t="str">
        <f>VLOOKUP(C1053,'products '!$A$1:$G$322,2,FALSE)</f>
        <v>Trek Slash 8 27.5 - 2016</v>
      </c>
    </row>
    <row r="1054" spans="1:8" x14ac:dyDescent="0.3">
      <c r="A1054">
        <v>1053</v>
      </c>
      <c r="B1054">
        <v>1</v>
      </c>
      <c r="C1054">
        <v>49</v>
      </c>
      <c r="D1054" s="2">
        <v>2</v>
      </c>
      <c r="E1054" s="2">
        <v>3499.99</v>
      </c>
      <c r="F1054">
        <v>0.05</v>
      </c>
      <c r="G1054">
        <f t="shared" si="16"/>
        <v>6999.9299999999994</v>
      </c>
      <c r="H1054" t="str">
        <f>VLOOKUP(C1054,'products '!$A$1:$G$322,2,FALSE)</f>
        <v>Trek Domane SL 6 - 2017</v>
      </c>
    </row>
    <row r="1055" spans="1:8" x14ac:dyDescent="0.3">
      <c r="A1055">
        <v>1054</v>
      </c>
      <c r="B1055">
        <v>1</v>
      </c>
      <c r="C1055">
        <v>36</v>
      </c>
      <c r="D1055" s="2">
        <v>2</v>
      </c>
      <c r="E1055" s="2">
        <v>832.99</v>
      </c>
      <c r="F1055">
        <v>0.1</v>
      </c>
      <c r="G1055">
        <f t="shared" si="16"/>
        <v>1665.88</v>
      </c>
      <c r="H1055" t="str">
        <f>VLOOKUP(C1055,'products '!$A$1:$G$322,2,FALSE)</f>
        <v>Surly Troll Frameset - 2017</v>
      </c>
    </row>
    <row r="1056" spans="1:8" x14ac:dyDescent="0.3">
      <c r="A1056">
        <v>1055</v>
      </c>
      <c r="B1056">
        <v>1</v>
      </c>
      <c r="C1056">
        <v>43</v>
      </c>
      <c r="D1056" s="2">
        <v>2</v>
      </c>
      <c r="E1056" s="2">
        <v>5299.99</v>
      </c>
      <c r="F1056">
        <v>7.0000000000000007E-2</v>
      </c>
      <c r="G1056">
        <f t="shared" si="16"/>
        <v>10599.91</v>
      </c>
      <c r="H1056" t="str">
        <f>VLOOKUP(C1056,'products '!$A$1:$G$322,2,FALSE)</f>
        <v>Trek Fuel EX 9.8 27.5 Plus - 2017</v>
      </c>
    </row>
    <row r="1057" spans="1:8" x14ac:dyDescent="0.3">
      <c r="A1057">
        <v>1056</v>
      </c>
      <c r="B1057">
        <v>1</v>
      </c>
      <c r="C1057">
        <v>3</v>
      </c>
      <c r="D1057" s="2">
        <v>1</v>
      </c>
      <c r="E1057" s="2">
        <v>999.99</v>
      </c>
      <c r="F1057">
        <v>0.05</v>
      </c>
      <c r="G1057">
        <f t="shared" si="16"/>
        <v>999.94</v>
      </c>
      <c r="H1057" t="str">
        <f>VLOOKUP(C1057,'products '!$A$1:$G$322,2,FALSE)</f>
        <v>Surly Wednesday Frameset - 2016</v>
      </c>
    </row>
    <row r="1058" spans="1:8" x14ac:dyDescent="0.3">
      <c r="A1058">
        <v>1057</v>
      </c>
      <c r="B1058">
        <v>1</v>
      </c>
      <c r="C1058">
        <v>105</v>
      </c>
      <c r="D1058" s="2">
        <v>1</v>
      </c>
      <c r="E1058" s="2">
        <v>533.99</v>
      </c>
      <c r="F1058">
        <v>0.2</v>
      </c>
      <c r="G1058">
        <f t="shared" si="16"/>
        <v>533.79</v>
      </c>
      <c r="H1058" t="str">
        <f>VLOOKUP(C1058,'products '!$A$1:$G$322,2,FALSE)</f>
        <v>Sun Bicycles Streamway 7 - 2017</v>
      </c>
    </row>
    <row r="1059" spans="1:8" x14ac:dyDescent="0.3">
      <c r="A1059">
        <v>1058</v>
      </c>
      <c r="B1059">
        <v>1</v>
      </c>
      <c r="C1059">
        <v>43</v>
      </c>
      <c r="D1059" s="2">
        <v>1</v>
      </c>
      <c r="E1059" s="2">
        <v>5299.99</v>
      </c>
      <c r="F1059">
        <v>0.1</v>
      </c>
      <c r="G1059">
        <f t="shared" si="16"/>
        <v>5299.8899999999994</v>
      </c>
      <c r="H1059" t="str">
        <f>VLOOKUP(C1059,'products '!$A$1:$G$322,2,FALSE)</f>
        <v>Trek Fuel EX 9.8 27.5 Plus - 2017</v>
      </c>
    </row>
    <row r="1060" spans="1:8" x14ac:dyDescent="0.3">
      <c r="A1060">
        <v>1059</v>
      </c>
      <c r="B1060">
        <v>1</v>
      </c>
      <c r="C1060">
        <v>46</v>
      </c>
      <c r="D1060" s="2">
        <v>2</v>
      </c>
      <c r="E1060" s="2">
        <v>1409.99</v>
      </c>
      <c r="F1060">
        <v>0.05</v>
      </c>
      <c r="G1060">
        <f t="shared" si="16"/>
        <v>2819.93</v>
      </c>
      <c r="H1060" t="str">
        <f>VLOOKUP(C1060,'products '!$A$1:$G$322,2,FALSE)</f>
        <v>Haro SR 1.3 - 2017</v>
      </c>
    </row>
    <row r="1061" spans="1:8" x14ac:dyDescent="0.3">
      <c r="A1061">
        <v>1060</v>
      </c>
      <c r="B1061">
        <v>1</v>
      </c>
      <c r="C1061">
        <v>7</v>
      </c>
      <c r="D1061" s="2">
        <v>1</v>
      </c>
      <c r="E1061" s="2">
        <v>3999.99</v>
      </c>
      <c r="F1061">
        <v>7.0000000000000007E-2</v>
      </c>
      <c r="G1061">
        <f t="shared" si="16"/>
        <v>3999.9199999999996</v>
      </c>
      <c r="H1061" t="str">
        <f>VLOOKUP(C1061,'products '!$A$1:$G$322,2,FALSE)</f>
        <v>Trek Slash 8 27.5 - 2016</v>
      </c>
    </row>
    <row r="1062" spans="1:8" x14ac:dyDescent="0.3">
      <c r="A1062">
        <v>1061</v>
      </c>
      <c r="B1062">
        <v>1</v>
      </c>
      <c r="C1062">
        <v>14</v>
      </c>
      <c r="D1062" s="2">
        <v>1</v>
      </c>
      <c r="E1062" s="2">
        <v>269.99</v>
      </c>
      <c r="F1062">
        <v>7.0000000000000007E-2</v>
      </c>
      <c r="G1062">
        <f t="shared" si="16"/>
        <v>269.92</v>
      </c>
      <c r="H1062" t="str">
        <f>VLOOKUP(C1062,'products '!$A$1:$G$322,2,FALSE)</f>
        <v>Electra Girl's Hawaii 1 (16-inch) - 2015/2016</v>
      </c>
    </row>
    <row r="1063" spans="1:8" x14ac:dyDescent="0.3">
      <c r="A1063">
        <v>1062</v>
      </c>
      <c r="B1063">
        <v>1</v>
      </c>
      <c r="C1063">
        <v>13</v>
      </c>
      <c r="D1063" s="2">
        <v>1</v>
      </c>
      <c r="E1063" s="2">
        <v>269.99</v>
      </c>
      <c r="F1063">
        <v>0.05</v>
      </c>
      <c r="G1063">
        <f t="shared" si="16"/>
        <v>269.94</v>
      </c>
      <c r="H1063" t="str">
        <f>VLOOKUP(C1063,'products '!$A$1:$G$322,2,FALSE)</f>
        <v>Electra Cruiser 1 (24-Inch) - 2016</v>
      </c>
    </row>
    <row r="1064" spans="1:8" x14ac:dyDescent="0.3">
      <c r="A1064">
        <v>1063</v>
      </c>
      <c r="B1064">
        <v>1</v>
      </c>
      <c r="C1064">
        <v>33</v>
      </c>
      <c r="D1064" s="2">
        <v>2</v>
      </c>
      <c r="E1064" s="2">
        <v>469.99</v>
      </c>
      <c r="F1064">
        <v>0.1</v>
      </c>
      <c r="G1064">
        <f t="shared" si="16"/>
        <v>939.88</v>
      </c>
      <c r="H1064" t="str">
        <f>VLOOKUP(C1064,'products '!$A$1:$G$322,2,FALSE)</f>
        <v>Surly Wednesday Frameset - 2017</v>
      </c>
    </row>
    <row r="1065" spans="1:8" x14ac:dyDescent="0.3">
      <c r="A1065">
        <v>1064</v>
      </c>
      <c r="B1065">
        <v>1</v>
      </c>
      <c r="C1065">
        <v>18</v>
      </c>
      <c r="D1065" s="2">
        <v>1</v>
      </c>
      <c r="E1065" s="2">
        <v>449</v>
      </c>
      <c r="F1065">
        <v>7.0000000000000007E-2</v>
      </c>
      <c r="G1065">
        <f t="shared" si="16"/>
        <v>448.93</v>
      </c>
      <c r="H1065" t="str">
        <f>VLOOKUP(C1065,'products '!$A$1:$G$322,2,FALSE)</f>
        <v>Pure Cycles Western 3-Speed - Women's - 2015/2016</v>
      </c>
    </row>
    <row r="1066" spans="1:8" x14ac:dyDescent="0.3">
      <c r="A1066">
        <v>1065</v>
      </c>
      <c r="B1066">
        <v>1</v>
      </c>
      <c r="C1066">
        <v>48</v>
      </c>
      <c r="D1066" s="2">
        <v>2</v>
      </c>
      <c r="E1066" s="2">
        <v>1499.99</v>
      </c>
      <c r="F1066">
        <v>7.0000000000000007E-2</v>
      </c>
      <c r="G1066">
        <f t="shared" si="16"/>
        <v>2999.91</v>
      </c>
      <c r="H1066" t="str">
        <f>VLOOKUP(C1066,'products '!$A$1:$G$322,2,FALSE)</f>
        <v>Trek Emonda S 4 - 2017</v>
      </c>
    </row>
    <row r="1067" spans="1:8" x14ac:dyDescent="0.3">
      <c r="A1067">
        <v>1066</v>
      </c>
      <c r="B1067">
        <v>1</v>
      </c>
      <c r="C1067">
        <v>15</v>
      </c>
      <c r="D1067" s="2">
        <v>2</v>
      </c>
      <c r="E1067" s="2">
        <v>529.99</v>
      </c>
      <c r="F1067">
        <v>0.05</v>
      </c>
      <c r="G1067">
        <f t="shared" si="16"/>
        <v>1059.93</v>
      </c>
      <c r="H1067" t="str">
        <f>VLOOKUP(C1067,'products '!$A$1:$G$322,2,FALSE)</f>
        <v>Electra Moto 1 - 2016</v>
      </c>
    </row>
    <row r="1068" spans="1:8" x14ac:dyDescent="0.3">
      <c r="A1068">
        <v>1067</v>
      </c>
      <c r="B1068">
        <v>1</v>
      </c>
      <c r="C1068">
        <v>74</v>
      </c>
      <c r="D1068" s="2">
        <v>2</v>
      </c>
      <c r="E1068" s="2">
        <v>439.99</v>
      </c>
      <c r="F1068">
        <v>7.0000000000000007E-2</v>
      </c>
      <c r="G1068">
        <f t="shared" si="16"/>
        <v>879.91</v>
      </c>
      <c r="H1068" t="str">
        <f>VLOOKUP(C1068,'products '!$A$1:$G$322,2,FALSE)</f>
        <v>Electra Cruiser Lux 1 - 2017</v>
      </c>
    </row>
    <row r="1069" spans="1:8" x14ac:dyDescent="0.3">
      <c r="A1069">
        <v>1068</v>
      </c>
      <c r="B1069">
        <v>1</v>
      </c>
      <c r="C1069">
        <v>87</v>
      </c>
      <c r="D1069" s="2">
        <v>2</v>
      </c>
      <c r="E1069" s="2">
        <v>189.99</v>
      </c>
      <c r="F1069">
        <v>0.2</v>
      </c>
      <c r="G1069">
        <f t="shared" si="16"/>
        <v>379.78000000000003</v>
      </c>
      <c r="H1069" t="str">
        <f>VLOOKUP(C1069,'products '!$A$1:$G$322,2,FALSE)</f>
        <v>Trek Precaliber 12 Boys - 2017</v>
      </c>
    </row>
    <row r="1070" spans="1:8" x14ac:dyDescent="0.3">
      <c r="A1070">
        <v>1069</v>
      </c>
      <c r="B1070">
        <v>1</v>
      </c>
      <c r="C1070">
        <v>109</v>
      </c>
      <c r="D1070" s="2">
        <v>1</v>
      </c>
      <c r="E1070" s="2">
        <v>416.99</v>
      </c>
      <c r="F1070">
        <v>7.0000000000000007E-2</v>
      </c>
      <c r="G1070">
        <f t="shared" si="16"/>
        <v>416.92</v>
      </c>
      <c r="H1070" t="str">
        <f>VLOOKUP(C1070,'products '!$A$1:$G$322,2,FALSE)</f>
        <v>Sun Bicycles Cruz 7 - Women's - 2017</v>
      </c>
    </row>
    <row r="1071" spans="1:8" x14ac:dyDescent="0.3">
      <c r="A1071">
        <v>1070</v>
      </c>
      <c r="B1071">
        <v>1</v>
      </c>
      <c r="C1071">
        <v>110</v>
      </c>
      <c r="D1071" s="2">
        <v>1</v>
      </c>
      <c r="E1071" s="2">
        <v>470.99</v>
      </c>
      <c r="F1071">
        <v>0.2</v>
      </c>
      <c r="G1071">
        <f t="shared" si="16"/>
        <v>470.79</v>
      </c>
      <c r="H1071" t="str">
        <f>VLOOKUP(C1071,'products '!$A$1:$G$322,2,FALSE)</f>
        <v>Sun Bicycles Drifter 7 - 2017</v>
      </c>
    </row>
    <row r="1072" spans="1:8" x14ac:dyDescent="0.3">
      <c r="A1072">
        <v>1071</v>
      </c>
      <c r="B1072">
        <v>1</v>
      </c>
      <c r="C1072">
        <v>25</v>
      </c>
      <c r="D1072" s="2">
        <v>2</v>
      </c>
      <c r="E1072" s="2">
        <v>499.99</v>
      </c>
      <c r="F1072">
        <v>0.2</v>
      </c>
      <c r="G1072">
        <f t="shared" si="16"/>
        <v>999.78</v>
      </c>
      <c r="H1072" t="str">
        <f>VLOOKUP(C1072,'products '!$A$1:$G$322,2,FALSE)</f>
        <v>Electra Townie Original 7D - 2015/2016</v>
      </c>
    </row>
    <row r="1073" spans="1:8" x14ac:dyDescent="0.3">
      <c r="A1073">
        <v>1072</v>
      </c>
      <c r="B1073">
        <v>1</v>
      </c>
      <c r="C1073">
        <v>83</v>
      </c>
      <c r="D1073" s="2">
        <v>1</v>
      </c>
      <c r="E1073" s="2">
        <v>149.99</v>
      </c>
      <c r="F1073">
        <v>0.2</v>
      </c>
      <c r="G1073">
        <f t="shared" si="16"/>
        <v>149.79000000000002</v>
      </c>
      <c r="H1073" t="str">
        <f>VLOOKUP(C1073,'products '!$A$1:$G$322,2,FALSE)</f>
        <v>Trek Boy's Kickster - 2015/2017</v>
      </c>
    </row>
    <row r="1074" spans="1:8" x14ac:dyDescent="0.3">
      <c r="A1074">
        <v>1073</v>
      </c>
      <c r="B1074">
        <v>1</v>
      </c>
      <c r="C1074">
        <v>81</v>
      </c>
      <c r="D1074" s="2">
        <v>1</v>
      </c>
      <c r="E1074" s="2">
        <v>1099.99</v>
      </c>
      <c r="F1074">
        <v>0.2</v>
      </c>
      <c r="G1074">
        <f t="shared" si="16"/>
        <v>1099.79</v>
      </c>
      <c r="H1074" t="str">
        <f>VLOOKUP(C1074,'products '!$A$1:$G$322,2,FALSE)</f>
        <v>Electra Amsterdam Fashion 7i Ladies' - 2017</v>
      </c>
    </row>
    <row r="1075" spans="1:8" x14ac:dyDescent="0.3">
      <c r="A1075">
        <v>1074</v>
      </c>
      <c r="B1075">
        <v>1</v>
      </c>
      <c r="C1075">
        <v>59</v>
      </c>
      <c r="D1075" s="2">
        <v>1</v>
      </c>
      <c r="E1075" s="2">
        <v>2599.9899999999998</v>
      </c>
      <c r="F1075">
        <v>0.1</v>
      </c>
      <c r="G1075">
        <f t="shared" si="16"/>
        <v>2599.89</v>
      </c>
      <c r="H1075" t="str">
        <f>VLOOKUP(C1075,'products '!$A$1:$G$322,2,FALSE)</f>
        <v>Trek Domane S 5 Disc - 2017</v>
      </c>
    </row>
    <row r="1076" spans="1:8" x14ac:dyDescent="0.3">
      <c r="A1076">
        <v>1075</v>
      </c>
      <c r="B1076">
        <v>1</v>
      </c>
      <c r="C1076">
        <v>48</v>
      </c>
      <c r="D1076" s="2">
        <v>2</v>
      </c>
      <c r="E1076" s="2">
        <v>1499.99</v>
      </c>
      <c r="F1076">
        <v>0.1</v>
      </c>
      <c r="G1076">
        <f t="shared" si="16"/>
        <v>2999.88</v>
      </c>
      <c r="H1076" t="str">
        <f>VLOOKUP(C1076,'products '!$A$1:$G$322,2,FALSE)</f>
        <v>Trek Emonda S 4 - 2017</v>
      </c>
    </row>
    <row r="1077" spans="1:8" x14ac:dyDescent="0.3">
      <c r="A1077">
        <v>1076</v>
      </c>
      <c r="B1077">
        <v>1</v>
      </c>
      <c r="C1077">
        <v>95</v>
      </c>
      <c r="D1077" s="2">
        <v>1</v>
      </c>
      <c r="E1077" s="2">
        <v>299.99</v>
      </c>
      <c r="F1077">
        <v>0.1</v>
      </c>
      <c r="G1077">
        <f t="shared" si="16"/>
        <v>299.89</v>
      </c>
      <c r="H1077" t="str">
        <f>VLOOKUP(C1077,'products '!$A$1:$G$322,2,FALSE)</f>
        <v>Electra Girl's Hawaii 1 16" - 2017</v>
      </c>
    </row>
    <row r="1078" spans="1:8" x14ac:dyDescent="0.3">
      <c r="A1078">
        <v>1077</v>
      </c>
      <c r="B1078">
        <v>1</v>
      </c>
      <c r="C1078">
        <v>60</v>
      </c>
      <c r="D1078" s="2">
        <v>2</v>
      </c>
      <c r="E1078" s="2">
        <v>1559.99</v>
      </c>
      <c r="F1078">
        <v>0.05</v>
      </c>
      <c r="G1078">
        <f t="shared" si="16"/>
        <v>3119.93</v>
      </c>
      <c r="H1078" t="str">
        <f>VLOOKUP(C1078,'products '!$A$1:$G$322,2,FALSE)</f>
        <v>Sun Bicycles ElectroLite - 2017</v>
      </c>
    </row>
    <row r="1079" spans="1:8" x14ac:dyDescent="0.3">
      <c r="A1079">
        <v>1078</v>
      </c>
      <c r="B1079">
        <v>1</v>
      </c>
      <c r="C1079">
        <v>76</v>
      </c>
      <c r="D1079" s="2">
        <v>2</v>
      </c>
      <c r="E1079" s="2">
        <v>299.99</v>
      </c>
      <c r="F1079">
        <v>7.0000000000000007E-2</v>
      </c>
      <c r="G1079">
        <f t="shared" si="16"/>
        <v>599.91</v>
      </c>
      <c r="H1079" t="str">
        <f>VLOOKUP(C1079,'products '!$A$1:$G$322,2,FALSE)</f>
        <v>Electra Girl's Hawaii 1 16" - 2017</v>
      </c>
    </row>
    <row r="1080" spans="1:8" x14ac:dyDescent="0.3">
      <c r="A1080">
        <v>1079</v>
      </c>
      <c r="B1080">
        <v>1</v>
      </c>
      <c r="C1080">
        <v>70</v>
      </c>
      <c r="D1080" s="2">
        <v>2</v>
      </c>
      <c r="E1080" s="2">
        <v>659.99</v>
      </c>
      <c r="F1080">
        <v>7.0000000000000007E-2</v>
      </c>
      <c r="G1080">
        <f t="shared" si="16"/>
        <v>1319.91</v>
      </c>
      <c r="H1080" t="str">
        <f>VLOOKUP(C1080,'products '!$A$1:$G$322,2,FALSE)</f>
        <v>Electra Amsterdam Original 3i - 2015/2017</v>
      </c>
    </row>
    <row r="1081" spans="1:8" x14ac:dyDescent="0.3">
      <c r="A1081">
        <v>1080</v>
      </c>
      <c r="B1081">
        <v>1</v>
      </c>
      <c r="C1081">
        <v>31</v>
      </c>
      <c r="D1081" s="2">
        <v>1</v>
      </c>
      <c r="E1081" s="2">
        <v>1632.99</v>
      </c>
      <c r="F1081">
        <v>0.2</v>
      </c>
      <c r="G1081">
        <f t="shared" si="16"/>
        <v>1632.79</v>
      </c>
      <c r="H1081" t="str">
        <f>VLOOKUP(C1081,'products '!$A$1:$G$322,2,FALSE)</f>
        <v>Surly Wednesday - 2017</v>
      </c>
    </row>
    <row r="1082" spans="1:8" x14ac:dyDescent="0.3">
      <c r="A1082">
        <v>1081</v>
      </c>
      <c r="B1082">
        <v>1</v>
      </c>
      <c r="C1082">
        <v>52</v>
      </c>
      <c r="D1082" s="2">
        <v>2</v>
      </c>
      <c r="E1082" s="2">
        <v>875.99</v>
      </c>
      <c r="F1082">
        <v>0.1</v>
      </c>
      <c r="G1082">
        <f t="shared" si="16"/>
        <v>1751.88</v>
      </c>
      <c r="H1082" t="str">
        <f>VLOOKUP(C1082,'products '!$A$1:$G$322,2,FALSE)</f>
        <v>Surly Steamroller - 2017</v>
      </c>
    </row>
    <row r="1083" spans="1:8" x14ac:dyDescent="0.3">
      <c r="A1083">
        <v>1082</v>
      </c>
      <c r="B1083">
        <v>1</v>
      </c>
      <c r="C1083">
        <v>29</v>
      </c>
      <c r="D1083" s="2">
        <v>2</v>
      </c>
      <c r="E1083" s="2">
        <v>999.99</v>
      </c>
      <c r="F1083">
        <v>0.2</v>
      </c>
      <c r="G1083">
        <f t="shared" si="16"/>
        <v>1999.78</v>
      </c>
      <c r="H1083" t="str">
        <f>VLOOKUP(C1083,'products '!$A$1:$G$322,2,FALSE)</f>
        <v>Trek X-Caliber 8 - 2017</v>
      </c>
    </row>
    <row r="1084" spans="1:8" x14ac:dyDescent="0.3">
      <c r="A1084">
        <v>1083</v>
      </c>
      <c r="B1084">
        <v>1</v>
      </c>
      <c r="C1084">
        <v>65</v>
      </c>
      <c r="D1084" s="2">
        <v>2</v>
      </c>
      <c r="E1084" s="2">
        <v>346.99</v>
      </c>
      <c r="F1084">
        <v>0.2</v>
      </c>
      <c r="G1084">
        <f t="shared" si="16"/>
        <v>693.78</v>
      </c>
      <c r="H1084" t="str">
        <f>VLOOKUP(C1084,'products '!$A$1:$G$322,2,FALSE)</f>
        <v>Sun Bicycles Lil Bolt Type-R - 2017</v>
      </c>
    </row>
    <row r="1085" spans="1:8" x14ac:dyDescent="0.3">
      <c r="A1085">
        <v>1084</v>
      </c>
      <c r="B1085">
        <v>1</v>
      </c>
      <c r="C1085">
        <v>30</v>
      </c>
      <c r="D1085" s="2">
        <v>1</v>
      </c>
      <c r="E1085" s="2">
        <v>999.99</v>
      </c>
      <c r="F1085">
        <v>0.05</v>
      </c>
      <c r="G1085">
        <f t="shared" si="16"/>
        <v>999.94</v>
      </c>
      <c r="H1085" t="str">
        <f>VLOOKUP(C1085,'products '!$A$1:$G$322,2,FALSE)</f>
        <v>Surly Ice Cream Truck Frameset - 2017</v>
      </c>
    </row>
    <row r="1086" spans="1:8" x14ac:dyDescent="0.3">
      <c r="A1086">
        <v>1085</v>
      </c>
      <c r="B1086">
        <v>1</v>
      </c>
      <c r="C1086">
        <v>66</v>
      </c>
      <c r="D1086" s="2">
        <v>2</v>
      </c>
      <c r="E1086" s="2">
        <v>250.99</v>
      </c>
      <c r="F1086">
        <v>0.2</v>
      </c>
      <c r="G1086">
        <f t="shared" si="16"/>
        <v>501.78000000000003</v>
      </c>
      <c r="H1086" t="str">
        <f>VLOOKUP(C1086,'products '!$A$1:$G$322,2,FALSE)</f>
        <v>Sun Bicycles Revolutions 24 - 2017</v>
      </c>
    </row>
    <row r="1087" spans="1:8" x14ac:dyDescent="0.3">
      <c r="A1087">
        <v>1086</v>
      </c>
      <c r="B1087">
        <v>1</v>
      </c>
      <c r="C1087">
        <v>108</v>
      </c>
      <c r="D1087" s="2">
        <v>1</v>
      </c>
      <c r="E1087" s="2">
        <v>449.99</v>
      </c>
      <c r="F1087">
        <v>7.0000000000000007E-2</v>
      </c>
      <c r="G1087">
        <f t="shared" si="16"/>
        <v>449.92</v>
      </c>
      <c r="H1087" t="str">
        <f>VLOOKUP(C1087,'products '!$A$1:$G$322,2,FALSE)</f>
        <v>Sun Bicycles Cruz 3 - Women's - 2017</v>
      </c>
    </row>
    <row r="1088" spans="1:8" x14ac:dyDescent="0.3">
      <c r="A1088">
        <v>1087</v>
      </c>
      <c r="B1088">
        <v>1</v>
      </c>
      <c r="C1088">
        <v>15</v>
      </c>
      <c r="D1088" s="2">
        <v>1</v>
      </c>
      <c r="E1088" s="2">
        <v>529.99</v>
      </c>
      <c r="F1088">
        <v>7.0000000000000007E-2</v>
      </c>
      <c r="G1088">
        <f t="shared" si="16"/>
        <v>529.91999999999996</v>
      </c>
      <c r="H1088" t="str">
        <f>VLOOKUP(C1088,'products '!$A$1:$G$322,2,FALSE)</f>
        <v>Electra Moto 1 - 2016</v>
      </c>
    </row>
    <row r="1089" spans="1:8" x14ac:dyDescent="0.3">
      <c r="A1089">
        <v>1088</v>
      </c>
      <c r="B1089">
        <v>1</v>
      </c>
      <c r="C1089">
        <v>64</v>
      </c>
      <c r="D1089" s="2">
        <v>1</v>
      </c>
      <c r="E1089" s="2">
        <v>489.99</v>
      </c>
      <c r="F1089">
        <v>0.1</v>
      </c>
      <c r="G1089">
        <f t="shared" si="16"/>
        <v>489.89</v>
      </c>
      <c r="H1089" t="str">
        <f>VLOOKUP(C1089,'products '!$A$1:$G$322,2,FALSE)</f>
        <v>Electra Townie Original 7D - 2017</v>
      </c>
    </row>
    <row r="1090" spans="1:8" x14ac:dyDescent="0.3">
      <c r="A1090">
        <v>1089</v>
      </c>
      <c r="B1090">
        <v>1</v>
      </c>
      <c r="C1090">
        <v>70</v>
      </c>
      <c r="D1090" s="2">
        <v>2</v>
      </c>
      <c r="E1090" s="2">
        <v>659.99</v>
      </c>
      <c r="F1090">
        <v>7.0000000000000007E-2</v>
      </c>
      <c r="G1090">
        <f t="shared" si="16"/>
        <v>1319.91</v>
      </c>
      <c r="H1090" t="str">
        <f>VLOOKUP(C1090,'products '!$A$1:$G$322,2,FALSE)</f>
        <v>Electra Amsterdam Original 3i - 2015/2017</v>
      </c>
    </row>
    <row r="1091" spans="1:8" x14ac:dyDescent="0.3">
      <c r="A1091">
        <v>1090</v>
      </c>
      <c r="B1091">
        <v>1</v>
      </c>
      <c r="C1091">
        <v>74</v>
      </c>
      <c r="D1091" s="2">
        <v>1</v>
      </c>
      <c r="E1091" s="2">
        <v>439.99</v>
      </c>
      <c r="F1091">
        <v>0.2</v>
      </c>
      <c r="G1091">
        <f t="shared" ref="G1091:G1154" si="17">E1091*D1091-F1091</f>
        <v>439.79</v>
      </c>
      <c r="H1091" t="str">
        <f>VLOOKUP(C1091,'products '!$A$1:$G$322,2,FALSE)</f>
        <v>Electra Cruiser Lux 1 - 2017</v>
      </c>
    </row>
    <row r="1092" spans="1:8" x14ac:dyDescent="0.3">
      <c r="A1092">
        <v>1091</v>
      </c>
      <c r="B1092">
        <v>1</v>
      </c>
      <c r="C1092">
        <v>97</v>
      </c>
      <c r="D1092" s="2">
        <v>1</v>
      </c>
      <c r="E1092" s="2">
        <v>349.99</v>
      </c>
      <c r="F1092">
        <v>0.05</v>
      </c>
      <c r="G1092">
        <f t="shared" si="17"/>
        <v>349.94</v>
      </c>
      <c r="H1092" t="str">
        <f>VLOOKUP(C1092,'products '!$A$1:$G$322,2,FALSE)</f>
        <v>Electra Savannah 3i (20-inch) - Girl's - 2017</v>
      </c>
    </row>
    <row r="1093" spans="1:8" x14ac:dyDescent="0.3">
      <c r="A1093">
        <v>1092</v>
      </c>
      <c r="B1093">
        <v>1</v>
      </c>
      <c r="C1093">
        <v>34</v>
      </c>
      <c r="D1093" s="2">
        <v>1</v>
      </c>
      <c r="E1093" s="2">
        <v>469.99</v>
      </c>
      <c r="F1093">
        <v>0.05</v>
      </c>
      <c r="G1093">
        <f t="shared" si="17"/>
        <v>469.94</v>
      </c>
      <c r="H1093" t="str">
        <f>VLOOKUP(C1093,'products '!$A$1:$G$322,2,FALSE)</f>
        <v>Trek Session DH 27.5 Carbon Frameset - 2017</v>
      </c>
    </row>
    <row r="1094" spans="1:8" x14ac:dyDescent="0.3">
      <c r="A1094">
        <v>1093</v>
      </c>
      <c r="B1094">
        <v>1</v>
      </c>
      <c r="C1094">
        <v>45</v>
      </c>
      <c r="D1094" s="2">
        <v>2</v>
      </c>
      <c r="E1094" s="2">
        <v>869.99</v>
      </c>
      <c r="F1094">
        <v>7.0000000000000007E-2</v>
      </c>
      <c r="G1094">
        <f t="shared" si="17"/>
        <v>1739.91</v>
      </c>
      <c r="H1094" t="str">
        <f>VLOOKUP(C1094,'products '!$A$1:$G$322,2,FALSE)</f>
        <v>Haro SR 1.2 - 2017</v>
      </c>
    </row>
    <row r="1095" spans="1:8" x14ac:dyDescent="0.3">
      <c r="A1095">
        <v>1094</v>
      </c>
      <c r="B1095">
        <v>1</v>
      </c>
      <c r="C1095">
        <v>71</v>
      </c>
      <c r="D1095" s="2">
        <v>1</v>
      </c>
      <c r="E1095" s="2">
        <v>416.99</v>
      </c>
      <c r="F1095">
        <v>0.1</v>
      </c>
      <c r="G1095">
        <f t="shared" si="17"/>
        <v>416.89</v>
      </c>
      <c r="H1095" t="str">
        <f>VLOOKUP(C1095,'products '!$A$1:$G$322,2,FALSE)</f>
        <v>Sun Bicycles Atlas X-Type - 2017</v>
      </c>
    </row>
    <row r="1096" spans="1:8" x14ac:dyDescent="0.3">
      <c r="A1096">
        <v>1095</v>
      </c>
      <c r="B1096">
        <v>1</v>
      </c>
      <c r="C1096">
        <v>78</v>
      </c>
      <c r="D1096" s="2">
        <v>2</v>
      </c>
      <c r="E1096" s="2">
        <v>647.99</v>
      </c>
      <c r="F1096">
        <v>0.05</v>
      </c>
      <c r="G1096">
        <f t="shared" si="17"/>
        <v>1295.93</v>
      </c>
      <c r="H1096" t="str">
        <f>VLOOKUP(C1096,'products '!$A$1:$G$322,2,FALSE)</f>
        <v>Sun Bicycles Biscayne Tandem CB - 2017</v>
      </c>
    </row>
    <row r="1097" spans="1:8" x14ac:dyDescent="0.3">
      <c r="A1097">
        <v>1096</v>
      </c>
      <c r="B1097">
        <v>1</v>
      </c>
      <c r="C1097">
        <v>11</v>
      </c>
      <c r="D1097" s="2">
        <v>1</v>
      </c>
      <c r="E1097" s="2">
        <v>1680.99</v>
      </c>
      <c r="F1097">
        <v>0.1</v>
      </c>
      <c r="G1097">
        <f t="shared" si="17"/>
        <v>1680.89</v>
      </c>
      <c r="H1097" t="str">
        <f>VLOOKUP(C1097,'products '!$A$1:$G$322,2,FALSE)</f>
        <v>Surly Straggler 650b - 2016</v>
      </c>
    </row>
    <row r="1098" spans="1:8" x14ac:dyDescent="0.3">
      <c r="A1098">
        <v>1097</v>
      </c>
      <c r="B1098">
        <v>1</v>
      </c>
      <c r="C1098">
        <v>99</v>
      </c>
      <c r="D1098" s="2">
        <v>1</v>
      </c>
      <c r="E1098" s="2">
        <v>299.99</v>
      </c>
      <c r="F1098">
        <v>0.05</v>
      </c>
      <c r="G1098">
        <f t="shared" si="17"/>
        <v>299.94</v>
      </c>
      <c r="H1098" t="str">
        <f>VLOOKUP(C1098,'products '!$A$1:$G$322,2,FALSE)</f>
        <v>Electra Sugar Skulls 1 (20-inch) - Girl's - 2017</v>
      </c>
    </row>
    <row r="1099" spans="1:8" x14ac:dyDescent="0.3">
      <c r="A1099">
        <v>1098</v>
      </c>
      <c r="B1099">
        <v>1</v>
      </c>
      <c r="C1099">
        <v>88</v>
      </c>
      <c r="D1099" s="2">
        <v>1</v>
      </c>
      <c r="E1099" s="2">
        <v>189.99</v>
      </c>
      <c r="F1099">
        <v>0.1</v>
      </c>
      <c r="G1099">
        <f t="shared" si="17"/>
        <v>189.89000000000001</v>
      </c>
      <c r="H1099" t="str">
        <f>VLOOKUP(C1099,'products '!$A$1:$G$322,2,FALSE)</f>
        <v>Trek Precaliber 12 Girls - 2017</v>
      </c>
    </row>
    <row r="1100" spans="1:8" x14ac:dyDescent="0.3">
      <c r="A1100">
        <v>1099</v>
      </c>
      <c r="B1100">
        <v>1</v>
      </c>
      <c r="C1100">
        <v>64</v>
      </c>
      <c r="D1100" s="2">
        <v>1</v>
      </c>
      <c r="E1100" s="2">
        <v>489.99</v>
      </c>
      <c r="F1100">
        <v>0.1</v>
      </c>
      <c r="G1100">
        <f t="shared" si="17"/>
        <v>489.89</v>
      </c>
      <c r="H1100" t="str">
        <f>VLOOKUP(C1100,'products '!$A$1:$G$322,2,FALSE)</f>
        <v>Electra Townie Original 7D - 2017</v>
      </c>
    </row>
    <row r="1101" spans="1:8" x14ac:dyDescent="0.3">
      <c r="A1101">
        <v>1100</v>
      </c>
      <c r="B1101">
        <v>1</v>
      </c>
      <c r="C1101">
        <v>12</v>
      </c>
      <c r="D1101" s="2">
        <v>1</v>
      </c>
      <c r="E1101" s="2">
        <v>549.99</v>
      </c>
      <c r="F1101">
        <v>0.05</v>
      </c>
      <c r="G1101">
        <f t="shared" si="17"/>
        <v>549.94000000000005</v>
      </c>
      <c r="H1101" t="str">
        <f>VLOOKUP(C1101,'products '!$A$1:$G$322,2,FALSE)</f>
        <v>Electra Townie Original 21D - 2016</v>
      </c>
    </row>
    <row r="1102" spans="1:8" x14ac:dyDescent="0.3">
      <c r="A1102">
        <v>1101</v>
      </c>
      <c r="B1102">
        <v>1</v>
      </c>
      <c r="C1102">
        <v>105</v>
      </c>
      <c r="D1102" s="2">
        <v>1</v>
      </c>
      <c r="E1102" s="2">
        <v>533.99</v>
      </c>
      <c r="F1102">
        <v>7.0000000000000007E-2</v>
      </c>
      <c r="G1102">
        <f t="shared" si="17"/>
        <v>533.91999999999996</v>
      </c>
      <c r="H1102" t="str">
        <f>VLOOKUP(C1102,'products '!$A$1:$G$322,2,FALSE)</f>
        <v>Sun Bicycles Streamway 7 - 2017</v>
      </c>
    </row>
    <row r="1103" spans="1:8" x14ac:dyDescent="0.3">
      <c r="A1103">
        <v>1102</v>
      </c>
      <c r="B1103">
        <v>1</v>
      </c>
      <c r="C1103">
        <v>91</v>
      </c>
      <c r="D1103" s="2">
        <v>1</v>
      </c>
      <c r="E1103" s="2">
        <v>349.99</v>
      </c>
      <c r="F1103">
        <v>7.0000000000000007E-2</v>
      </c>
      <c r="G1103">
        <f t="shared" si="17"/>
        <v>349.92</v>
      </c>
      <c r="H1103" t="str">
        <f>VLOOKUP(C1103,'products '!$A$1:$G$322,2,FALSE)</f>
        <v>Trek Precaliber 24 (21-Speed) - Girls - 2017</v>
      </c>
    </row>
    <row r="1104" spans="1:8" x14ac:dyDescent="0.3">
      <c r="A1104">
        <v>1103</v>
      </c>
      <c r="B1104">
        <v>1</v>
      </c>
      <c r="C1104">
        <v>106</v>
      </c>
      <c r="D1104" s="2">
        <v>1</v>
      </c>
      <c r="E1104" s="2">
        <v>449.99</v>
      </c>
      <c r="F1104">
        <v>0.2</v>
      </c>
      <c r="G1104">
        <f t="shared" si="17"/>
        <v>449.79</v>
      </c>
      <c r="H1104" t="str">
        <f>VLOOKUP(C1104,'products '!$A$1:$G$322,2,FALSE)</f>
        <v>Sun Bicycles Cruz 3 - 2017</v>
      </c>
    </row>
    <row r="1105" spans="1:8" x14ac:dyDescent="0.3">
      <c r="A1105">
        <v>1104</v>
      </c>
      <c r="B1105">
        <v>1</v>
      </c>
      <c r="C1105">
        <v>17</v>
      </c>
      <c r="D1105" s="2">
        <v>1</v>
      </c>
      <c r="E1105" s="2">
        <v>429</v>
      </c>
      <c r="F1105">
        <v>0.1</v>
      </c>
      <c r="G1105">
        <f t="shared" si="17"/>
        <v>428.9</v>
      </c>
      <c r="H1105" t="str">
        <f>VLOOKUP(C1105,'products '!$A$1:$G$322,2,FALSE)</f>
        <v>Pure Cycles Vine 8-Speed - 2016</v>
      </c>
    </row>
    <row r="1106" spans="1:8" x14ac:dyDescent="0.3">
      <c r="A1106">
        <v>1105</v>
      </c>
      <c r="B1106">
        <v>1</v>
      </c>
      <c r="C1106">
        <v>60</v>
      </c>
      <c r="D1106" s="2">
        <v>1</v>
      </c>
      <c r="E1106" s="2">
        <v>1559.99</v>
      </c>
      <c r="F1106">
        <v>0.05</v>
      </c>
      <c r="G1106">
        <f t="shared" si="17"/>
        <v>1559.94</v>
      </c>
      <c r="H1106" t="str">
        <f>VLOOKUP(C1106,'products '!$A$1:$G$322,2,FALSE)</f>
        <v>Sun Bicycles ElectroLite - 2017</v>
      </c>
    </row>
    <row r="1107" spans="1:8" x14ac:dyDescent="0.3">
      <c r="A1107">
        <v>1106</v>
      </c>
      <c r="B1107">
        <v>1</v>
      </c>
      <c r="C1107">
        <v>96</v>
      </c>
      <c r="D1107" s="2">
        <v>1</v>
      </c>
      <c r="E1107" s="2">
        <v>349.99</v>
      </c>
      <c r="F1107">
        <v>0.1</v>
      </c>
      <c r="G1107">
        <f t="shared" si="17"/>
        <v>349.89</v>
      </c>
      <c r="H1107" t="str">
        <f>VLOOKUP(C1107,'products '!$A$1:$G$322,2,FALSE)</f>
        <v>Electra Moto 3i (20-inch) - Boy's - 2017</v>
      </c>
    </row>
    <row r="1108" spans="1:8" x14ac:dyDescent="0.3">
      <c r="A1108">
        <v>1107</v>
      </c>
      <c r="B1108">
        <v>1</v>
      </c>
      <c r="C1108">
        <v>43</v>
      </c>
      <c r="D1108" s="2">
        <v>1</v>
      </c>
      <c r="E1108" s="2">
        <v>5299.99</v>
      </c>
      <c r="F1108">
        <v>0.2</v>
      </c>
      <c r="G1108">
        <f t="shared" si="17"/>
        <v>5299.79</v>
      </c>
      <c r="H1108" t="str">
        <f>VLOOKUP(C1108,'products '!$A$1:$G$322,2,FALSE)</f>
        <v>Trek Fuel EX 9.8 27.5 Plus - 2017</v>
      </c>
    </row>
    <row r="1109" spans="1:8" x14ac:dyDescent="0.3">
      <c r="A1109">
        <v>1108</v>
      </c>
      <c r="B1109">
        <v>1</v>
      </c>
      <c r="C1109">
        <v>45</v>
      </c>
      <c r="D1109" s="2">
        <v>2</v>
      </c>
      <c r="E1109" s="2">
        <v>869.99</v>
      </c>
      <c r="F1109">
        <v>0.05</v>
      </c>
      <c r="G1109">
        <f t="shared" si="17"/>
        <v>1739.93</v>
      </c>
      <c r="H1109" t="str">
        <f>VLOOKUP(C1109,'products '!$A$1:$G$322,2,FALSE)</f>
        <v>Haro SR 1.2 - 2017</v>
      </c>
    </row>
    <row r="1110" spans="1:8" x14ac:dyDescent="0.3">
      <c r="A1110">
        <v>1109</v>
      </c>
      <c r="B1110">
        <v>1</v>
      </c>
      <c r="C1110">
        <v>72</v>
      </c>
      <c r="D1110" s="2">
        <v>2</v>
      </c>
      <c r="E1110" s="2">
        <v>619.99</v>
      </c>
      <c r="F1110">
        <v>0.1</v>
      </c>
      <c r="G1110">
        <f t="shared" si="17"/>
        <v>1239.8800000000001</v>
      </c>
      <c r="H1110" t="str">
        <f>VLOOKUP(C1110,'products '!$A$1:$G$322,2,FALSE)</f>
        <v>Sun Bicycles Biscayne Tandem 7 - 2017</v>
      </c>
    </row>
    <row r="1111" spans="1:8" x14ac:dyDescent="0.3">
      <c r="A1111">
        <v>1110</v>
      </c>
      <c r="B1111">
        <v>1</v>
      </c>
      <c r="C1111">
        <v>56</v>
      </c>
      <c r="D1111" s="2">
        <v>1</v>
      </c>
      <c r="E1111" s="2">
        <v>5499.99</v>
      </c>
      <c r="F1111">
        <v>0.1</v>
      </c>
      <c r="G1111">
        <f t="shared" si="17"/>
        <v>5499.8899999999994</v>
      </c>
      <c r="H1111" t="str">
        <f>VLOOKUP(C1111,'products '!$A$1:$G$322,2,FALSE)</f>
        <v>Trek Domane SLR 6 Disc - 2017</v>
      </c>
    </row>
    <row r="1112" spans="1:8" x14ac:dyDescent="0.3">
      <c r="A1112">
        <v>1111</v>
      </c>
      <c r="B1112">
        <v>1</v>
      </c>
      <c r="C1112">
        <v>95</v>
      </c>
      <c r="D1112" s="2">
        <v>1</v>
      </c>
      <c r="E1112" s="2">
        <v>299.99</v>
      </c>
      <c r="F1112">
        <v>0.05</v>
      </c>
      <c r="G1112">
        <f t="shared" si="17"/>
        <v>299.94</v>
      </c>
      <c r="H1112" t="str">
        <f>VLOOKUP(C1112,'products '!$A$1:$G$322,2,FALSE)</f>
        <v>Electra Girl's Hawaii 1 16" - 2017</v>
      </c>
    </row>
    <row r="1113" spans="1:8" x14ac:dyDescent="0.3">
      <c r="A1113">
        <v>1112</v>
      </c>
      <c r="B1113">
        <v>1</v>
      </c>
      <c r="C1113">
        <v>71</v>
      </c>
      <c r="D1113" s="2">
        <v>2</v>
      </c>
      <c r="E1113" s="2">
        <v>416.99</v>
      </c>
      <c r="F1113">
        <v>0.05</v>
      </c>
      <c r="G1113">
        <f t="shared" si="17"/>
        <v>833.93000000000006</v>
      </c>
      <c r="H1113" t="str">
        <f>VLOOKUP(C1113,'products '!$A$1:$G$322,2,FALSE)</f>
        <v>Sun Bicycles Atlas X-Type - 2017</v>
      </c>
    </row>
    <row r="1114" spans="1:8" x14ac:dyDescent="0.3">
      <c r="A1114">
        <v>1113</v>
      </c>
      <c r="B1114">
        <v>1</v>
      </c>
      <c r="C1114">
        <v>106</v>
      </c>
      <c r="D1114" s="2">
        <v>1</v>
      </c>
      <c r="E1114" s="2">
        <v>449.99</v>
      </c>
      <c r="F1114">
        <v>7.0000000000000007E-2</v>
      </c>
      <c r="G1114">
        <f t="shared" si="17"/>
        <v>449.92</v>
      </c>
      <c r="H1114" t="str">
        <f>VLOOKUP(C1114,'products '!$A$1:$G$322,2,FALSE)</f>
        <v>Sun Bicycles Cruz 3 - 2017</v>
      </c>
    </row>
    <row r="1115" spans="1:8" x14ac:dyDescent="0.3">
      <c r="A1115">
        <v>1114</v>
      </c>
      <c r="B1115">
        <v>1</v>
      </c>
      <c r="C1115">
        <v>52</v>
      </c>
      <c r="D1115" s="2">
        <v>1</v>
      </c>
      <c r="E1115" s="2">
        <v>875.99</v>
      </c>
      <c r="F1115">
        <v>0.2</v>
      </c>
      <c r="G1115">
        <f t="shared" si="17"/>
        <v>875.79</v>
      </c>
      <c r="H1115" t="str">
        <f>VLOOKUP(C1115,'products '!$A$1:$G$322,2,FALSE)</f>
        <v>Surly Steamroller - 2017</v>
      </c>
    </row>
    <row r="1116" spans="1:8" x14ac:dyDescent="0.3">
      <c r="A1116">
        <v>1115</v>
      </c>
      <c r="B1116">
        <v>1</v>
      </c>
      <c r="C1116">
        <v>97</v>
      </c>
      <c r="D1116" s="2">
        <v>2</v>
      </c>
      <c r="E1116" s="2">
        <v>349.99</v>
      </c>
      <c r="F1116">
        <v>0.2</v>
      </c>
      <c r="G1116">
        <f t="shared" si="17"/>
        <v>699.78</v>
      </c>
      <c r="H1116" t="str">
        <f>VLOOKUP(C1116,'products '!$A$1:$G$322,2,FALSE)</f>
        <v>Electra Savannah 3i (20-inch) - Girl's - 2017</v>
      </c>
    </row>
    <row r="1117" spans="1:8" x14ac:dyDescent="0.3">
      <c r="A1117">
        <v>1116</v>
      </c>
      <c r="B1117">
        <v>1</v>
      </c>
      <c r="C1117">
        <v>11</v>
      </c>
      <c r="D1117" s="2">
        <v>2</v>
      </c>
      <c r="E1117" s="2">
        <v>1680.99</v>
      </c>
      <c r="F1117">
        <v>7.0000000000000007E-2</v>
      </c>
      <c r="G1117">
        <f t="shared" si="17"/>
        <v>3361.91</v>
      </c>
      <c r="H1117" t="str">
        <f>VLOOKUP(C1117,'products '!$A$1:$G$322,2,FALSE)</f>
        <v>Surly Straggler 650b - 2016</v>
      </c>
    </row>
    <row r="1118" spans="1:8" x14ac:dyDescent="0.3">
      <c r="A1118">
        <v>1117</v>
      </c>
      <c r="B1118">
        <v>1</v>
      </c>
      <c r="C1118">
        <v>37</v>
      </c>
      <c r="D1118" s="2">
        <v>2</v>
      </c>
      <c r="E1118" s="2">
        <v>379.99</v>
      </c>
      <c r="F1118">
        <v>0.1</v>
      </c>
      <c r="G1118">
        <f t="shared" si="17"/>
        <v>759.88</v>
      </c>
      <c r="H1118" t="str">
        <f>VLOOKUP(C1118,'products '!$A$1:$G$322,2,FALSE)</f>
        <v>Haro Flightline One ST - 2017</v>
      </c>
    </row>
    <row r="1119" spans="1:8" x14ac:dyDescent="0.3">
      <c r="A1119">
        <v>1118</v>
      </c>
      <c r="B1119">
        <v>1</v>
      </c>
      <c r="C1119">
        <v>55</v>
      </c>
      <c r="D1119" s="2">
        <v>2</v>
      </c>
      <c r="E1119" s="2">
        <v>2699.99</v>
      </c>
      <c r="F1119">
        <v>0.2</v>
      </c>
      <c r="G1119">
        <f t="shared" si="17"/>
        <v>5399.78</v>
      </c>
      <c r="H1119" t="str">
        <f>VLOOKUP(C1119,'products '!$A$1:$G$322,2,FALSE)</f>
        <v>Trek Domane S 6 - 2017</v>
      </c>
    </row>
    <row r="1120" spans="1:8" x14ac:dyDescent="0.3">
      <c r="A1120">
        <v>1119</v>
      </c>
      <c r="B1120">
        <v>1</v>
      </c>
      <c r="C1120">
        <v>93</v>
      </c>
      <c r="D1120" s="2">
        <v>2</v>
      </c>
      <c r="E1120" s="2">
        <v>209.99</v>
      </c>
      <c r="F1120">
        <v>0.1</v>
      </c>
      <c r="G1120">
        <f t="shared" si="17"/>
        <v>419.88</v>
      </c>
      <c r="H1120" t="str">
        <f>VLOOKUP(C1120,'products '!$A$1:$G$322,2,FALSE)</f>
        <v>Haro Shredder 20 Girls - 2017</v>
      </c>
    </row>
    <row r="1121" spans="1:8" x14ac:dyDescent="0.3">
      <c r="A1121">
        <v>1120</v>
      </c>
      <c r="B1121">
        <v>1</v>
      </c>
      <c r="C1121">
        <v>92</v>
      </c>
      <c r="D1121" s="2">
        <v>2</v>
      </c>
      <c r="E1121" s="2">
        <v>209.99</v>
      </c>
      <c r="F1121">
        <v>7.0000000000000007E-2</v>
      </c>
      <c r="G1121">
        <f t="shared" si="17"/>
        <v>419.91</v>
      </c>
      <c r="H1121" t="str">
        <f>VLOOKUP(C1121,'products '!$A$1:$G$322,2,FALSE)</f>
        <v>Haro Shredder 20 - 2017</v>
      </c>
    </row>
    <row r="1122" spans="1:8" x14ac:dyDescent="0.3">
      <c r="A1122">
        <v>1121</v>
      </c>
      <c r="B1122">
        <v>1</v>
      </c>
      <c r="C1122">
        <v>11</v>
      </c>
      <c r="D1122" s="2">
        <v>2</v>
      </c>
      <c r="E1122" s="2">
        <v>1680.99</v>
      </c>
      <c r="F1122">
        <v>0.1</v>
      </c>
      <c r="G1122">
        <f t="shared" si="17"/>
        <v>3361.88</v>
      </c>
      <c r="H1122" t="str">
        <f>VLOOKUP(C1122,'products '!$A$1:$G$322,2,FALSE)</f>
        <v>Surly Straggler 650b - 2016</v>
      </c>
    </row>
    <row r="1123" spans="1:8" x14ac:dyDescent="0.3">
      <c r="A1123">
        <v>1122</v>
      </c>
      <c r="B1123">
        <v>1</v>
      </c>
      <c r="C1123">
        <v>9</v>
      </c>
      <c r="D1123" s="2">
        <v>2</v>
      </c>
      <c r="E1123" s="2">
        <v>2999.99</v>
      </c>
      <c r="F1123">
        <v>7.0000000000000007E-2</v>
      </c>
      <c r="G1123">
        <f t="shared" si="17"/>
        <v>5999.91</v>
      </c>
      <c r="H1123" t="str">
        <f>VLOOKUP(C1123,'products '!$A$1:$G$322,2,FALSE)</f>
        <v>Trek Conduit+ - 2016</v>
      </c>
    </row>
    <row r="1124" spans="1:8" x14ac:dyDescent="0.3">
      <c r="A1124">
        <v>1123</v>
      </c>
      <c r="B1124">
        <v>1</v>
      </c>
      <c r="C1124">
        <v>65</v>
      </c>
      <c r="D1124" s="2">
        <v>2</v>
      </c>
      <c r="E1124" s="2">
        <v>346.99</v>
      </c>
      <c r="F1124">
        <v>7.0000000000000007E-2</v>
      </c>
      <c r="G1124">
        <f t="shared" si="17"/>
        <v>693.91</v>
      </c>
      <c r="H1124" t="str">
        <f>VLOOKUP(C1124,'products '!$A$1:$G$322,2,FALSE)</f>
        <v>Sun Bicycles Lil Bolt Type-R - 2017</v>
      </c>
    </row>
    <row r="1125" spans="1:8" x14ac:dyDescent="0.3">
      <c r="A1125">
        <v>1124</v>
      </c>
      <c r="B1125">
        <v>1</v>
      </c>
      <c r="C1125">
        <v>7</v>
      </c>
      <c r="D1125" s="2">
        <v>2</v>
      </c>
      <c r="E1125" s="2">
        <v>3999.99</v>
      </c>
      <c r="F1125">
        <v>0.1</v>
      </c>
      <c r="G1125">
        <f t="shared" si="17"/>
        <v>7999.8799999999992</v>
      </c>
      <c r="H1125" t="str">
        <f>VLOOKUP(C1125,'products '!$A$1:$G$322,2,FALSE)</f>
        <v>Trek Slash 8 27.5 - 2016</v>
      </c>
    </row>
    <row r="1126" spans="1:8" x14ac:dyDescent="0.3">
      <c r="A1126">
        <v>1125</v>
      </c>
      <c r="B1126">
        <v>1</v>
      </c>
      <c r="C1126">
        <v>16</v>
      </c>
      <c r="D1126" s="2">
        <v>2</v>
      </c>
      <c r="E1126" s="2">
        <v>599.99</v>
      </c>
      <c r="F1126">
        <v>0.05</v>
      </c>
      <c r="G1126">
        <f t="shared" si="17"/>
        <v>1199.93</v>
      </c>
      <c r="H1126" t="str">
        <f>VLOOKUP(C1126,'products '!$A$1:$G$322,2,FALSE)</f>
        <v>Electra Townie Original 7D EQ - 2016</v>
      </c>
    </row>
    <row r="1127" spans="1:8" x14ac:dyDescent="0.3">
      <c r="A1127">
        <v>1126</v>
      </c>
      <c r="B1127">
        <v>1</v>
      </c>
      <c r="C1127">
        <v>33</v>
      </c>
      <c r="D1127" s="2">
        <v>2</v>
      </c>
      <c r="E1127" s="2">
        <v>469.99</v>
      </c>
      <c r="F1127">
        <v>0.1</v>
      </c>
      <c r="G1127">
        <f t="shared" si="17"/>
        <v>939.88</v>
      </c>
      <c r="H1127" t="str">
        <f>VLOOKUP(C1127,'products '!$A$1:$G$322,2,FALSE)</f>
        <v>Surly Wednesday Frameset - 2017</v>
      </c>
    </row>
    <row r="1128" spans="1:8" x14ac:dyDescent="0.3">
      <c r="A1128">
        <v>1127</v>
      </c>
      <c r="B1128">
        <v>1</v>
      </c>
      <c r="C1128">
        <v>23</v>
      </c>
      <c r="D1128" s="2">
        <v>2</v>
      </c>
      <c r="E1128" s="2">
        <v>299.99</v>
      </c>
      <c r="F1128">
        <v>0.1</v>
      </c>
      <c r="G1128">
        <f t="shared" si="17"/>
        <v>599.88</v>
      </c>
      <c r="H1128" t="str">
        <f>VLOOKUP(C1128,'products '!$A$1:$G$322,2,FALSE)</f>
        <v>Electra Girl's Hawaii 1 (20-inch) - 2015/2016</v>
      </c>
    </row>
    <row r="1129" spans="1:8" x14ac:dyDescent="0.3">
      <c r="A1129">
        <v>1128</v>
      </c>
      <c r="B1129">
        <v>1</v>
      </c>
      <c r="C1129">
        <v>44</v>
      </c>
      <c r="D1129" s="2">
        <v>1</v>
      </c>
      <c r="E1129" s="2">
        <v>539.99</v>
      </c>
      <c r="F1129">
        <v>0.05</v>
      </c>
      <c r="G1129">
        <f t="shared" si="17"/>
        <v>539.94000000000005</v>
      </c>
      <c r="H1129" t="str">
        <f>VLOOKUP(C1129,'products '!$A$1:$G$322,2,FALSE)</f>
        <v>Haro SR 1.1 - 2017</v>
      </c>
    </row>
    <row r="1130" spans="1:8" x14ac:dyDescent="0.3">
      <c r="A1130">
        <v>1129</v>
      </c>
      <c r="B1130">
        <v>1</v>
      </c>
      <c r="C1130">
        <v>71</v>
      </c>
      <c r="D1130" s="2">
        <v>2</v>
      </c>
      <c r="E1130" s="2">
        <v>416.99</v>
      </c>
      <c r="F1130">
        <v>0.2</v>
      </c>
      <c r="G1130">
        <f t="shared" si="17"/>
        <v>833.78</v>
      </c>
      <c r="H1130" t="str">
        <f>VLOOKUP(C1130,'products '!$A$1:$G$322,2,FALSE)</f>
        <v>Sun Bicycles Atlas X-Type - 2017</v>
      </c>
    </row>
    <row r="1131" spans="1:8" x14ac:dyDescent="0.3">
      <c r="A1131">
        <v>1130</v>
      </c>
      <c r="B1131">
        <v>1</v>
      </c>
      <c r="C1131">
        <v>54</v>
      </c>
      <c r="D1131" s="2">
        <v>2</v>
      </c>
      <c r="E1131" s="2">
        <v>3199.99</v>
      </c>
      <c r="F1131">
        <v>0.2</v>
      </c>
      <c r="G1131">
        <f t="shared" si="17"/>
        <v>6399.78</v>
      </c>
      <c r="H1131" t="str">
        <f>VLOOKUP(C1131,'products '!$A$1:$G$322,2,FALSE)</f>
        <v>Trek Domane SL Disc Frameset - 2017</v>
      </c>
    </row>
    <row r="1132" spans="1:8" x14ac:dyDescent="0.3">
      <c r="A1132">
        <v>1131</v>
      </c>
      <c r="B1132">
        <v>1</v>
      </c>
      <c r="C1132">
        <v>60</v>
      </c>
      <c r="D1132" s="2">
        <v>2</v>
      </c>
      <c r="E1132" s="2">
        <v>1559.99</v>
      </c>
      <c r="F1132">
        <v>7.0000000000000007E-2</v>
      </c>
      <c r="G1132">
        <f t="shared" si="17"/>
        <v>3119.91</v>
      </c>
      <c r="H1132" t="str">
        <f>VLOOKUP(C1132,'products '!$A$1:$G$322,2,FALSE)</f>
        <v>Sun Bicycles ElectroLite - 2017</v>
      </c>
    </row>
    <row r="1133" spans="1:8" x14ac:dyDescent="0.3">
      <c r="A1133">
        <v>1132</v>
      </c>
      <c r="B1133">
        <v>1</v>
      </c>
      <c r="C1133">
        <v>43</v>
      </c>
      <c r="D1133" s="2">
        <v>1</v>
      </c>
      <c r="E1133" s="2">
        <v>5299.99</v>
      </c>
      <c r="F1133">
        <v>0.05</v>
      </c>
      <c r="G1133">
        <f t="shared" si="17"/>
        <v>5299.94</v>
      </c>
      <c r="H1133" t="str">
        <f>VLOOKUP(C1133,'products '!$A$1:$G$322,2,FALSE)</f>
        <v>Trek Fuel EX 9.8 27.5 Plus - 2017</v>
      </c>
    </row>
    <row r="1134" spans="1:8" x14ac:dyDescent="0.3">
      <c r="A1134">
        <v>1133</v>
      </c>
      <c r="B1134">
        <v>1</v>
      </c>
      <c r="C1134">
        <v>4</v>
      </c>
      <c r="D1134" s="2">
        <v>2</v>
      </c>
      <c r="E1134" s="2">
        <v>2899.99</v>
      </c>
      <c r="F1134">
        <v>0.05</v>
      </c>
      <c r="G1134">
        <f t="shared" si="17"/>
        <v>5799.9299999999994</v>
      </c>
      <c r="H1134" t="str">
        <f>VLOOKUP(C1134,'products '!$A$1:$G$322,2,FALSE)</f>
        <v>Trek Fuel EX 8 29 - 2016</v>
      </c>
    </row>
    <row r="1135" spans="1:8" x14ac:dyDescent="0.3">
      <c r="A1135">
        <v>1134</v>
      </c>
      <c r="B1135">
        <v>1</v>
      </c>
      <c r="C1135">
        <v>97</v>
      </c>
      <c r="D1135" s="2">
        <v>1</v>
      </c>
      <c r="E1135" s="2">
        <v>349.99</v>
      </c>
      <c r="F1135">
        <v>0.1</v>
      </c>
      <c r="G1135">
        <f t="shared" si="17"/>
        <v>349.89</v>
      </c>
      <c r="H1135" t="str">
        <f>VLOOKUP(C1135,'products '!$A$1:$G$322,2,FALSE)</f>
        <v>Electra Savannah 3i (20-inch) - Girl's - 2017</v>
      </c>
    </row>
    <row r="1136" spans="1:8" x14ac:dyDescent="0.3">
      <c r="A1136">
        <v>1135</v>
      </c>
      <c r="B1136">
        <v>1</v>
      </c>
      <c r="C1136">
        <v>101</v>
      </c>
      <c r="D1136" s="2">
        <v>2</v>
      </c>
      <c r="E1136" s="2">
        <v>339.99</v>
      </c>
      <c r="F1136">
        <v>0.05</v>
      </c>
      <c r="G1136">
        <f t="shared" si="17"/>
        <v>679.93000000000006</v>
      </c>
      <c r="H1136" t="str">
        <f>VLOOKUP(C1136,'products '!$A$1:$G$322,2,FALSE)</f>
        <v>Electra Townie 7D (20-inch) - Boys' - 2017</v>
      </c>
    </row>
    <row r="1137" spans="1:8" x14ac:dyDescent="0.3">
      <c r="A1137">
        <v>1136</v>
      </c>
      <c r="B1137">
        <v>1</v>
      </c>
      <c r="C1137">
        <v>105</v>
      </c>
      <c r="D1137" s="2">
        <v>1</v>
      </c>
      <c r="E1137" s="2">
        <v>533.99</v>
      </c>
      <c r="F1137">
        <v>0.1</v>
      </c>
      <c r="G1137">
        <f t="shared" si="17"/>
        <v>533.89</v>
      </c>
      <c r="H1137" t="str">
        <f>VLOOKUP(C1137,'products '!$A$1:$G$322,2,FALSE)</f>
        <v>Sun Bicycles Streamway 7 - 2017</v>
      </c>
    </row>
    <row r="1138" spans="1:8" x14ac:dyDescent="0.3">
      <c r="A1138">
        <v>1137</v>
      </c>
      <c r="B1138">
        <v>1</v>
      </c>
      <c r="C1138">
        <v>28</v>
      </c>
      <c r="D1138" s="2">
        <v>1</v>
      </c>
      <c r="E1138" s="2">
        <v>2499.9899999999998</v>
      </c>
      <c r="F1138">
        <v>0.2</v>
      </c>
      <c r="G1138">
        <f t="shared" si="17"/>
        <v>2499.79</v>
      </c>
      <c r="H1138" t="str">
        <f>VLOOKUP(C1138,'products '!$A$1:$G$322,2,FALSE)</f>
        <v>Surly Karate Monkey 27.5+ Frameset - 2017</v>
      </c>
    </row>
    <row r="1139" spans="1:8" x14ac:dyDescent="0.3">
      <c r="A1139">
        <v>1138</v>
      </c>
      <c r="B1139">
        <v>1</v>
      </c>
      <c r="C1139">
        <v>13</v>
      </c>
      <c r="D1139" s="2">
        <v>2</v>
      </c>
      <c r="E1139" s="2">
        <v>269.99</v>
      </c>
      <c r="F1139">
        <v>0.05</v>
      </c>
      <c r="G1139">
        <f t="shared" si="17"/>
        <v>539.93000000000006</v>
      </c>
      <c r="H1139" t="str">
        <f>VLOOKUP(C1139,'products '!$A$1:$G$322,2,FALSE)</f>
        <v>Electra Cruiser 1 (24-Inch) - 2016</v>
      </c>
    </row>
    <row r="1140" spans="1:8" x14ac:dyDescent="0.3">
      <c r="A1140">
        <v>1139</v>
      </c>
      <c r="B1140">
        <v>1</v>
      </c>
      <c r="C1140">
        <v>106</v>
      </c>
      <c r="D1140" s="2">
        <v>2</v>
      </c>
      <c r="E1140" s="2">
        <v>449.99</v>
      </c>
      <c r="F1140">
        <v>0.05</v>
      </c>
      <c r="G1140">
        <f t="shared" si="17"/>
        <v>899.93000000000006</v>
      </c>
      <c r="H1140" t="str">
        <f>VLOOKUP(C1140,'products '!$A$1:$G$322,2,FALSE)</f>
        <v>Sun Bicycles Cruz 3 - 2017</v>
      </c>
    </row>
    <row r="1141" spans="1:8" x14ac:dyDescent="0.3">
      <c r="A1141">
        <v>1140</v>
      </c>
      <c r="B1141">
        <v>1</v>
      </c>
      <c r="C1141">
        <v>39</v>
      </c>
      <c r="D1141" s="2">
        <v>2</v>
      </c>
      <c r="E1141" s="2">
        <v>1499.99</v>
      </c>
      <c r="F1141">
        <v>0.1</v>
      </c>
      <c r="G1141">
        <f t="shared" si="17"/>
        <v>2999.88</v>
      </c>
      <c r="H1141" t="str">
        <f>VLOOKUP(C1141,'products '!$A$1:$G$322,2,FALSE)</f>
        <v>Trek Stache 5 - 2017</v>
      </c>
    </row>
    <row r="1142" spans="1:8" x14ac:dyDescent="0.3">
      <c r="A1142">
        <v>1141</v>
      </c>
      <c r="B1142">
        <v>1</v>
      </c>
      <c r="C1142">
        <v>8</v>
      </c>
      <c r="D1142" s="2">
        <v>1</v>
      </c>
      <c r="E1142" s="2">
        <v>1799.99</v>
      </c>
      <c r="F1142">
        <v>0.1</v>
      </c>
      <c r="G1142">
        <f t="shared" si="17"/>
        <v>1799.89</v>
      </c>
      <c r="H1142" t="str">
        <f>VLOOKUP(C1142,'products '!$A$1:$G$322,2,FALSE)</f>
        <v>Trek Remedy 29 Carbon Frameset - 2016</v>
      </c>
    </row>
    <row r="1143" spans="1:8" x14ac:dyDescent="0.3">
      <c r="A1143">
        <v>1142</v>
      </c>
      <c r="B1143">
        <v>1</v>
      </c>
      <c r="C1143">
        <v>20</v>
      </c>
      <c r="D1143" s="2">
        <v>2</v>
      </c>
      <c r="E1143" s="2">
        <v>599.99</v>
      </c>
      <c r="F1143">
        <v>7.0000000000000007E-2</v>
      </c>
      <c r="G1143">
        <f t="shared" si="17"/>
        <v>1199.9100000000001</v>
      </c>
      <c r="H1143" t="str">
        <f>VLOOKUP(C1143,'products '!$A$1:$G$322,2,FALSE)</f>
        <v>Electra Townie Original 7D EQ - Women's - 2016</v>
      </c>
    </row>
    <row r="1144" spans="1:8" x14ac:dyDescent="0.3">
      <c r="A1144">
        <v>1143</v>
      </c>
      <c r="B1144">
        <v>1</v>
      </c>
      <c r="C1144">
        <v>99</v>
      </c>
      <c r="D1144" s="2">
        <v>1</v>
      </c>
      <c r="E1144" s="2">
        <v>299.99</v>
      </c>
      <c r="F1144">
        <v>0.2</v>
      </c>
      <c r="G1144">
        <f t="shared" si="17"/>
        <v>299.79000000000002</v>
      </c>
      <c r="H1144" t="str">
        <f>VLOOKUP(C1144,'products '!$A$1:$G$322,2,FALSE)</f>
        <v>Electra Sugar Skulls 1 (20-inch) - Girl's - 2017</v>
      </c>
    </row>
    <row r="1145" spans="1:8" x14ac:dyDescent="0.3">
      <c r="A1145">
        <v>1144</v>
      </c>
      <c r="B1145">
        <v>1</v>
      </c>
      <c r="C1145">
        <v>88</v>
      </c>
      <c r="D1145" s="2">
        <v>1</v>
      </c>
      <c r="E1145" s="2">
        <v>189.99</v>
      </c>
      <c r="F1145">
        <v>7.0000000000000007E-2</v>
      </c>
      <c r="G1145">
        <f t="shared" si="17"/>
        <v>189.92000000000002</v>
      </c>
      <c r="H1145" t="str">
        <f>VLOOKUP(C1145,'products '!$A$1:$G$322,2,FALSE)</f>
        <v>Trek Precaliber 12 Girls - 2017</v>
      </c>
    </row>
    <row r="1146" spans="1:8" x14ac:dyDescent="0.3">
      <c r="A1146">
        <v>1145</v>
      </c>
      <c r="B1146">
        <v>1</v>
      </c>
      <c r="C1146">
        <v>105</v>
      </c>
      <c r="D1146" s="2">
        <v>2</v>
      </c>
      <c r="E1146" s="2">
        <v>533.99</v>
      </c>
      <c r="F1146">
        <v>7.0000000000000007E-2</v>
      </c>
      <c r="G1146">
        <f t="shared" si="17"/>
        <v>1067.9100000000001</v>
      </c>
      <c r="H1146" t="str">
        <f>VLOOKUP(C1146,'products '!$A$1:$G$322,2,FALSE)</f>
        <v>Sun Bicycles Streamway 7 - 2017</v>
      </c>
    </row>
    <row r="1147" spans="1:8" x14ac:dyDescent="0.3">
      <c r="A1147">
        <v>1146</v>
      </c>
      <c r="B1147">
        <v>1</v>
      </c>
      <c r="C1147">
        <v>36</v>
      </c>
      <c r="D1147" s="2">
        <v>1</v>
      </c>
      <c r="E1147" s="2">
        <v>832.99</v>
      </c>
      <c r="F1147">
        <v>7.0000000000000007E-2</v>
      </c>
      <c r="G1147">
        <f t="shared" si="17"/>
        <v>832.92</v>
      </c>
      <c r="H1147" t="str">
        <f>VLOOKUP(C1147,'products '!$A$1:$G$322,2,FALSE)</f>
        <v>Surly Troll Frameset - 2017</v>
      </c>
    </row>
    <row r="1148" spans="1:8" x14ac:dyDescent="0.3">
      <c r="A1148">
        <v>1147</v>
      </c>
      <c r="B1148">
        <v>1</v>
      </c>
      <c r="C1148">
        <v>82</v>
      </c>
      <c r="D1148" s="2">
        <v>1</v>
      </c>
      <c r="E1148" s="2">
        <v>659.99</v>
      </c>
      <c r="F1148">
        <v>0.2</v>
      </c>
      <c r="G1148">
        <f t="shared" si="17"/>
        <v>659.79</v>
      </c>
      <c r="H1148" t="str">
        <f>VLOOKUP(C1148,'products '!$A$1:$G$322,2,FALSE)</f>
        <v>Electra Amsterdam Original 3i Ladies' - 2017</v>
      </c>
    </row>
    <row r="1149" spans="1:8" x14ac:dyDescent="0.3">
      <c r="A1149">
        <v>1148</v>
      </c>
      <c r="B1149">
        <v>1</v>
      </c>
      <c r="C1149">
        <v>82</v>
      </c>
      <c r="D1149" s="2">
        <v>1</v>
      </c>
      <c r="E1149" s="2">
        <v>659.99</v>
      </c>
      <c r="F1149">
        <v>7.0000000000000007E-2</v>
      </c>
      <c r="G1149">
        <f t="shared" si="17"/>
        <v>659.92</v>
      </c>
      <c r="H1149" t="str">
        <f>VLOOKUP(C1149,'products '!$A$1:$G$322,2,FALSE)</f>
        <v>Electra Amsterdam Original 3i Ladies' - 2017</v>
      </c>
    </row>
    <row r="1150" spans="1:8" x14ac:dyDescent="0.3">
      <c r="A1150">
        <v>1149</v>
      </c>
      <c r="B1150">
        <v>1</v>
      </c>
      <c r="C1150">
        <v>98</v>
      </c>
      <c r="D1150" s="2">
        <v>2</v>
      </c>
      <c r="E1150" s="2">
        <v>489.99</v>
      </c>
      <c r="F1150">
        <v>7.0000000000000007E-2</v>
      </c>
      <c r="G1150">
        <f t="shared" si="17"/>
        <v>979.91</v>
      </c>
      <c r="H1150" t="str">
        <f>VLOOKUP(C1150,'products '!$A$1:$G$322,2,FALSE)</f>
        <v>Electra Straight 8 3i (20-inch) - Boy's - 2017</v>
      </c>
    </row>
    <row r="1151" spans="1:8" x14ac:dyDescent="0.3">
      <c r="A1151">
        <v>1150</v>
      </c>
      <c r="B1151">
        <v>1</v>
      </c>
      <c r="C1151">
        <v>29</v>
      </c>
      <c r="D1151" s="2">
        <v>1</v>
      </c>
      <c r="E1151" s="2">
        <v>999.99</v>
      </c>
      <c r="F1151">
        <v>0.05</v>
      </c>
      <c r="G1151">
        <f t="shared" si="17"/>
        <v>999.94</v>
      </c>
      <c r="H1151" t="str">
        <f>VLOOKUP(C1151,'products '!$A$1:$G$322,2,FALSE)</f>
        <v>Trek X-Caliber 8 - 2017</v>
      </c>
    </row>
    <row r="1152" spans="1:8" x14ac:dyDescent="0.3">
      <c r="A1152">
        <v>1151</v>
      </c>
      <c r="B1152">
        <v>1</v>
      </c>
      <c r="C1152">
        <v>30</v>
      </c>
      <c r="D1152" s="2">
        <v>2</v>
      </c>
      <c r="E1152" s="2">
        <v>999.99</v>
      </c>
      <c r="F1152">
        <v>0.05</v>
      </c>
      <c r="G1152">
        <f t="shared" si="17"/>
        <v>1999.93</v>
      </c>
      <c r="H1152" t="str">
        <f>VLOOKUP(C1152,'products '!$A$1:$G$322,2,FALSE)</f>
        <v>Surly Ice Cream Truck Frameset - 2017</v>
      </c>
    </row>
    <row r="1153" spans="1:8" x14ac:dyDescent="0.3">
      <c r="A1153">
        <v>1152</v>
      </c>
      <c r="B1153">
        <v>1</v>
      </c>
      <c r="C1153">
        <v>58</v>
      </c>
      <c r="D1153" s="2">
        <v>1</v>
      </c>
      <c r="E1153" s="2">
        <v>4999.99</v>
      </c>
      <c r="F1153">
        <v>7.0000000000000007E-2</v>
      </c>
      <c r="G1153">
        <f t="shared" si="17"/>
        <v>4999.92</v>
      </c>
      <c r="H1153" t="str">
        <f>VLOOKUP(C1153,'products '!$A$1:$G$322,2,FALSE)</f>
        <v>Trek Madone 9.2 - 2017</v>
      </c>
    </row>
    <row r="1154" spans="1:8" x14ac:dyDescent="0.3">
      <c r="A1154">
        <v>1153</v>
      </c>
      <c r="B1154">
        <v>1</v>
      </c>
      <c r="C1154">
        <v>103</v>
      </c>
      <c r="D1154" s="2">
        <v>1</v>
      </c>
      <c r="E1154" s="2">
        <v>551.99</v>
      </c>
      <c r="F1154">
        <v>0.1</v>
      </c>
      <c r="G1154">
        <f t="shared" si="17"/>
        <v>551.89</v>
      </c>
      <c r="H1154" t="str">
        <f>VLOOKUP(C1154,'products '!$A$1:$G$322,2,FALSE)</f>
        <v>Sun Bicycles Streamway 3 - 2017</v>
      </c>
    </row>
    <row r="1155" spans="1:8" x14ac:dyDescent="0.3">
      <c r="A1155">
        <v>1154</v>
      </c>
      <c r="B1155">
        <v>1</v>
      </c>
      <c r="C1155">
        <v>17</v>
      </c>
      <c r="D1155" s="2">
        <v>1</v>
      </c>
      <c r="E1155" s="2">
        <v>429</v>
      </c>
      <c r="F1155">
        <v>0.2</v>
      </c>
      <c r="G1155">
        <f t="shared" ref="G1155:G1218" si="18">E1155*D1155-F1155</f>
        <v>428.8</v>
      </c>
      <c r="H1155" t="str">
        <f>VLOOKUP(C1155,'products '!$A$1:$G$322,2,FALSE)</f>
        <v>Pure Cycles Vine 8-Speed - 2016</v>
      </c>
    </row>
    <row r="1156" spans="1:8" x14ac:dyDescent="0.3">
      <c r="A1156">
        <v>1155</v>
      </c>
      <c r="B1156">
        <v>1</v>
      </c>
      <c r="C1156">
        <v>68</v>
      </c>
      <c r="D1156" s="2">
        <v>2</v>
      </c>
      <c r="E1156" s="2">
        <v>449.99</v>
      </c>
      <c r="F1156">
        <v>0.05</v>
      </c>
      <c r="G1156">
        <f t="shared" si="18"/>
        <v>899.93000000000006</v>
      </c>
      <c r="H1156" t="str">
        <f>VLOOKUP(C1156,'products '!$A$1:$G$322,2,FALSE)</f>
        <v>Sun Bicycles Cruz 3 - 2017</v>
      </c>
    </row>
    <row r="1157" spans="1:8" x14ac:dyDescent="0.3">
      <c r="A1157">
        <v>1156</v>
      </c>
      <c r="B1157">
        <v>1</v>
      </c>
      <c r="C1157">
        <v>111</v>
      </c>
      <c r="D1157" s="2">
        <v>2</v>
      </c>
      <c r="E1157" s="2">
        <v>470.99</v>
      </c>
      <c r="F1157">
        <v>0.05</v>
      </c>
      <c r="G1157">
        <f t="shared" si="18"/>
        <v>941.93000000000006</v>
      </c>
      <c r="H1157" t="str">
        <f>VLOOKUP(C1157,'products '!$A$1:$G$322,2,FALSE)</f>
        <v>Sun Bicycles Drifter 7 - Women's - 2017</v>
      </c>
    </row>
    <row r="1158" spans="1:8" x14ac:dyDescent="0.3">
      <c r="A1158">
        <v>1157</v>
      </c>
      <c r="B1158">
        <v>1</v>
      </c>
      <c r="C1158">
        <v>20</v>
      </c>
      <c r="D1158" s="2">
        <v>1</v>
      </c>
      <c r="E1158" s="2">
        <v>599.99</v>
      </c>
      <c r="F1158">
        <v>0.1</v>
      </c>
      <c r="G1158">
        <f t="shared" si="18"/>
        <v>599.89</v>
      </c>
      <c r="H1158" t="str">
        <f>VLOOKUP(C1158,'products '!$A$1:$G$322,2,FALSE)</f>
        <v>Electra Townie Original 7D EQ - Women's - 2016</v>
      </c>
    </row>
    <row r="1159" spans="1:8" x14ac:dyDescent="0.3">
      <c r="A1159">
        <v>1158</v>
      </c>
      <c r="B1159">
        <v>1</v>
      </c>
      <c r="C1159">
        <v>95</v>
      </c>
      <c r="D1159" s="2">
        <v>2</v>
      </c>
      <c r="E1159" s="2">
        <v>299.99</v>
      </c>
      <c r="F1159">
        <v>0.1</v>
      </c>
      <c r="G1159">
        <f t="shared" si="18"/>
        <v>599.88</v>
      </c>
      <c r="H1159" t="str">
        <f>VLOOKUP(C1159,'products '!$A$1:$G$322,2,FALSE)</f>
        <v>Electra Girl's Hawaii 1 16" - 2017</v>
      </c>
    </row>
    <row r="1160" spans="1:8" x14ac:dyDescent="0.3">
      <c r="A1160">
        <v>1159</v>
      </c>
      <c r="B1160">
        <v>1</v>
      </c>
      <c r="C1160">
        <v>12</v>
      </c>
      <c r="D1160" s="2">
        <v>2</v>
      </c>
      <c r="E1160" s="2">
        <v>549.99</v>
      </c>
      <c r="F1160">
        <v>0.1</v>
      </c>
      <c r="G1160">
        <f t="shared" si="18"/>
        <v>1099.8800000000001</v>
      </c>
      <c r="H1160" t="str">
        <f>VLOOKUP(C1160,'products '!$A$1:$G$322,2,FALSE)</f>
        <v>Electra Townie Original 21D - 2016</v>
      </c>
    </row>
    <row r="1161" spans="1:8" x14ac:dyDescent="0.3">
      <c r="A1161">
        <v>1160</v>
      </c>
      <c r="B1161">
        <v>1</v>
      </c>
      <c r="C1161">
        <v>41</v>
      </c>
      <c r="D1161" s="2">
        <v>1</v>
      </c>
      <c r="E1161" s="2">
        <v>1469.99</v>
      </c>
      <c r="F1161">
        <v>0.1</v>
      </c>
      <c r="G1161">
        <f t="shared" si="18"/>
        <v>1469.89</v>
      </c>
      <c r="H1161" t="str">
        <f>VLOOKUP(C1161,'products '!$A$1:$G$322,2,FALSE)</f>
        <v>Haro Shift R3 - 2017</v>
      </c>
    </row>
    <row r="1162" spans="1:8" x14ac:dyDescent="0.3">
      <c r="A1162">
        <v>1161</v>
      </c>
      <c r="B1162">
        <v>1</v>
      </c>
      <c r="C1162">
        <v>71</v>
      </c>
      <c r="D1162" s="2">
        <v>2</v>
      </c>
      <c r="E1162" s="2">
        <v>416.99</v>
      </c>
      <c r="F1162">
        <v>0.1</v>
      </c>
      <c r="G1162">
        <f t="shared" si="18"/>
        <v>833.88</v>
      </c>
      <c r="H1162" t="str">
        <f>VLOOKUP(C1162,'products '!$A$1:$G$322,2,FALSE)</f>
        <v>Sun Bicycles Atlas X-Type - 2017</v>
      </c>
    </row>
    <row r="1163" spans="1:8" x14ac:dyDescent="0.3">
      <c r="A1163">
        <v>1162</v>
      </c>
      <c r="B1163">
        <v>1</v>
      </c>
      <c r="C1163">
        <v>88</v>
      </c>
      <c r="D1163" s="2">
        <v>1</v>
      </c>
      <c r="E1163" s="2">
        <v>189.99</v>
      </c>
      <c r="F1163">
        <v>0.2</v>
      </c>
      <c r="G1163">
        <f t="shared" si="18"/>
        <v>189.79000000000002</v>
      </c>
      <c r="H1163" t="str">
        <f>VLOOKUP(C1163,'products '!$A$1:$G$322,2,FALSE)</f>
        <v>Trek Precaliber 12 Girls - 2017</v>
      </c>
    </row>
    <row r="1164" spans="1:8" x14ac:dyDescent="0.3">
      <c r="A1164">
        <v>1163</v>
      </c>
      <c r="B1164">
        <v>1</v>
      </c>
      <c r="C1164">
        <v>63</v>
      </c>
      <c r="D1164" s="2">
        <v>2</v>
      </c>
      <c r="E1164" s="2">
        <v>3499.99</v>
      </c>
      <c r="F1164">
        <v>0.05</v>
      </c>
      <c r="G1164">
        <f t="shared" si="18"/>
        <v>6999.9299999999994</v>
      </c>
      <c r="H1164" t="str">
        <f>VLOOKUP(C1164,'products '!$A$1:$G$322,2,FALSE)</f>
        <v>Trek Boone Race Shop Limited - 2017</v>
      </c>
    </row>
    <row r="1165" spans="1:8" x14ac:dyDescent="0.3">
      <c r="A1165">
        <v>1164</v>
      </c>
      <c r="B1165">
        <v>1</v>
      </c>
      <c r="C1165">
        <v>8</v>
      </c>
      <c r="D1165" s="2">
        <v>1</v>
      </c>
      <c r="E1165" s="2">
        <v>1799.99</v>
      </c>
      <c r="F1165">
        <v>0.2</v>
      </c>
      <c r="G1165">
        <f t="shared" si="18"/>
        <v>1799.79</v>
      </c>
      <c r="H1165" t="str">
        <f>VLOOKUP(C1165,'products '!$A$1:$G$322,2,FALSE)</f>
        <v>Trek Remedy 29 Carbon Frameset - 2016</v>
      </c>
    </row>
    <row r="1166" spans="1:8" x14ac:dyDescent="0.3">
      <c r="A1166">
        <v>1165</v>
      </c>
      <c r="B1166">
        <v>1</v>
      </c>
      <c r="C1166">
        <v>65</v>
      </c>
      <c r="D1166" s="2">
        <v>2</v>
      </c>
      <c r="E1166" s="2">
        <v>346.99</v>
      </c>
      <c r="F1166">
        <v>7.0000000000000007E-2</v>
      </c>
      <c r="G1166">
        <f t="shared" si="18"/>
        <v>693.91</v>
      </c>
      <c r="H1166" t="str">
        <f>VLOOKUP(C1166,'products '!$A$1:$G$322,2,FALSE)</f>
        <v>Sun Bicycles Lil Bolt Type-R - 2017</v>
      </c>
    </row>
    <row r="1167" spans="1:8" x14ac:dyDescent="0.3">
      <c r="A1167">
        <v>1166</v>
      </c>
      <c r="B1167">
        <v>1</v>
      </c>
      <c r="C1167">
        <v>103</v>
      </c>
      <c r="D1167" s="2">
        <v>2</v>
      </c>
      <c r="E1167" s="2">
        <v>551.99</v>
      </c>
      <c r="F1167">
        <v>7.0000000000000007E-2</v>
      </c>
      <c r="G1167">
        <f t="shared" si="18"/>
        <v>1103.9100000000001</v>
      </c>
      <c r="H1167" t="str">
        <f>VLOOKUP(C1167,'products '!$A$1:$G$322,2,FALSE)</f>
        <v>Sun Bicycles Streamway 3 - 2017</v>
      </c>
    </row>
    <row r="1168" spans="1:8" x14ac:dyDescent="0.3">
      <c r="A1168">
        <v>1167</v>
      </c>
      <c r="B1168">
        <v>1</v>
      </c>
      <c r="C1168">
        <v>29</v>
      </c>
      <c r="D1168" s="2">
        <v>2</v>
      </c>
      <c r="E1168" s="2">
        <v>999.99</v>
      </c>
      <c r="F1168">
        <v>0.05</v>
      </c>
      <c r="G1168">
        <f t="shared" si="18"/>
        <v>1999.93</v>
      </c>
      <c r="H1168" t="str">
        <f>VLOOKUP(C1168,'products '!$A$1:$G$322,2,FALSE)</f>
        <v>Trek X-Caliber 8 - 2017</v>
      </c>
    </row>
    <row r="1169" spans="1:8" x14ac:dyDescent="0.3">
      <c r="A1169">
        <v>1168</v>
      </c>
      <c r="B1169">
        <v>1</v>
      </c>
      <c r="C1169">
        <v>23</v>
      </c>
      <c r="D1169" s="2">
        <v>2</v>
      </c>
      <c r="E1169" s="2">
        <v>299.99</v>
      </c>
      <c r="F1169">
        <v>0.1</v>
      </c>
      <c r="G1169">
        <f t="shared" si="18"/>
        <v>599.88</v>
      </c>
      <c r="H1169" t="str">
        <f>VLOOKUP(C1169,'products '!$A$1:$G$322,2,FALSE)</f>
        <v>Electra Girl's Hawaii 1 (20-inch) - 2015/2016</v>
      </c>
    </row>
    <row r="1170" spans="1:8" x14ac:dyDescent="0.3">
      <c r="A1170">
        <v>1169</v>
      </c>
      <c r="B1170">
        <v>1</v>
      </c>
      <c r="C1170">
        <v>91</v>
      </c>
      <c r="D1170" s="2">
        <v>2</v>
      </c>
      <c r="E1170" s="2">
        <v>349.99</v>
      </c>
      <c r="F1170">
        <v>0.2</v>
      </c>
      <c r="G1170">
        <f t="shared" si="18"/>
        <v>699.78</v>
      </c>
      <c r="H1170" t="str">
        <f>VLOOKUP(C1170,'products '!$A$1:$G$322,2,FALSE)</f>
        <v>Trek Precaliber 24 (21-Speed) - Girls - 2017</v>
      </c>
    </row>
    <row r="1171" spans="1:8" x14ac:dyDescent="0.3">
      <c r="A1171">
        <v>1170</v>
      </c>
      <c r="B1171">
        <v>1</v>
      </c>
      <c r="C1171">
        <v>15</v>
      </c>
      <c r="D1171" s="2">
        <v>1</v>
      </c>
      <c r="E1171" s="2">
        <v>529.99</v>
      </c>
      <c r="F1171">
        <v>0.1</v>
      </c>
      <c r="G1171">
        <f t="shared" si="18"/>
        <v>529.89</v>
      </c>
      <c r="H1171" t="str">
        <f>VLOOKUP(C1171,'products '!$A$1:$G$322,2,FALSE)</f>
        <v>Electra Moto 1 - 2016</v>
      </c>
    </row>
    <row r="1172" spans="1:8" x14ac:dyDescent="0.3">
      <c r="A1172">
        <v>1171</v>
      </c>
      <c r="B1172">
        <v>1</v>
      </c>
      <c r="C1172">
        <v>94</v>
      </c>
      <c r="D1172" s="2">
        <v>2</v>
      </c>
      <c r="E1172" s="2">
        <v>249.99</v>
      </c>
      <c r="F1172">
        <v>0.2</v>
      </c>
      <c r="G1172">
        <f t="shared" si="18"/>
        <v>499.78000000000003</v>
      </c>
      <c r="H1172" t="str">
        <f>VLOOKUP(C1172,'products '!$A$1:$G$322,2,FALSE)</f>
        <v>Haro Shredder Pro 20 - 2017</v>
      </c>
    </row>
    <row r="1173" spans="1:8" x14ac:dyDescent="0.3">
      <c r="A1173">
        <v>1172</v>
      </c>
      <c r="B1173">
        <v>1</v>
      </c>
      <c r="C1173">
        <v>78</v>
      </c>
      <c r="D1173" s="2">
        <v>2</v>
      </c>
      <c r="E1173" s="2">
        <v>647.99</v>
      </c>
      <c r="F1173">
        <v>7.0000000000000007E-2</v>
      </c>
      <c r="G1173">
        <f t="shared" si="18"/>
        <v>1295.9100000000001</v>
      </c>
      <c r="H1173" t="str">
        <f>VLOOKUP(C1173,'products '!$A$1:$G$322,2,FALSE)</f>
        <v>Sun Bicycles Biscayne Tandem CB - 2017</v>
      </c>
    </row>
    <row r="1174" spans="1:8" x14ac:dyDescent="0.3">
      <c r="A1174">
        <v>1173</v>
      </c>
      <c r="B1174">
        <v>1</v>
      </c>
      <c r="C1174">
        <v>95</v>
      </c>
      <c r="D1174" s="2">
        <v>1</v>
      </c>
      <c r="E1174" s="2">
        <v>299.99</v>
      </c>
      <c r="F1174">
        <v>0.2</v>
      </c>
      <c r="G1174">
        <f t="shared" si="18"/>
        <v>299.79000000000002</v>
      </c>
      <c r="H1174" t="str">
        <f>VLOOKUP(C1174,'products '!$A$1:$G$322,2,FALSE)</f>
        <v>Electra Girl's Hawaii 1 16" - 2017</v>
      </c>
    </row>
    <row r="1175" spans="1:8" x14ac:dyDescent="0.3">
      <c r="A1175">
        <v>1174</v>
      </c>
      <c r="B1175">
        <v>1</v>
      </c>
      <c r="C1175">
        <v>110</v>
      </c>
      <c r="D1175" s="2">
        <v>2</v>
      </c>
      <c r="E1175" s="2">
        <v>470.99</v>
      </c>
      <c r="F1175">
        <v>0.2</v>
      </c>
      <c r="G1175">
        <f t="shared" si="18"/>
        <v>941.78</v>
      </c>
      <c r="H1175" t="str">
        <f>VLOOKUP(C1175,'products '!$A$1:$G$322,2,FALSE)</f>
        <v>Sun Bicycles Drifter 7 - 2017</v>
      </c>
    </row>
    <row r="1176" spans="1:8" x14ac:dyDescent="0.3">
      <c r="A1176">
        <v>1175</v>
      </c>
      <c r="B1176">
        <v>1</v>
      </c>
      <c r="C1176">
        <v>58</v>
      </c>
      <c r="D1176" s="2">
        <v>2</v>
      </c>
      <c r="E1176" s="2">
        <v>4999.99</v>
      </c>
      <c r="F1176">
        <v>7.0000000000000007E-2</v>
      </c>
      <c r="G1176">
        <f t="shared" si="18"/>
        <v>9999.91</v>
      </c>
      <c r="H1176" t="str">
        <f>VLOOKUP(C1176,'products '!$A$1:$G$322,2,FALSE)</f>
        <v>Trek Madone 9.2 - 2017</v>
      </c>
    </row>
    <row r="1177" spans="1:8" x14ac:dyDescent="0.3">
      <c r="A1177">
        <v>1176</v>
      </c>
      <c r="B1177">
        <v>1</v>
      </c>
      <c r="C1177">
        <v>87</v>
      </c>
      <c r="D1177" s="2">
        <v>1</v>
      </c>
      <c r="E1177" s="2">
        <v>189.99</v>
      </c>
      <c r="F1177">
        <v>0.1</v>
      </c>
      <c r="G1177">
        <f t="shared" si="18"/>
        <v>189.89000000000001</v>
      </c>
      <c r="H1177" t="str">
        <f>VLOOKUP(C1177,'products '!$A$1:$G$322,2,FALSE)</f>
        <v>Trek Precaliber 12 Boys - 2017</v>
      </c>
    </row>
    <row r="1178" spans="1:8" x14ac:dyDescent="0.3">
      <c r="A1178">
        <v>1177</v>
      </c>
      <c r="B1178">
        <v>1</v>
      </c>
      <c r="C1178">
        <v>62</v>
      </c>
      <c r="D1178" s="2">
        <v>2</v>
      </c>
      <c r="E1178" s="2">
        <v>3499.99</v>
      </c>
      <c r="F1178">
        <v>7.0000000000000007E-2</v>
      </c>
      <c r="G1178">
        <f t="shared" si="18"/>
        <v>6999.91</v>
      </c>
      <c r="H1178" t="str">
        <f>VLOOKUP(C1178,'products '!$A$1:$G$322,2,FALSE)</f>
        <v>Trek Boone 7 - 2017</v>
      </c>
    </row>
    <row r="1179" spans="1:8" x14ac:dyDescent="0.3">
      <c r="A1179">
        <v>1178</v>
      </c>
      <c r="B1179">
        <v>1</v>
      </c>
      <c r="C1179">
        <v>46</v>
      </c>
      <c r="D1179" s="2">
        <v>1</v>
      </c>
      <c r="E1179" s="2">
        <v>1409.99</v>
      </c>
      <c r="F1179">
        <v>7.0000000000000007E-2</v>
      </c>
      <c r="G1179">
        <f t="shared" si="18"/>
        <v>1409.92</v>
      </c>
      <c r="H1179" t="str">
        <f>VLOOKUP(C1179,'products '!$A$1:$G$322,2,FALSE)</f>
        <v>Haro SR 1.3 - 2017</v>
      </c>
    </row>
    <row r="1180" spans="1:8" x14ac:dyDescent="0.3">
      <c r="A1180">
        <v>1179</v>
      </c>
      <c r="B1180">
        <v>1</v>
      </c>
      <c r="C1180">
        <v>93</v>
      </c>
      <c r="D1180" s="2">
        <v>2</v>
      </c>
      <c r="E1180" s="2">
        <v>209.99</v>
      </c>
      <c r="F1180">
        <v>0.05</v>
      </c>
      <c r="G1180">
        <f t="shared" si="18"/>
        <v>419.93</v>
      </c>
      <c r="H1180" t="str">
        <f>VLOOKUP(C1180,'products '!$A$1:$G$322,2,FALSE)</f>
        <v>Haro Shredder 20 Girls - 2017</v>
      </c>
    </row>
    <row r="1181" spans="1:8" x14ac:dyDescent="0.3">
      <c r="A1181">
        <v>1180</v>
      </c>
      <c r="B1181">
        <v>1</v>
      </c>
      <c r="C1181">
        <v>66</v>
      </c>
      <c r="D1181" s="2">
        <v>2</v>
      </c>
      <c r="E1181" s="2">
        <v>250.99</v>
      </c>
      <c r="F1181">
        <v>7.0000000000000007E-2</v>
      </c>
      <c r="G1181">
        <f t="shared" si="18"/>
        <v>501.91</v>
      </c>
      <c r="H1181" t="str">
        <f>VLOOKUP(C1181,'products '!$A$1:$G$322,2,FALSE)</f>
        <v>Sun Bicycles Revolutions 24 - 2017</v>
      </c>
    </row>
    <row r="1182" spans="1:8" x14ac:dyDescent="0.3">
      <c r="A1182">
        <v>1181</v>
      </c>
      <c r="B1182">
        <v>1</v>
      </c>
      <c r="C1182">
        <v>98</v>
      </c>
      <c r="D1182" s="2">
        <v>1</v>
      </c>
      <c r="E1182" s="2">
        <v>489.99</v>
      </c>
      <c r="F1182">
        <v>0.1</v>
      </c>
      <c r="G1182">
        <f t="shared" si="18"/>
        <v>489.89</v>
      </c>
      <c r="H1182" t="str">
        <f>VLOOKUP(C1182,'products '!$A$1:$G$322,2,FALSE)</f>
        <v>Electra Straight 8 3i (20-inch) - Boy's - 2017</v>
      </c>
    </row>
    <row r="1183" spans="1:8" x14ac:dyDescent="0.3">
      <c r="A1183">
        <v>1182</v>
      </c>
      <c r="B1183">
        <v>1</v>
      </c>
      <c r="C1183">
        <v>35</v>
      </c>
      <c r="D1183" s="2">
        <v>1</v>
      </c>
      <c r="E1183" s="2">
        <v>832.99</v>
      </c>
      <c r="F1183">
        <v>0.1</v>
      </c>
      <c r="G1183">
        <f t="shared" si="18"/>
        <v>832.89</v>
      </c>
      <c r="H1183" t="str">
        <f>VLOOKUP(C1183,'products '!$A$1:$G$322,2,FALSE)</f>
        <v>Sun Bicycles Spider 3i - 2017</v>
      </c>
    </row>
    <row r="1184" spans="1:8" x14ac:dyDescent="0.3">
      <c r="A1184">
        <v>1183</v>
      </c>
      <c r="B1184">
        <v>1</v>
      </c>
      <c r="C1184">
        <v>63</v>
      </c>
      <c r="D1184" s="2">
        <v>1</v>
      </c>
      <c r="E1184" s="2">
        <v>3499.99</v>
      </c>
      <c r="F1184">
        <v>0.2</v>
      </c>
      <c r="G1184">
        <f t="shared" si="18"/>
        <v>3499.79</v>
      </c>
      <c r="H1184" t="str">
        <f>VLOOKUP(C1184,'products '!$A$1:$G$322,2,FALSE)</f>
        <v>Trek Boone Race Shop Limited - 2017</v>
      </c>
    </row>
    <row r="1185" spans="1:8" x14ac:dyDescent="0.3">
      <c r="A1185">
        <v>1184</v>
      </c>
      <c r="B1185">
        <v>1</v>
      </c>
      <c r="C1185">
        <v>16</v>
      </c>
      <c r="D1185" s="2">
        <v>2</v>
      </c>
      <c r="E1185" s="2">
        <v>599.99</v>
      </c>
      <c r="F1185">
        <v>0.05</v>
      </c>
      <c r="G1185">
        <f t="shared" si="18"/>
        <v>1199.93</v>
      </c>
      <c r="H1185" t="str">
        <f>VLOOKUP(C1185,'products '!$A$1:$G$322,2,FALSE)</f>
        <v>Electra Townie Original 7D EQ - 2016</v>
      </c>
    </row>
    <row r="1186" spans="1:8" x14ac:dyDescent="0.3">
      <c r="A1186">
        <v>1185</v>
      </c>
      <c r="B1186">
        <v>1</v>
      </c>
      <c r="C1186">
        <v>19</v>
      </c>
      <c r="D1186" s="2">
        <v>2</v>
      </c>
      <c r="E1186" s="2">
        <v>449</v>
      </c>
      <c r="F1186">
        <v>7.0000000000000007E-2</v>
      </c>
      <c r="G1186">
        <f t="shared" si="18"/>
        <v>897.93</v>
      </c>
      <c r="H1186" t="str">
        <f>VLOOKUP(C1186,'products '!$A$1:$G$322,2,FALSE)</f>
        <v>Pure Cycles William 3-Speed - 2016</v>
      </c>
    </row>
    <row r="1187" spans="1:8" x14ac:dyDescent="0.3">
      <c r="A1187">
        <v>1186</v>
      </c>
      <c r="B1187">
        <v>1</v>
      </c>
      <c r="C1187">
        <v>48</v>
      </c>
      <c r="D1187" s="2">
        <v>2</v>
      </c>
      <c r="E1187" s="2">
        <v>1499.99</v>
      </c>
      <c r="F1187">
        <v>0.1</v>
      </c>
      <c r="G1187">
        <f t="shared" si="18"/>
        <v>2999.88</v>
      </c>
      <c r="H1187" t="str">
        <f>VLOOKUP(C1187,'products '!$A$1:$G$322,2,FALSE)</f>
        <v>Trek Emonda S 4 - 2017</v>
      </c>
    </row>
    <row r="1188" spans="1:8" x14ac:dyDescent="0.3">
      <c r="A1188">
        <v>1187</v>
      </c>
      <c r="B1188">
        <v>1</v>
      </c>
      <c r="C1188">
        <v>36</v>
      </c>
      <c r="D1188" s="2">
        <v>2</v>
      </c>
      <c r="E1188" s="2">
        <v>832.99</v>
      </c>
      <c r="F1188">
        <v>0.1</v>
      </c>
      <c r="G1188">
        <f t="shared" si="18"/>
        <v>1665.88</v>
      </c>
      <c r="H1188" t="str">
        <f>VLOOKUP(C1188,'products '!$A$1:$G$322,2,FALSE)</f>
        <v>Surly Troll Frameset - 2017</v>
      </c>
    </row>
    <row r="1189" spans="1:8" x14ac:dyDescent="0.3">
      <c r="A1189">
        <v>1188</v>
      </c>
      <c r="B1189">
        <v>1</v>
      </c>
      <c r="C1189">
        <v>66</v>
      </c>
      <c r="D1189" s="2">
        <v>2</v>
      </c>
      <c r="E1189" s="2">
        <v>250.99</v>
      </c>
      <c r="F1189">
        <v>0.1</v>
      </c>
      <c r="G1189">
        <f t="shared" si="18"/>
        <v>501.88</v>
      </c>
      <c r="H1189" t="str">
        <f>VLOOKUP(C1189,'products '!$A$1:$G$322,2,FALSE)</f>
        <v>Sun Bicycles Revolutions 24 - 2017</v>
      </c>
    </row>
    <row r="1190" spans="1:8" x14ac:dyDescent="0.3">
      <c r="A1190">
        <v>1189</v>
      </c>
      <c r="B1190">
        <v>1</v>
      </c>
      <c r="C1190">
        <v>55</v>
      </c>
      <c r="D1190" s="2">
        <v>1</v>
      </c>
      <c r="E1190" s="2">
        <v>2699.99</v>
      </c>
      <c r="F1190">
        <v>7.0000000000000007E-2</v>
      </c>
      <c r="G1190">
        <f t="shared" si="18"/>
        <v>2699.9199999999996</v>
      </c>
      <c r="H1190" t="str">
        <f>VLOOKUP(C1190,'products '!$A$1:$G$322,2,FALSE)</f>
        <v>Trek Domane S 6 - 2017</v>
      </c>
    </row>
    <row r="1191" spans="1:8" x14ac:dyDescent="0.3">
      <c r="A1191">
        <v>1190</v>
      </c>
      <c r="B1191">
        <v>1</v>
      </c>
      <c r="C1191">
        <v>71</v>
      </c>
      <c r="D1191" s="2">
        <v>1</v>
      </c>
      <c r="E1191" s="2">
        <v>416.99</v>
      </c>
      <c r="F1191">
        <v>7.0000000000000007E-2</v>
      </c>
      <c r="G1191">
        <f t="shared" si="18"/>
        <v>416.92</v>
      </c>
      <c r="H1191" t="str">
        <f>VLOOKUP(C1191,'products '!$A$1:$G$322,2,FALSE)</f>
        <v>Sun Bicycles Atlas X-Type - 2017</v>
      </c>
    </row>
    <row r="1192" spans="1:8" x14ac:dyDescent="0.3">
      <c r="A1192">
        <v>1191</v>
      </c>
      <c r="B1192">
        <v>1</v>
      </c>
      <c r="C1192">
        <v>40</v>
      </c>
      <c r="D1192" s="2">
        <v>2</v>
      </c>
      <c r="E1192" s="2">
        <v>4999.99</v>
      </c>
      <c r="F1192">
        <v>0.1</v>
      </c>
      <c r="G1192">
        <f t="shared" si="18"/>
        <v>9999.8799999999992</v>
      </c>
      <c r="H1192" t="str">
        <f>VLOOKUP(C1192,'products '!$A$1:$G$322,2,FALSE)</f>
        <v>Trek Fuel EX 9.8 29 - 2017</v>
      </c>
    </row>
    <row r="1193" spans="1:8" x14ac:dyDescent="0.3">
      <c r="A1193">
        <v>1192</v>
      </c>
      <c r="B1193">
        <v>1</v>
      </c>
      <c r="C1193">
        <v>24</v>
      </c>
      <c r="D1193" s="2">
        <v>2</v>
      </c>
      <c r="E1193" s="2">
        <v>549.99</v>
      </c>
      <c r="F1193">
        <v>0.1</v>
      </c>
      <c r="G1193">
        <f t="shared" si="18"/>
        <v>1099.8800000000001</v>
      </c>
      <c r="H1193" t="str">
        <f>VLOOKUP(C1193,'products '!$A$1:$G$322,2,FALSE)</f>
        <v>Electra Townie Original 21D - 2016</v>
      </c>
    </row>
    <row r="1194" spans="1:8" x14ac:dyDescent="0.3">
      <c r="A1194">
        <v>1193</v>
      </c>
      <c r="B1194">
        <v>1</v>
      </c>
      <c r="C1194">
        <v>83</v>
      </c>
      <c r="D1194" s="2">
        <v>2</v>
      </c>
      <c r="E1194" s="2">
        <v>149.99</v>
      </c>
      <c r="F1194">
        <v>0.05</v>
      </c>
      <c r="G1194">
        <f t="shared" si="18"/>
        <v>299.93</v>
      </c>
      <c r="H1194" t="str">
        <f>VLOOKUP(C1194,'products '!$A$1:$G$322,2,FALSE)</f>
        <v>Trek Boy's Kickster - 2015/2017</v>
      </c>
    </row>
    <row r="1195" spans="1:8" x14ac:dyDescent="0.3">
      <c r="A1195">
        <v>1194</v>
      </c>
      <c r="B1195">
        <v>1</v>
      </c>
      <c r="C1195">
        <v>71</v>
      </c>
      <c r="D1195" s="2">
        <v>1</v>
      </c>
      <c r="E1195" s="2">
        <v>416.99</v>
      </c>
      <c r="F1195">
        <v>0.05</v>
      </c>
      <c r="G1195">
        <f t="shared" si="18"/>
        <v>416.94</v>
      </c>
      <c r="H1195" t="str">
        <f>VLOOKUP(C1195,'products '!$A$1:$G$322,2,FALSE)</f>
        <v>Sun Bicycles Atlas X-Type - 2017</v>
      </c>
    </row>
    <row r="1196" spans="1:8" x14ac:dyDescent="0.3">
      <c r="A1196">
        <v>1195</v>
      </c>
      <c r="B1196">
        <v>1</v>
      </c>
      <c r="C1196">
        <v>52</v>
      </c>
      <c r="D1196" s="2">
        <v>1</v>
      </c>
      <c r="E1196" s="2">
        <v>875.99</v>
      </c>
      <c r="F1196">
        <v>7.0000000000000007E-2</v>
      </c>
      <c r="G1196">
        <f t="shared" si="18"/>
        <v>875.92</v>
      </c>
      <c r="H1196" t="str">
        <f>VLOOKUP(C1196,'products '!$A$1:$G$322,2,FALSE)</f>
        <v>Surly Steamroller - 2017</v>
      </c>
    </row>
    <row r="1197" spans="1:8" x14ac:dyDescent="0.3">
      <c r="A1197">
        <v>1196</v>
      </c>
      <c r="B1197">
        <v>1</v>
      </c>
      <c r="C1197">
        <v>53</v>
      </c>
      <c r="D1197" s="2">
        <v>1</v>
      </c>
      <c r="E1197" s="2">
        <v>749.99</v>
      </c>
      <c r="F1197">
        <v>7.0000000000000007E-2</v>
      </c>
      <c r="G1197">
        <f t="shared" si="18"/>
        <v>749.92</v>
      </c>
      <c r="H1197" t="str">
        <f>VLOOKUP(C1197,'products '!$A$1:$G$322,2,FALSE)</f>
        <v>Surly Ogre Frameset - 2017</v>
      </c>
    </row>
    <row r="1198" spans="1:8" x14ac:dyDescent="0.3">
      <c r="A1198">
        <v>1197</v>
      </c>
      <c r="B1198">
        <v>1</v>
      </c>
      <c r="C1198">
        <v>13</v>
      </c>
      <c r="D1198" s="2">
        <v>1</v>
      </c>
      <c r="E1198" s="2">
        <v>269.99</v>
      </c>
      <c r="F1198">
        <v>7.0000000000000007E-2</v>
      </c>
      <c r="G1198">
        <f t="shared" si="18"/>
        <v>269.92</v>
      </c>
      <c r="H1198" t="str">
        <f>VLOOKUP(C1198,'products '!$A$1:$G$322,2,FALSE)</f>
        <v>Electra Cruiser 1 (24-Inch) - 2016</v>
      </c>
    </row>
    <row r="1199" spans="1:8" x14ac:dyDescent="0.3">
      <c r="A1199">
        <v>1198</v>
      </c>
      <c r="B1199">
        <v>1</v>
      </c>
      <c r="C1199">
        <v>105</v>
      </c>
      <c r="D1199" s="2">
        <v>1</v>
      </c>
      <c r="E1199" s="2">
        <v>533.99</v>
      </c>
      <c r="F1199">
        <v>0.05</v>
      </c>
      <c r="G1199">
        <f t="shared" si="18"/>
        <v>533.94000000000005</v>
      </c>
      <c r="H1199" t="str">
        <f>VLOOKUP(C1199,'products '!$A$1:$G$322,2,FALSE)</f>
        <v>Sun Bicycles Streamway 7 - 2017</v>
      </c>
    </row>
    <row r="1200" spans="1:8" x14ac:dyDescent="0.3">
      <c r="A1200">
        <v>1199</v>
      </c>
      <c r="B1200">
        <v>1</v>
      </c>
      <c r="C1200">
        <v>32</v>
      </c>
      <c r="D1200" s="2">
        <v>1</v>
      </c>
      <c r="E1200" s="2">
        <v>469.99</v>
      </c>
      <c r="F1200">
        <v>0.05</v>
      </c>
      <c r="G1200">
        <f t="shared" si="18"/>
        <v>469.94</v>
      </c>
      <c r="H1200" t="str">
        <f>VLOOKUP(C1200,'products '!$A$1:$G$322,2,FALSE)</f>
        <v>Trek Farley Alloy Frameset - 2017</v>
      </c>
    </row>
    <row r="1201" spans="1:8" x14ac:dyDescent="0.3">
      <c r="A1201">
        <v>1200</v>
      </c>
      <c r="B1201">
        <v>1</v>
      </c>
      <c r="C1201">
        <v>42</v>
      </c>
      <c r="D1201" s="2">
        <v>2</v>
      </c>
      <c r="E1201" s="2">
        <v>2299.9899999999998</v>
      </c>
      <c r="F1201">
        <v>0.2</v>
      </c>
      <c r="G1201">
        <f t="shared" si="18"/>
        <v>4599.78</v>
      </c>
      <c r="H1201" t="str">
        <f>VLOOKUP(C1201,'products '!$A$1:$G$322,2,FALSE)</f>
        <v>Trek Fuel EX 5 27.5 Plus - 2017</v>
      </c>
    </row>
    <row r="1202" spans="1:8" x14ac:dyDescent="0.3">
      <c r="A1202">
        <v>1201</v>
      </c>
      <c r="B1202">
        <v>1</v>
      </c>
      <c r="C1202">
        <v>95</v>
      </c>
      <c r="D1202" s="2">
        <v>1</v>
      </c>
      <c r="E1202" s="2">
        <v>299.99</v>
      </c>
      <c r="F1202">
        <v>7.0000000000000007E-2</v>
      </c>
      <c r="G1202">
        <f t="shared" si="18"/>
        <v>299.92</v>
      </c>
      <c r="H1202" t="str">
        <f>VLOOKUP(C1202,'products '!$A$1:$G$322,2,FALSE)</f>
        <v>Electra Girl's Hawaii 1 16" - 2017</v>
      </c>
    </row>
    <row r="1203" spans="1:8" x14ac:dyDescent="0.3">
      <c r="A1203">
        <v>1202</v>
      </c>
      <c r="B1203">
        <v>1</v>
      </c>
      <c r="C1203">
        <v>84</v>
      </c>
      <c r="D1203" s="2">
        <v>2</v>
      </c>
      <c r="E1203" s="2">
        <v>109.99</v>
      </c>
      <c r="F1203">
        <v>0.05</v>
      </c>
      <c r="G1203">
        <f t="shared" si="18"/>
        <v>219.92999999999998</v>
      </c>
      <c r="H1203" t="str">
        <f>VLOOKUP(C1203,'products '!$A$1:$G$322,2,FALSE)</f>
        <v>Sun Bicycles Lil Kitt'n - 2017</v>
      </c>
    </row>
    <row r="1204" spans="1:8" x14ac:dyDescent="0.3">
      <c r="A1204">
        <v>1203</v>
      </c>
      <c r="B1204">
        <v>1</v>
      </c>
      <c r="C1204">
        <v>6</v>
      </c>
      <c r="D1204" s="2">
        <v>2</v>
      </c>
      <c r="E1204" s="2">
        <v>469.99</v>
      </c>
      <c r="F1204">
        <v>7.0000000000000007E-2</v>
      </c>
      <c r="G1204">
        <f t="shared" si="18"/>
        <v>939.91</v>
      </c>
      <c r="H1204" t="str">
        <f>VLOOKUP(C1204,'products '!$A$1:$G$322,2,FALSE)</f>
        <v>Surly Ice Cream Truck Frameset - 2016</v>
      </c>
    </row>
    <row r="1205" spans="1:8" x14ac:dyDescent="0.3">
      <c r="A1205">
        <v>1204</v>
      </c>
      <c r="B1205">
        <v>1</v>
      </c>
      <c r="C1205">
        <v>37</v>
      </c>
      <c r="D1205" s="2">
        <v>2</v>
      </c>
      <c r="E1205" s="2">
        <v>379.99</v>
      </c>
      <c r="F1205">
        <v>7.0000000000000007E-2</v>
      </c>
      <c r="G1205">
        <f t="shared" si="18"/>
        <v>759.91</v>
      </c>
      <c r="H1205" t="str">
        <f>VLOOKUP(C1205,'products '!$A$1:$G$322,2,FALSE)</f>
        <v>Haro Flightline One ST - 2017</v>
      </c>
    </row>
    <row r="1206" spans="1:8" x14ac:dyDescent="0.3">
      <c r="A1206">
        <v>1205</v>
      </c>
      <c r="B1206">
        <v>1</v>
      </c>
      <c r="C1206">
        <v>105</v>
      </c>
      <c r="D1206" s="2">
        <v>2</v>
      </c>
      <c r="E1206" s="2">
        <v>533.99</v>
      </c>
      <c r="F1206">
        <v>0.2</v>
      </c>
      <c r="G1206">
        <f t="shared" si="18"/>
        <v>1067.78</v>
      </c>
      <c r="H1206" t="str">
        <f>VLOOKUP(C1206,'products '!$A$1:$G$322,2,FALSE)</f>
        <v>Sun Bicycles Streamway 7 - 2017</v>
      </c>
    </row>
    <row r="1207" spans="1:8" x14ac:dyDescent="0.3">
      <c r="A1207">
        <v>1206</v>
      </c>
      <c r="B1207">
        <v>1</v>
      </c>
      <c r="C1207">
        <v>73</v>
      </c>
      <c r="D1207" s="2">
        <v>1</v>
      </c>
      <c r="E1207" s="2">
        <v>749.99</v>
      </c>
      <c r="F1207">
        <v>7.0000000000000007E-2</v>
      </c>
      <c r="G1207">
        <f t="shared" si="18"/>
        <v>749.92</v>
      </c>
      <c r="H1207" t="str">
        <f>VLOOKUP(C1207,'products '!$A$1:$G$322,2,FALSE)</f>
        <v>Sun Bicycles Brickell Tandem 7 - 2017</v>
      </c>
    </row>
    <row r="1208" spans="1:8" x14ac:dyDescent="0.3">
      <c r="A1208">
        <v>1207</v>
      </c>
      <c r="B1208">
        <v>1</v>
      </c>
      <c r="C1208">
        <v>104</v>
      </c>
      <c r="D1208" s="2">
        <v>1</v>
      </c>
      <c r="E1208" s="2">
        <v>481.99</v>
      </c>
      <c r="F1208">
        <v>0.05</v>
      </c>
      <c r="G1208">
        <f t="shared" si="18"/>
        <v>481.94</v>
      </c>
      <c r="H1208" t="str">
        <f>VLOOKUP(C1208,'products '!$A$1:$G$322,2,FALSE)</f>
        <v>Sun Bicycles Streamway - 2017</v>
      </c>
    </row>
    <row r="1209" spans="1:8" x14ac:dyDescent="0.3">
      <c r="A1209">
        <v>1208</v>
      </c>
      <c r="B1209">
        <v>1</v>
      </c>
      <c r="C1209">
        <v>12</v>
      </c>
      <c r="D1209" s="2">
        <v>1</v>
      </c>
      <c r="E1209" s="2">
        <v>549.99</v>
      </c>
      <c r="F1209">
        <v>0.2</v>
      </c>
      <c r="G1209">
        <f t="shared" si="18"/>
        <v>549.79</v>
      </c>
      <c r="H1209" t="str">
        <f>VLOOKUP(C1209,'products '!$A$1:$G$322,2,FALSE)</f>
        <v>Electra Townie Original 21D - 2016</v>
      </c>
    </row>
    <row r="1210" spans="1:8" x14ac:dyDescent="0.3">
      <c r="A1210">
        <v>1209</v>
      </c>
      <c r="B1210">
        <v>1</v>
      </c>
      <c r="C1210">
        <v>89</v>
      </c>
      <c r="D1210" s="2">
        <v>1</v>
      </c>
      <c r="E1210" s="2">
        <v>209.99</v>
      </c>
      <c r="F1210">
        <v>7.0000000000000007E-2</v>
      </c>
      <c r="G1210">
        <f t="shared" si="18"/>
        <v>209.92000000000002</v>
      </c>
      <c r="H1210" t="str">
        <f>VLOOKUP(C1210,'products '!$A$1:$G$322,2,FALSE)</f>
        <v>Trek Precaliber 16 Boys - 2017</v>
      </c>
    </row>
    <row r="1211" spans="1:8" x14ac:dyDescent="0.3">
      <c r="A1211">
        <v>1210</v>
      </c>
      <c r="B1211">
        <v>1</v>
      </c>
      <c r="C1211">
        <v>26</v>
      </c>
      <c r="D1211" s="2">
        <v>1</v>
      </c>
      <c r="E1211" s="2">
        <v>599.99</v>
      </c>
      <c r="F1211">
        <v>0.1</v>
      </c>
      <c r="G1211">
        <f t="shared" si="18"/>
        <v>599.89</v>
      </c>
      <c r="H1211" t="str">
        <f>VLOOKUP(C1211,'products '!$A$1:$G$322,2,FALSE)</f>
        <v>Electra Townie Original 7D EQ - 2016</v>
      </c>
    </row>
    <row r="1212" spans="1:8" x14ac:dyDescent="0.3">
      <c r="A1212">
        <v>1211</v>
      </c>
      <c r="B1212">
        <v>1</v>
      </c>
      <c r="C1212">
        <v>15</v>
      </c>
      <c r="D1212" s="2">
        <v>2</v>
      </c>
      <c r="E1212" s="2">
        <v>529.99</v>
      </c>
      <c r="F1212">
        <v>0.2</v>
      </c>
      <c r="G1212">
        <f t="shared" si="18"/>
        <v>1059.78</v>
      </c>
      <c r="H1212" t="str">
        <f>VLOOKUP(C1212,'products '!$A$1:$G$322,2,FALSE)</f>
        <v>Electra Moto 1 - 2016</v>
      </c>
    </row>
    <row r="1213" spans="1:8" x14ac:dyDescent="0.3">
      <c r="A1213">
        <v>1212</v>
      </c>
      <c r="B1213">
        <v>1</v>
      </c>
      <c r="C1213">
        <v>74</v>
      </c>
      <c r="D1213" s="2">
        <v>1</v>
      </c>
      <c r="E1213" s="2">
        <v>439.99</v>
      </c>
      <c r="F1213">
        <v>0.1</v>
      </c>
      <c r="G1213">
        <f t="shared" si="18"/>
        <v>439.89</v>
      </c>
      <c r="H1213" t="str">
        <f>VLOOKUP(C1213,'products '!$A$1:$G$322,2,FALSE)</f>
        <v>Electra Cruiser Lux 1 - 2017</v>
      </c>
    </row>
    <row r="1214" spans="1:8" x14ac:dyDescent="0.3">
      <c r="A1214">
        <v>1213</v>
      </c>
      <c r="B1214">
        <v>1</v>
      </c>
      <c r="C1214">
        <v>64</v>
      </c>
      <c r="D1214" s="2">
        <v>2</v>
      </c>
      <c r="E1214" s="2">
        <v>489.99</v>
      </c>
      <c r="F1214">
        <v>7.0000000000000007E-2</v>
      </c>
      <c r="G1214">
        <f t="shared" si="18"/>
        <v>979.91</v>
      </c>
      <c r="H1214" t="str">
        <f>VLOOKUP(C1214,'products '!$A$1:$G$322,2,FALSE)</f>
        <v>Electra Townie Original 7D - 2017</v>
      </c>
    </row>
    <row r="1215" spans="1:8" x14ac:dyDescent="0.3">
      <c r="A1215">
        <v>1214</v>
      </c>
      <c r="B1215">
        <v>1</v>
      </c>
      <c r="C1215">
        <v>9</v>
      </c>
      <c r="D1215" s="2">
        <v>2</v>
      </c>
      <c r="E1215" s="2">
        <v>2999.99</v>
      </c>
      <c r="F1215">
        <v>0.05</v>
      </c>
      <c r="G1215">
        <f t="shared" si="18"/>
        <v>5999.9299999999994</v>
      </c>
      <c r="H1215" t="str">
        <f>VLOOKUP(C1215,'products '!$A$1:$G$322,2,FALSE)</f>
        <v>Trek Conduit+ - 2016</v>
      </c>
    </row>
    <row r="1216" spans="1:8" x14ac:dyDescent="0.3">
      <c r="A1216">
        <v>1215</v>
      </c>
      <c r="B1216">
        <v>1</v>
      </c>
      <c r="C1216">
        <v>73</v>
      </c>
      <c r="D1216" s="2">
        <v>2</v>
      </c>
      <c r="E1216" s="2">
        <v>749.99</v>
      </c>
      <c r="F1216">
        <v>0.1</v>
      </c>
      <c r="G1216">
        <f t="shared" si="18"/>
        <v>1499.88</v>
      </c>
      <c r="H1216" t="str">
        <f>VLOOKUP(C1216,'products '!$A$1:$G$322,2,FALSE)</f>
        <v>Sun Bicycles Brickell Tandem 7 - 2017</v>
      </c>
    </row>
    <row r="1217" spans="1:8" x14ac:dyDescent="0.3">
      <c r="A1217">
        <v>1216</v>
      </c>
      <c r="B1217">
        <v>1</v>
      </c>
      <c r="C1217">
        <v>64</v>
      </c>
      <c r="D1217" s="2">
        <v>2</v>
      </c>
      <c r="E1217" s="2">
        <v>489.99</v>
      </c>
      <c r="F1217">
        <v>0.1</v>
      </c>
      <c r="G1217">
        <f t="shared" si="18"/>
        <v>979.88</v>
      </c>
      <c r="H1217" t="str">
        <f>VLOOKUP(C1217,'products '!$A$1:$G$322,2,FALSE)</f>
        <v>Electra Townie Original 7D - 2017</v>
      </c>
    </row>
    <row r="1218" spans="1:8" x14ac:dyDescent="0.3">
      <c r="A1218">
        <v>1217</v>
      </c>
      <c r="B1218">
        <v>1</v>
      </c>
      <c r="C1218">
        <v>73</v>
      </c>
      <c r="D1218" s="2">
        <v>1</v>
      </c>
      <c r="E1218" s="2">
        <v>749.99</v>
      </c>
      <c r="F1218">
        <v>0.05</v>
      </c>
      <c r="G1218">
        <f t="shared" si="18"/>
        <v>749.94</v>
      </c>
      <c r="H1218" t="str">
        <f>VLOOKUP(C1218,'products '!$A$1:$G$322,2,FALSE)</f>
        <v>Sun Bicycles Brickell Tandem 7 - 2017</v>
      </c>
    </row>
    <row r="1219" spans="1:8" x14ac:dyDescent="0.3">
      <c r="A1219">
        <v>1218</v>
      </c>
      <c r="B1219">
        <v>1</v>
      </c>
      <c r="C1219">
        <v>32</v>
      </c>
      <c r="D1219" s="2">
        <v>1</v>
      </c>
      <c r="E1219" s="2">
        <v>469.99</v>
      </c>
      <c r="F1219">
        <v>7.0000000000000007E-2</v>
      </c>
      <c r="G1219">
        <f t="shared" ref="G1219:G1282" si="19">E1219*D1219-F1219</f>
        <v>469.92</v>
      </c>
      <c r="H1219" t="str">
        <f>VLOOKUP(C1219,'products '!$A$1:$G$322,2,FALSE)</f>
        <v>Trek Farley Alloy Frameset - 2017</v>
      </c>
    </row>
    <row r="1220" spans="1:8" x14ac:dyDescent="0.3">
      <c r="A1220">
        <v>1219</v>
      </c>
      <c r="B1220">
        <v>1</v>
      </c>
      <c r="C1220">
        <v>17</v>
      </c>
      <c r="D1220" s="2">
        <v>2</v>
      </c>
      <c r="E1220" s="2">
        <v>429</v>
      </c>
      <c r="F1220">
        <v>7.0000000000000007E-2</v>
      </c>
      <c r="G1220">
        <f t="shared" si="19"/>
        <v>857.93</v>
      </c>
      <c r="H1220" t="str">
        <f>VLOOKUP(C1220,'products '!$A$1:$G$322,2,FALSE)</f>
        <v>Pure Cycles Vine 8-Speed - 2016</v>
      </c>
    </row>
    <row r="1221" spans="1:8" x14ac:dyDescent="0.3">
      <c r="A1221">
        <v>1220</v>
      </c>
      <c r="B1221">
        <v>1</v>
      </c>
      <c r="C1221">
        <v>47</v>
      </c>
      <c r="D1221" s="2">
        <v>2</v>
      </c>
      <c r="E1221" s="2">
        <v>5299.99</v>
      </c>
      <c r="F1221">
        <v>0.1</v>
      </c>
      <c r="G1221">
        <f t="shared" si="19"/>
        <v>10599.88</v>
      </c>
      <c r="H1221" t="str">
        <f>VLOOKUP(C1221,'products '!$A$1:$G$322,2,FALSE)</f>
        <v>Trek Remedy 9.8 - 2017</v>
      </c>
    </row>
    <row r="1222" spans="1:8" x14ac:dyDescent="0.3">
      <c r="A1222">
        <v>1221</v>
      </c>
      <c r="B1222">
        <v>1</v>
      </c>
      <c r="C1222">
        <v>100</v>
      </c>
      <c r="D1222" s="2">
        <v>1</v>
      </c>
      <c r="E1222" s="2">
        <v>489.99</v>
      </c>
      <c r="F1222">
        <v>0.05</v>
      </c>
      <c r="G1222">
        <f t="shared" si="19"/>
        <v>489.94</v>
      </c>
      <c r="H1222" t="str">
        <f>VLOOKUP(C1222,'products '!$A$1:$G$322,2,FALSE)</f>
        <v>Electra Townie 3i EQ (20-inch) - Boys' - 2017</v>
      </c>
    </row>
    <row r="1223" spans="1:8" x14ac:dyDescent="0.3">
      <c r="A1223">
        <v>1222</v>
      </c>
      <c r="B1223">
        <v>1</v>
      </c>
      <c r="C1223">
        <v>97</v>
      </c>
      <c r="D1223" s="2">
        <v>1</v>
      </c>
      <c r="E1223" s="2">
        <v>349.99</v>
      </c>
      <c r="F1223">
        <v>0.2</v>
      </c>
      <c r="G1223">
        <f t="shared" si="19"/>
        <v>349.79</v>
      </c>
      <c r="H1223" t="str">
        <f>VLOOKUP(C1223,'products '!$A$1:$G$322,2,FALSE)</f>
        <v>Electra Savannah 3i (20-inch) - Girl's - 2017</v>
      </c>
    </row>
    <row r="1224" spans="1:8" x14ac:dyDescent="0.3">
      <c r="A1224">
        <v>1223</v>
      </c>
      <c r="B1224">
        <v>1</v>
      </c>
      <c r="C1224">
        <v>103</v>
      </c>
      <c r="D1224" s="2">
        <v>1</v>
      </c>
      <c r="E1224" s="2">
        <v>551.99</v>
      </c>
      <c r="F1224">
        <v>0.05</v>
      </c>
      <c r="G1224">
        <f t="shared" si="19"/>
        <v>551.94000000000005</v>
      </c>
      <c r="H1224" t="str">
        <f>VLOOKUP(C1224,'products '!$A$1:$G$322,2,FALSE)</f>
        <v>Sun Bicycles Streamway 3 - 2017</v>
      </c>
    </row>
    <row r="1225" spans="1:8" x14ac:dyDescent="0.3">
      <c r="A1225">
        <v>1224</v>
      </c>
      <c r="B1225">
        <v>1</v>
      </c>
      <c r="C1225">
        <v>62</v>
      </c>
      <c r="D1225" s="2">
        <v>1</v>
      </c>
      <c r="E1225" s="2">
        <v>3499.99</v>
      </c>
      <c r="F1225">
        <v>7.0000000000000007E-2</v>
      </c>
      <c r="G1225">
        <f t="shared" si="19"/>
        <v>3499.9199999999996</v>
      </c>
      <c r="H1225" t="str">
        <f>VLOOKUP(C1225,'products '!$A$1:$G$322,2,FALSE)</f>
        <v>Trek Boone 7 - 2017</v>
      </c>
    </row>
    <row r="1226" spans="1:8" x14ac:dyDescent="0.3">
      <c r="A1226">
        <v>1225</v>
      </c>
      <c r="B1226">
        <v>1</v>
      </c>
      <c r="C1226">
        <v>81</v>
      </c>
      <c r="D1226" s="2">
        <v>1</v>
      </c>
      <c r="E1226" s="2">
        <v>1099.99</v>
      </c>
      <c r="F1226">
        <v>0.1</v>
      </c>
      <c r="G1226">
        <f t="shared" si="19"/>
        <v>1099.8900000000001</v>
      </c>
      <c r="H1226" t="str">
        <f>VLOOKUP(C1226,'products '!$A$1:$G$322,2,FALSE)</f>
        <v>Electra Amsterdam Fashion 7i Ladies' - 2017</v>
      </c>
    </row>
    <row r="1227" spans="1:8" x14ac:dyDescent="0.3">
      <c r="A1227">
        <v>1226</v>
      </c>
      <c r="B1227">
        <v>1</v>
      </c>
      <c r="C1227">
        <v>77</v>
      </c>
      <c r="D1227" s="2">
        <v>2</v>
      </c>
      <c r="E1227" s="2">
        <v>799.99</v>
      </c>
      <c r="F1227">
        <v>0.05</v>
      </c>
      <c r="G1227">
        <f t="shared" si="19"/>
        <v>1599.93</v>
      </c>
      <c r="H1227" t="str">
        <f>VLOOKUP(C1227,'products '!$A$1:$G$322,2,FALSE)</f>
        <v>Electra Glam Punk 3i Ladies' - 2017</v>
      </c>
    </row>
    <row r="1228" spans="1:8" x14ac:dyDescent="0.3">
      <c r="A1228">
        <v>1227</v>
      </c>
      <c r="B1228">
        <v>1</v>
      </c>
      <c r="C1228">
        <v>90</v>
      </c>
      <c r="D1228" s="2">
        <v>2</v>
      </c>
      <c r="E1228" s="2">
        <v>209.99</v>
      </c>
      <c r="F1228">
        <v>0.2</v>
      </c>
      <c r="G1228">
        <f t="shared" si="19"/>
        <v>419.78000000000003</v>
      </c>
      <c r="H1228" t="str">
        <f>VLOOKUP(C1228,'products '!$A$1:$G$322,2,FALSE)</f>
        <v>Trek Precaliber 16 Girls - 2017</v>
      </c>
    </row>
    <row r="1229" spans="1:8" x14ac:dyDescent="0.3">
      <c r="A1229">
        <v>1228</v>
      </c>
      <c r="B1229">
        <v>1</v>
      </c>
      <c r="C1229">
        <v>92</v>
      </c>
      <c r="D1229" s="2">
        <v>1</v>
      </c>
      <c r="E1229" s="2">
        <v>209.99</v>
      </c>
      <c r="F1229">
        <v>0.2</v>
      </c>
      <c r="G1229">
        <f t="shared" si="19"/>
        <v>209.79000000000002</v>
      </c>
      <c r="H1229" t="str">
        <f>VLOOKUP(C1229,'products '!$A$1:$G$322,2,FALSE)</f>
        <v>Haro Shredder 20 - 2017</v>
      </c>
    </row>
    <row r="1230" spans="1:8" x14ac:dyDescent="0.3">
      <c r="A1230">
        <v>1229</v>
      </c>
      <c r="B1230">
        <v>1</v>
      </c>
      <c r="C1230">
        <v>36</v>
      </c>
      <c r="D1230" s="2">
        <v>2</v>
      </c>
      <c r="E1230" s="2">
        <v>832.99</v>
      </c>
      <c r="F1230">
        <v>7.0000000000000007E-2</v>
      </c>
      <c r="G1230">
        <f t="shared" si="19"/>
        <v>1665.91</v>
      </c>
      <c r="H1230" t="str">
        <f>VLOOKUP(C1230,'products '!$A$1:$G$322,2,FALSE)</f>
        <v>Surly Troll Frameset - 2017</v>
      </c>
    </row>
    <row r="1231" spans="1:8" x14ac:dyDescent="0.3">
      <c r="A1231">
        <v>1230</v>
      </c>
      <c r="B1231">
        <v>1</v>
      </c>
      <c r="C1231">
        <v>32</v>
      </c>
      <c r="D1231" s="2">
        <v>2</v>
      </c>
      <c r="E1231" s="2">
        <v>469.99</v>
      </c>
      <c r="F1231">
        <v>0.1</v>
      </c>
      <c r="G1231">
        <f t="shared" si="19"/>
        <v>939.88</v>
      </c>
      <c r="H1231" t="str">
        <f>VLOOKUP(C1231,'products '!$A$1:$G$322,2,FALSE)</f>
        <v>Trek Farley Alloy Frameset - 2017</v>
      </c>
    </row>
    <row r="1232" spans="1:8" x14ac:dyDescent="0.3">
      <c r="A1232">
        <v>1231</v>
      </c>
      <c r="B1232">
        <v>1</v>
      </c>
      <c r="C1232">
        <v>75</v>
      </c>
      <c r="D1232" s="2">
        <v>2</v>
      </c>
      <c r="E1232" s="2">
        <v>599.99</v>
      </c>
      <c r="F1232">
        <v>0.05</v>
      </c>
      <c r="G1232">
        <f t="shared" si="19"/>
        <v>1199.93</v>
      </c>
      <c r="H1232" t="str">
        <f>VLOOKUP(C1232,'products '!$A$1:$G$322,2,FALSE)</f>
        <v>Electra Cruiser Lux Fat Tire 1 Ladies - 2017</v>
      </c>
    </row>
    <row r="1233" spans="1:8" x14ac:dyDescent="0.3">
      <c r="A1233">
        <v>1232</v>
      </c>
      <c r="B1233">
        <v>1</v>
      </c>
      <c r="C1233">
        <v>4</v>
      </c>
      <c r="D1233" s="2">
        <v>2</v>
      </c>
      <c r="E1233" s="2">
        <v>2899.99</v>
      </c>
      <c r="F1233">
        <v>7.0000000000000007E-2</v>
      </c>
      <c r="G1233">
        <f t="shared" si="19"/>
        <v>5799.91</v>
      </c>
      <c r="H1233" t="str">
        <f>VLOOKUP(C1233,'products '!$A$1:$G$322,2,FALSE)</f>
        <v>Trek Fuel EX 8 29 - 2016</v>
      </c>
    </row>
    <row r="1234" spans="1:8" x14ac:dyDescent="0.3">
      <c r="A1234">
        <v>1233</v>
      </c>
      <c r="B1234">
        <v>1</v>
      </c>
      <c r="C1234">
        <v>87</v>
      </c>
      <c r="D1234" s="2">
        <v>2</v>
      </c>
      <c r="E1234" s="2">
        <v>189.99</v>
      </c>
      <c r="F1234">
        <v>0.2</v>
      </c>
      <c r="G1234">
        <f t="shared" si="19"/>
        <v>379.78000000000003</v>
      </c>
      <c r="H1234" t="str">
        <f>VLOOKUP(C1234,'products '!$A$1:$G$322,2,FALSE)</f>
        <v>Trek Precaliber 12 Boys - 2017</v>
      </c>
    </row>
    <row r="1235" spans="1:8" x14ac:dyDescent="0.3">
      <c r="A1235">
        <v>1234</v>
      </c>
      <c r="B1235">
        <v>1</v>
      </c>
      <c r="C1235">
        <v>56</v>
      </c>
      <c r="D1235" s="2">
        <v>2</v>
      </c>
      <c r="E1235" s="2">
        <v>5499.99</v>
      </c>
      <c r="F1235">
        <v>7.0000000000000007E-2</v>
      </c>
      <c r="G1235">
        <f t="shared" si="19"/>
        <v>10999.91</v>
      </c>
      <c r="H1235" t="str">
        <f>VLOOKUP(C1235,'products '!$A$1:$G$322,2,FALSE)</f>
        <v>Trek Domane SLR 6 Disc - 2017</v>
      </c>
    </row>
    <row r="1236" spans="1:8" x14ac:dyDescent="0.3">
      <c r="A1236">
        <v>1235</v>
      </c>
      <c r="B1236">
        <v>1</v>
      </c>
      <c r="C1236">
        <v>7</v>
      </c>
      <c r="D1236" s="2">
        <v>1</v>
      </c>
      <c r="E1236" s="2">
        <v>3999.99</v>
      </c>
      <c r="F1236">
        <v>0.1</v>
      </c>
      <c r="G1236">
        <f t="shared" si="19"/>
        <v>3999.89</v>
      </c>
      <c r="H1236" t="str">
        <f>VLOOKUP(C1236,'products '!$A$1:$G$322,2,FALSE)</f>
        <v>Trek Slash 8 27.5 - 2016</v>
      </c>
    </row>
    <row r="1237" spans="1:8" x14ac:dyDescent="0.3">
      <c r="A1237">
        <v>1236</v>
      </c>
      <c r="B1237">
        <v>1</v>
      </c>
      <c r="C1237">
        <v>60</v>
      </c>
      <c r="D1237" s="2">
        <v>1</v>
      </c>
      <c r="E1237" s="2">
        <v>1559.99</v>
      </c>
      <c r="F1237">
        <v>7.0000000000000007E-2</v>
      </c>
      <c r="G1237">
        <f t="shared" si="19"/>
        <v>1559.92</v>
      </c>
      <c r="H1237" t="str">
        <f>VLOOKUP(C1237,'products '!$A$1:$G$322,2,FALSE)</f>
        <v>Sun Bicycles ElectroLite - 2017</v>
      </c>
    </row>
    <row r="1238" spans="1:8" x14ac:dyDescent="0.3">
      <c r="A1238">
        <v>1237</v>
      </c>
      <c r="B1238">
        <v>1</v>
      </c>
      <c r="C1238">
        <v>23</v>
      </c>
      <c r="D1238" s="2">
        <v>1</v>
      </c>
      <c r="E1238" s="2">
        <v>299.99</v>
      </c>
      <c r="F1238">
        <v>0.1</v>
      </c>
      <c r="G1238">
        <f t="shared" si="19"/>
        <v>299.89</v>
      </c>
      <c r="H1238" t="str">
        <f>VLOOKUP(C1238,'products '!$A$1:$G$322,2,FALSE)</f>
        <v>Electra Girl's Hawaii 1 (20-inch) - 2015/2016</v>
      </c>
    </row>
    <row r="1239" spans="1:8" x14ac:dyDescent="0.3">
      <c r="A1239">
        <v>1238</v>
      </c>
      <c r="B1239">
        <v>1</v>
      </c>
      <c r="C1239">
        <v>40</v>
      </c>
      <c r="D1239" s="2">
        <v>1</v>
      </c>
      <c r="E1239" s="2">
        <v>4999.99</v>
      </c>
      <c r="F1239">
        <v>0.1</v>
      </c>
      <c r="G1239">
        <f t="shared" si="19"/>
        <v>4999.8899999999994</v>
      </c>
      <c r="H1239" t="str">
        <f>VLOOKUP(C1239,'products '!$A$1:$G$322,2,FALSE)</f>
        <v>Trek Fuel EX 9.8 29 - 2017</v>
      </c>
    </row>
    <row r="1240" spans="1:8" x14ac:dyDescent="0.3">
      <c r="A1240">
        <v>1239</v>
      </c>
      <c r="B1240">
        <v>1</v>
      </c>
      <c r="C1240">
        <v>15</v>
      </c>
      <c r="D1240" s="2">
        <v>2</v>
      </c>
      <c r="E1240" s="2">
        <v>529.99</v>
      </c>
      <c r="F1240">
        <v>0.2</v>
      </c>
      <c r="G1240">
        <f t="shared" si="19"/>
        <v>1059.78</v>
      </c>
      <c r="H1240" t="str">
        <f>VLOOKUP(C1240,'products '!$A$1:$G$322,2,FALSE)</f>
        <v>Electra Moto 1 - 2016</v>
      </c>
    </row>
    <row r="1241" spans="1:8" x14ac:dyDescent="0.3">
      <c r="A1241">
        <v>1240</v>
      </c>
      <c r="B1241">
        <v>1</v>
      </c>
      <c r="C1241">
        <v>107</v>
      </c>
      <c r="D1241" s="2">
        <v>2</v>
      </c>
      <c r="E1241" s="2">
        <v>416.99</v>
      </c>
      <c r="F1241">
        <v>0.1</v>
      </c>
      <c r="G1241">
        <f t="shared" si="19"/>
        <v>833.88</v>
      </c>
      <c r="H1241" t="str">
        <f>VLOOKUP(C1241,'products '!$A$1:$G$322,2,FALSE)</f>
        <v>Sun Bicycles Cruz 7 - 2017</v>
      </c>
    </row>
    <row r="1242" spans="1:8" x14ac:dyDescent="0.3">
      <c r="A1242">
        <v>1241</v>
      </c>
      <c r="B1242">
        <v>1</v>
      </c>
      <c r="C1242">
        <v>74</v>
      </c>
      <c r="D1242" s="2">
        <v>1</v>
      </c>
      <c r="E1242" s="2">
        <v>439.99</v>
      </c>
      <c r="F1242">
        <v>0.05</v>
      </c>
      <c r="G1242">
        <f t="shared" si="19"/>
        <v>439.94</v>
      </c>
      <c r="H1242" t="str">
        <f>VLOOKUP(C1242,'products '!$A$1:$G$322,2,FALSE)</f>
        <v>Electra Cruiser Lux 1 - 2017</v>
      </c>
    </row>
    <row r="1243" spans="1:8" x14ac:dyDescent="0.3">
      <c r="A1243">
        <v>1242</v>
      </c>
      <c r="B1243">
        <v>1</v>
      </c>
      <c r="C1243">
        <v>94</v>
      </c>
      <c r="D1243" s="2">
        <v>1</v>
      </c>
      <c r="E1243" s="2">
        <v>249.99</v>
      </c>
      <c r="F1243">
        <v>0.05</v>
      </c>
      <c r="G1243">
        <f t="shared" si="19"/>
        <v>249.94</v>
      </c>
      <c r="H1243" t="str">
        <f>VLOOKUP(C1243,'products '!$A$1:$G$322,2,FALSE)</f>
        <v>Haro Shredder Pro 20 - 2017</v>
      </c>
    </row>
    <row r="1244" spans="1:8" x14ac:dyDescent="0.3">
      <c r="A1244">
        <v>1243</v>
      </c>
      <c r="B1244">
        <v>1</v>
      </c>
      <c r="C1244">
        <v>44</v>
      </c>
      <c r="D1244" s="2">
        <v>1</v>
      </c>
      <c r="E1244" s="2">
        <v>539.99</v>
      </c>
      <c r="F1244">
        <v>7.0000000000000007E-2</v>
      </c>
      <c r="G1244">
        <f t="shared" si="19"/>
        <v>539.91999999999996</v>
      </c>
      <c r="H1244" t="str">
        <f>VLOOKUP(C1244,'products '!$A$1:$G$322,2,FALSE)</f>
        <v>Haro SR 1.1 - 2017</v>
      </c>
    </row>
    <row r="1245" spans="1:8" x14ac:dyDescent="0.3">
      <c r="A1245">
        <v>1244</v>
      </c>
      <c r="B1245">
        <v>1</v>
      </c>
      <c r="C1245">
        <v>45</v>
      </c>
      <c r="D1245" s="2">
        <v>1</v>
      </c>
      <c r="E1245" s="2">
        <v>869.99</v>
      </c>
      <c r="F1245">
        <v>0.2</v>
      </c>
      <c r="G1245">
        <f t="shared" si="19"/>
        <v>869.79</v>
      </c>
      <c r="H1245" t="str">
        <f>VLOOKUP(C1245,'products '!$A$1:$G$322,2,FALSE)</f>
        <v>Haro SR 1.2 - 2017</v>
      </c>
    </row>
    <row r="1246" spans="1:8" x14ac:dyDescent="0.3">
      <c r="A1246">
        <v>1245</v>
      </c>
      <c r="B1246">
        <v>1</v>
      </c>
      <c r="C1246">
        <v>13</v>
      </c>
      <c r="D1246" s="2">
        <v>1</v>
      </c>
      <c r="E1246" s="2">
        <v>269.99</v>
      </c>
      <c r="F1246">
        <v>0.1</v>
      </c>
      <c r="G1246">
        <f t="shared" si="19"/>
        <v>269.89</v>
      </c>
      <c r="H1246" t="str">
        <f>VLOOKUP(C1246,'products '!$A$1:$G$322,2,FALSE)</f>
        <v>Electra Cruiser 1 (24-Inch) - 2016</v>
      </c>
    </row>
    <row r="1247" spans="1:8" x14ac:dyDescent="0.3">
      <c r="A1247">
        <v>1246</v>
      </c>
      <c r="B1247">
        <v>1</v>
      </c>
      <c r="C1247">
        <v>78</v>
      </c>
      <c r="D1247" s="2">
        <v>2</v>
      </c>
      <c r="E1247" s="2">
        <v>647.99</v>
      </c>
      <c r="F1247">
        <v>0.2</v>
      </c>
      <c r="G1247">
        <f t="shared" si="19"/>
        <v>1295.78</v>
      </c>
      <c r="H1247" t="str">
        <f>VLOOKUP(C1247,'products '!$A$1:$G$322,2,FALSE)</f>
        <v>Sun Bicycles Biscayne Tandem CB - 2017</v>
      </c>
    </row>
    <row r="1248" spans="1:8" x14ac:dyDescent="0.3">
      <c r="A1248">
        <v>1247</v>
      </c>
      <c r="B1248">
        <v>1</v>
      </c>
      <c r="C1248">
        <v>15</v>
      </c>
      <c r="D1248" s="2">
        <v>2</v>
      </c>
      <c r="E1248" s="2">
        <v>529.99</v>
      </c>
      <c r="F1248">
        <v>0.1</v>
      </c>
      <c r="G1248">
        <f t="shared" si="19"/>
        <v>1059.8800000000001</v>
      </c>
      <c r="H1248" t="str">
        <f>VLOOKUP(C1248,'products '!$A$1:$G$322,2,FALSE)</f>
        <v>Electra Moto 1 - 2016</v>
      </c>
    </row>
    <row r="1249" spans="1:8" x14ac:dyDescent="0.3">
      <c r="A1249">
        <v>1248</v>
      </c>
      <c r="B1249">
        <v>1</v>
      </c>
      <c r="C1249">
        <v>94</v>
      </c>
      <c r="D1249" s="2">
        <v>2</v>
      </c>
      <c r="E1249" s="2">
        <v>249.99</v>
      </c>
      <c r="F1249">
        <v>0.05</v>
      </c>
      <c r="G1249">
        <f t="shared" si="19"/>
        <v>499.93</v>
      </c>
      <c r="H1249" t="str">
        <f>VLOOKUP(C1249,'products '!$A$1:$G$322,2,FALSE)</f>
        <v>Haro Shredder Pro 20 - 2017</v>
      </c>
    </row>
    <row r="1250" spans="1:8" x14ac:dyDescent="0.3">
      <c r="A1250">
        <v>1249</v>
      </c>
      <c r="B1250">
        <v>1</v>
      </c>
      <c r="C1250">
        <v>62</v>
      </c>
      <c r="D1250" s="2">
        <v>1</v>
      </c>
      <c r="E1250" s="2">
        <v>3499.99</v>
      </c>
      <c r="F1250">
        <v>0.05</v>
      </c>
      <c r="G1250">
        <f t="shared" si="19"/>
        <v>3499.9399999999996</v>
      </c>
      <c r="H1250" t="str">
        <f>VLOOKUP(C1250,'products '!$A$1:$G$322,2,FALSE)</f>
        <v>Trek Boone 7 - 2017</v>
      </c>
    </row>
    <row r="1251" spans="1:8" x14ac:dyDescent="0.3">
      <c r="A1251">
        <v>1250</v>
      </c>
      <c r="B1251">
        <v>1</v>
      </c>
      <c r="C1251">
        <v>78</v>
      </c>
      <c r="D1251" s="2">
        <v>2</v>
      </c>
      <c r="E1251" s="2">
        <v>647.99</v>
      </c>
      <c r="F1251">
        <v>0.05</v>
      </c>
      <c r="G1251">
        <f t="shared" si="19"/>
        <v>1295.93</v>
      </c>
      <c r="H1251" t="str">
        <f>VLOOKUP(C1251,'products '!$A$1:$G$322,2,FALSE)</f>
        <v>Sun Bicycles Biscayne Tandem CB - 2017</v>
      </c>
    </row>
    <row r="1252" spans="1:8" x14ac:dyDescent="0.3">
      <c r="A1252">
        <v>1251</v>
      </c>
      <c r="B1252">
        <v>1</v>
      </c>
      <c r="C1252">
        <v>40</v>
      </c>
      <c r="D1252" s="2">
        <v>2</v>
      </c>
      <c r="E1252" s="2">
        <v>4999.99</v>
      </c>
      <c r="F1252">
        <v>0.1</v>
      </c>
      <c r="G1252">
        <f t="shared" si="19"/>
        <v>9999.8799999999992</v>
      </c>
      <c r="H1252" t="str">
        <f>VLOOKUP(C1252,'products '!$A$1:$G$322,2,FALSE)</f>
        <v>Trek Fuel EX 9.8 29 - 2017</v>
      </c>
    </row>
    <row r="1253" spans="1:8" x14ac:dyDescent="0.3">
      <c r="A1253">
        <v>1252</v>
      </c>
      <c r="B1253">
        <v>1</v>
      </c>
      <c r="C1253">
        <v>79</v>
      </c>
      <c r="D1253" s="2">
        <v>1</v>
      </c>
      <c r="E1253" s="2">
        <v>402.99</v>
      </c>
      <c r="F1253">
        <v>0.2</v>
      </c>
      <c r="G1253">
        <f t="shared" si="19"/>
        <v>402.79</v>
      </c>
      <c r="H1253" t="str">
        <f>VLOOKUP(C1253,'products '!$A$1:$G$322,2,FALSE)</f>
        <v>Sun Bicycles Boardwalk (24-inch Wheels) - 2017</v>
      </c>
    </row>
    <row r="1254" spans="1:8" x14ac:dyDescent="0.3">
      <c r="A1254">
        <v>1253</v>
      </c>
      <c r="B1254">
        <v>1</v>
      </c>
      <c r="C1254">
        <v>25</v>
      </c>
      <c r="D1254" s="2">
        <v>2</v>
      </c>
      <c r="E1254" s="2">
        <v>499.99</v>
      </c>
      <c r="F1254">
        <v>0.1</v>
      </c>
      <c r="G1254">
        <f t="shared" si="19"/>
        <v>999.88</v>
      </c>
      <c r="H1254" t="str">
        <f>VLOOKUP(C1254,'products '!$A$1:$G$322,2,FALSE)</f>
        <v>Electra Townie Original 7D - 2015/2016</v>
      </c>
    </row>
    <row r="1255" spans="1:8" x14ac:dyDescent="0.3">
      <c r="A1255">
        <v>1254</v>
      </c>
      <c r="B1255">
        <v>1</v>
      </c>
      <c r="C1255">
        <v>80</v>
      </c>
      <c r="D1255" s="2">
        <v>1</v>
      </c>
      <c r="E1255" s="2">
        <v>761.99</v>
      </c>
      <c r="F1255">
        <v>0.2</v>
      </c>
      <c r="G1255">
        <f t="shared" si="19"/>
        <v>761.79</v>
      </c>
      <c r="H1255" t="str">
        <f>VLOOKUP(C1255,'products '!$A$1:$G$322,2,FALSE)</f>
        <v>Sun Bicycles Brickell Tandem CB - 2017</v>
      </c>
    </row>
    <row r="1256" spans="1:8" x14ac:dyDescent="0.3">
      <c r="A1256">
        <v>1255</v>
      </c>
      <c r="B1256">
        <v>1</v>
      </c>
      <c r="C1256">
        <v>43</v>
      </c>
      <c r="D1256" s="2">
        <v>2</v>
      </c>
      <c r="E1256" s="2">
        <v>5299.99</v>
      </c>
      <c r="F1256">
        <v>0.2</v>
      </c>
      <c r="G1256">
        <f t="shared" si="19"/>
        <v>10599.779999999999</v>
      </c>
      <c r="H1256" t="str">
        <f>VLOOKUP(C1256,'products '!$A$1:$G$322,2,FALSE)</f>
        <v>Trek Fuel EX 9.8 27.5 Plus - 2017</v>
      </c>
    </row>
    <row r="1257" spans="1:8" x14ac:dyDescent="0.3">
      <c r="A1257">
        <v>1256</v>
      </c>
      <c r="B1257">
        <v>1</v>
      </c>
      <c r="C1257">
        <v>44</v>
      </c>
      <c r="D1257" s="2">
        <v>2</v>
      </c>
      <c r="E1257" s="2">
        <v>539.99</v>
      </c>
      <c r="F1257">
        <v>0.2</v>
      </c>
      <c r="G1257">
        <f t="shared" si="19"/>
        <v>1079.78</v>
      </c>
      <c r="H1257" t="str">
        <f>VLOOKUP(C1257,'products '!$A$1:$G$322,2,FALSE)</f>
        <v>Haro SR 1.1 - 2017</v>
      </c>
    </row>
    <row r="1258" spans="1:8" x14ac:dyDescent="0.3">
      <c r="A1258">
        <v>1257</v>
      </c>
      <c r="B1258">
        <v>1</v>
      </c>
      <c r="C1258">
        <v>30</v>
      </c>
      <c r="D1258" s="2">
        <v>2</v>
      </c>
      <c r="E1258" s="2">
        <v>999.99</v>
      </c>
      <c r="F1258">
        <v>0.05</v>
      </c>
      <c r="G1258">
        <f t="shared" si="19"/>
        <v>1999.93</v>
      </c>
      <c r="H1258" t="str">
        <f>VLOOKUP(C1258,'products '!$A$1:$G$322,2,FALSE)</f>
        <v>Surly Ice Cream Truck Frameset - 2017</v>
      </c>
    </row>
    <row r="1259" spans="1:8" x14ac:dyDescent="0.3">
      <c r="A1259">
        <v>1258</v>
      </c>
      <c r="B1259">
        <v>1</v>
      </c>
      <c r="C1259">
        <v>94</v>
      </c>
      <c r="D1259" s="2">
        <v>2</v>
      </c>
      <c r="E1259" s="2">
        <v>249.99</v>
      </c>
      <c r="F1259">
        <v>0.1</v>
      </c>
      <c r="G1259">
        <f t="shared" si="19"/>
        <v>499.88</v>
      </c>
      <c r="H1259" t="str">
        <f>VLOOKUP(C1259,'products '!$A$1:$G$322,2,FALSE)</f>
        <v>Haro Shredder Pro 20 - 2017</v>
      </c>
    </row>
    <row r="1260" spans="1:8" x14ac:dyDescent="0.3">
      <c r="A1260">
        <v>1259</v>
      </c>
      <c r="B1260">
        <v>1</v>
      </c>
      <c r="C1260">
        <v>60</v>
      </c>
      <c r="D1260" s="2">
        <v>1</v>
      </c>
      <c r="E1260" s="2">
        <v>1559.99</v>
      </c>
      <c r="F1260">
        <v>0.1</v>
      </c>
      <c r="G1260">
        <f t="shared" si="19"/>
        <v>1559.89</v>
      </c>
      <c r="H1260" t="str">
        <f>VLOOKUP(C1260,'products '!$A$1:$G$322,2,FALSE)</f>
        <v>Sun Bicycles ElectroLite - 2017</v>
      </c>
    </row>
    <row r="1261" spans="1:8" x14ac:dyDescent="0.3">
      <c r="A1261">
        <v>1260</v>
      </c>
      <c r="B1261">
        <v>1</v>
      </c>
      <c r="C1261">
        <v>8</v>
      </c>
      <c r="D1261" s="2">
        <v>1</v>
      </c>
      <c r="E1261" s="2">
        <v>1799.99</v>
      </c>
      <c r="F1261">
        <v>0.1</v>
      </c>
      <c r="G1261">
        <f t="shared" si="19"/>
        <v>1799.89</v>
      </c>
      <c r="H1261" t="str">
        <f>VLOOKUP(C1261,'products '!$A$1:$G$322,2,FALSE)</f>
        <v>Trek Remedy 29 Carbon Frameset - 2016</v>
      </c>
    </row>
    <row r="1262" spans="1:8" x14ac:dyDescent="0.3">
      <c r="A1262">
        <v>1261</v>
      </c>
      <c r="B1262">
        <v>1</v>
      </c>
      <c r="C1262">
        <v>73</v>
      </c>
      <c r="D1262" s="2">
        <v>1</v>
      </c>
      <c r="E1262" s="2">
        <v>749.99</v>
      </c>
      <c r="F1262">
        <v>0.2</v>
      </c>
      <c r="G1262">
        <f t="shared" si="19"/>
        <v>749.79</v>
      </c>
      <c r="H1262" t="str">
        <f>VLOOKUP(C1262,'products '!$A$1:$G$322,2,FALSE)</f>
        <v>Sun Bicycles Brickell Tandem 7 - 2017</v>
      </c>
    </row>
    <row r="1263" spans="1:8" x14ac:dyDescent="0.3">
      <c r="A1263">
        <v>1262</v>
      </c>
      <c r="B1263">
        <v>1</v>
      </c>
      <c r="C1263">
        <v>37</v>
      </c>
      <c r="D1263" s="2">
        <v>1</v>
      </c>
      <c r="E1263" s="2">
        <v>379.99</v>
      </c>
      <c r="F1263">
        <v>7.0000000000000007E-2</v>
      </c>
      <c r="G1263">
        <f t="shared" si="19"/>
        <v>379.92</v>
      </c>
      <c r="H1263" t="str">
        <f>VLOOKUP(C1263,'products '!$A$1:$G$322,2,FALSE)</f>
        <v>Haro Flightline One ST - 2017</v>
      </c>
    </row>
    <row r="1264" spans="1:8" x14ac:dyDescent="0.3">
      <c r="A1264">
        <v>1263</v>
      </c>
      <c r="B1264">
        <v>1</v>
      </c>
      <c r="C1264">
        <v>45</v>
      </c>
      <c r="D1264" s="2">
        <v>1</v>
      </c>
      <c r="E1264" s="2">
        <v>869.99</v>
      </c>
      <c r="F1264">
        <v>0.2</v>
      </c>
      <c r="G1264">
        <f t="shared" si="19"/>
        <v>869.79</v>
      </c>
      <c r="H1264" t="str">
        <f>VLOOKUP(C1264,'products '!$A$1:$G$322,2,FALSE)</f>
        <v>Haro SR 1.2 - 2017</v>
      </c>
    </row>
    <row r="1265" spans="1:8" x14ac:dyDescent="0.3">
      <c r="A1265">
        <v>1264</v>
      </c>
      <c r="B1265">
        <v>1</v>
      </c>
      <c r="C1265">
        <v>101</v>
      </c>
      <c r="D1265" s="2">
        <v>1</v>
      </c>
      <c r="E1265" s="2">
        <v>339.99</v>
      </c>
      <c r="F1265">
        <v>7.0000000000000007E-2</v>
      </c>
      <c r="G1265">
        <f t="shared" si="19"/>
        <v>339.92</v>
      </c>
      <c r="H1265" t="str">
        <f>VLOOKUP(C1265,'products '!$A$1:$G$322,2,FALSE)</f>
        <v>Electra Townie 7D (20-inch) - Boys' - 2017</v>
      </c>
    </row>
    <row r="1266" spans="1:8" x14ac:dyDescent="0.3">
      <c r="A1266">
        <v>1265</v>
      </c>
      <c r="B1266">
        <v>1</v>
      </c>
      <c r="C1266">
        <v>41</v>
      </c>
      <c r="D1266" s="2">
        <v>2</v>
      </c>
      <c r="E1266" s="2">
        <v>1469.99</v>
      </c>
      <c r="F1266">
        <v>0.1</v>
      </c>
      <c r="G1266">
        <f t="shared" si="19"/>
        <v>2939.88</v>
      </c>
      <c r="H1266" t="str">
        <f>VLOOKUP(C1266,'products '!$A$1:$G$322,2,FALSE)</f>
        <v>Haro Shift R3 - 2017</v>
      </c>
    </row>
    <row r="1267" spans="1:8" x14ac:dyDescent="0.3">
      <c r="A1267">
        <v>1266</v>
      </c>
      <c r="B1267">
        <v>1</v>
      </c>
      <c r="C1267">
        <v>90</v>
      </c>
      <c r="D1267" s="2">
        <v>1</v>
      </c>
      <c r="E1267" s="2">
        <v>209.99</v>
      </c>
      <c r="F1267">
        <v>0.2</v>
      </c>
      <c r="G1267">
        <f t="shared" si="19"/>
        <v>209.79000000000002</v>
      </c>
      <c r="H1267" t="str">
        <f>VLOOKUP(C1267,'products '!$A$1:$G$322,2,FALSE)</f>
        <v>Trek Precaliber 16 Girls - 2017</v>
      </c>
    </row>
    <row r="1268" spans="1:8" x14ac:dyDescent="0.3">
      <c r="A1268">
        <v>1267</v>
      </c>
      <c r="B1268">
        <v>1</v>
      </c>
      <c r="C1268">
        <v>45</v>
      </c>
      <c r="D1268" s="2">
        <v>1</v>
      </c>
      <c r="E1268" s="2">
        <v>869.99</v>
      </c>
      <c r="F1268">
        <v>0.1</v>
      </c>
      <c r="G1268">
        <f t="shared" si="19"/>
        <v>869.89</v>
      </c>
      <c r="H1268" t="str">
        <f>VLOOKUP(C1268,'products '!$A$1:$G$322,2,FALSE)</f>
        <v>Haro SR 1.2 - 2017</v>
      </c>
    </row>
    <row r="1269" spans="1:8" x14ac:dyDescent="0.3">
      <c r="A1269">
        <v>1268</v>
      </c>
      <c r="B1269">
        <v>1</v>
      </c>
      <c r="C1269">
        <v>68</v>
      </c>
      <c r="D1269" s="2">
        <v>2</v>
      </c>
      <c r="E1269" s="2">
        <v>449.99</v>
      </c>
      <c r="F1269">
        <v>7.0000000000000007E-2</v>
      </c>
      <c r="G1269">
        <f t="shared" si="19"/>
        <v>899.91</v>
      </c>
      <c r="H1269" t="str">
        <f>VLOOKUP(C1269,'products '!$A$1:$G$322,2,FALSE)</f>
        <v>Sun Bicycles Cruz 3 - 2017</v>
      </c>
    </row>
    <row r="1270" spans="1:8" x14ac:dyDescent="0.3">
      <c r="A1270">
        <v>1269</v>
      </c>
      <c r="B1270">
        <v>1</v>
      </c>
      <c r="C1270">
        <v>4</v>
      </c>
      <c r="D1270" s="2">
        <v>2</v>
      </c>
      <c r="E1270" s="2">
        <v>2899.99</v>
      </c>
      <c r="F1270">
        <v>0.2</v>
      </c>
      <c r="G1270">
        <f t="shared" si="19"/>
        <v>5799.78</v>
      </c>
      <c r="H1270" t="str">
        <f>VLOOKUP(C1270,'products '!$A$1:$G$322,2,FALSE)</f>
        <v>Trek Fuel EX 8 29 - 2016</v>
      </c>
    </row>
    <row r="1271" spans="1:8" x14ac:dyDescent="0.3">
      <c r="A1271">
        <v>1270</v>
      </c>
      <c r="B1271">
        <v>1</v>
      </c>
      <c r="C1271">
        <v>54</v>
      </c>
      <c r="D1271" s="2">
        <v>1</v>
      </c>
      <c r="E1271" s="2">
        <v>3199.99</v>
      </c>
      <c r="F1271">
        <v>0.2</v>
      </c>
      <c r="G1271">
        <f t="shared" si="19"/>
        <v>3199.79</v>
      </c>
      <c r="H1271" t="str">
        <f>VLOOKUP(C1271,'products '!$A$1:$G$322,2,FALSE)</f>
        <v>Trek Domane SL Disc Frameset - 2017</v>
      </c>
    </row>
    <row r="1272" spans="1:8" x14ac:dyDescent="0.3">
      <c r="A1272">
        <v>1271</v>
      </c>
      <c r="B1272">
        <v>1</v>
      </c>
      <c r="C1272">
        <v>25</v>
      </c>
      <c r="D1272" s="2">
        <v>2</v>
      </c>
      <c r="E1272" s="2">
        <v>499.99</v>
      </c>
      <c r="F1272">
        <v>0.1</v>
      </c>
      <c r="G1272">
        <f t="shared" si="19"/>
        <v>999.88</v>
      </c>
      <c r="H1272" t="str">
        <f>VLOOKUP(C1272,'products '!$A$1:$G$322,2,FALSE)</f>
        <v>Electra Townie Original 7D - 2015/2016</v>
      </c>
    </row>
    <row r="1273" spans="1:8" x14ac:dyDescent="0.3">
      <c r="A1273">
        <v>1272</v>
      </c>
      <c r="B1273">
        <v>1</v>
      </c>
      <c r="C1273">
        <v>16</v>
      </c>
      <c r="D1273" s="2">
        <v>2</v>
      </c>
      <c r="E1273" s="2">
        <v>599.99</v>
      </c>
      <c r="F1273">
        <v>0.2</v>
      </c>
      <c r="G1273">
        <f t="shared" si="19"/>
        <v>1199.78</v>
      </c>
      <c r="H1273" t="str">
        <f>VLOOKUP(C1273,'products '!$A$1:$G$322,2,FALSE)</f>
        <v>Electra Townie Original 7D EQ - 2016</v>
      </c>
    </row>
    <row r="1274" spans="1:8" x14ac:dyDescent="0.3">
      <c r="A1274">
        <v>1273</v>
      </c>
      <c r="B1274">
        <v>1</v>
      </c>
      <c r="C1274">
        <v>95</v>
      </c>
      <c r="D1274" s="2">
        <v>2</v>
      </c>
      <c r="E1274" s="2">
        <v>299.99</v>
      </c>
      <c r="F1274">
        <v>7.0000000000000007E-2</v>
      </c>
      <c r="G1274">
        <f t="shared" si="19"/>
        <v>599.91</v>
      </c>
      <c r="H1274" t="str">
        <f>VLOOKUP(C1274,'products '!$A$1:$G$322,2,FALSE)</f>
        <v>Electra Girl's Hawaii 1 16" - 2017</v>
      </c>
    </row>
    <row r="1275" spans="1:8" x14ac:dyDescent="0.3">
      <c r="A1275">
        <v>1274</v>
      </c>
      <c r="B1275">
        <v>1</v>
      </c>
      <c r="C1275">
        <v>81</v>
      </c>
      <c r="D1275" s="2">
        <v>1</v>
      </c>
      <c r="E1275" s="2">
        <v>1099.99</v>
      </c>
      <c r="F1275">
        <v>0.1</v>
      </c>
      <c r="G1275">
        <f t="shared" si="19"/>
        <v>1099.8900000000001</v>
      </c>
      <c r="H1275" t="str">
        <f>VLOOKUP(C1275,'products '!$A$1:$G$322,2,FALSE)</f>
        <v>Electra Amsterdam Fashion 7i Ladies' - 2017</v>
      </c>
    </row>
    <row r="1276" spans="1:8" x14ac:dyDescent="0.3">
      <c r="A1276">
        <v>1275</v>
      </c>
      <c r="B1276">
        <v>1</v>
      </c>
      <c r="C1276">
        <v>58</v>
      </c>
      <c r="D1276" s="2">
        <v>1</v>
      </c>
      <c r="E1276" s="2">
        <v>4999.99</v>
      </c>
      <c r="F1276">
        <v>7.0000000000000007E-2</v>
      </c>
      <c r="G1276">
        <f t="shared" si="19"/>
        <v>4999.92</v>
      </c>
      <c r="H1276" t="str">
        <f>VLOOKUP(C1276,'products '!$A$1:$G$322,2,FALSE)</f>
        <v>Trek Madone 9.2 - 2017</v>
      </c>
    </row>
    <row r="1277" spans="1:8" x14ac:dyDescent="0.3">
      <c r="A1277">
        <v>1276</v>
      </c>
      <c r="B1277">
        <v>1</v>
      </c>
      <c r="C1277">
        <v>18</v>
      </c>
      <c r="D1277" s="2">
        <v>2</v>
      </c>
      <c r="E1277" s="2">
        <v>449</v>
      </c>
      <c r="F1277">
        <v>0.2</v>
      </c>
      <c r="G1277">
        <f t="shared" si="19"/>
        <v>897.8</v>
      </c>
      <c r="H1277" t="str">
        <f>VLOOKUP(C1277,'products '!$A$1:$G$322,2,FALSE)</f>
        <v>Pure Cycles Western 3-Speed - Women's - 2015/2016</v>
      </c>
    </row>
    <row r="1278" spans="1:8" x14ac:dyDescent="0.3">
      <c r="A1278">
        <v>1277</v>
      </c>
      <c r="B1278">
        <v>1</v>
      </c>
      <c r="C1278">
        <v>56</v>
      </c>
      <c r="D1278" s="2">
        <v>2</v>
      </c>
      <c r="E1278" s="2">
        <v>5499.99</v>
      </c>
      <c r="F1278">
        <v>0.2</v>
      </c>
      <c r="G1278">
        <f t="shared" si="19"/>
        <v>10999.779999999999</v>
      </c>
      <c r="H1278" t="str">
        <f>VLOOKUP(C1278,'products '!$A$1:$G$322,2,FALSE)</f>
        <v>Trek Domane SLR 6 Disc - 2017</v>
      </c>
    </row>
    <row r="1279" spans="1:8" x14ac:dyDescent="0.3">
      <c r="A1279">
        <v>1278</v>
      </c>
      <c r="B1279">
        <v>1</v>
      </c>
      <c r="C1279">
        <v>103</v>
      </c>
      <c r="D1279" s="2">
        <v>2</v>
      </c>
      <c r="E1279" s="2">
        <v>551.99</v>
      </c>
      <c r="F1279">
        <v>0.1</v>
      </c>
      <c r="G1279">
        <f t="shared" si="19"/>
        <v>1103.8800000000001</v>
      </c>
      <c r="H1279" t="str">
        <f>VLOOKUP(C1279,'products '!$A$1:$G$322,2,FALSE)</f>
        <v>Sun Bicycles Streamway 3 - 2017</v>
      </c>
    </row>
    <row r="1280" spans="1:8" x14ac:dyDescent="0.3">
      <c r="A1280">
        <v>1279</v>
      </c>
      <c r="B1280">
        <v>1</v>
      </c>
      <c r="C1280">
        <v>9</v>
      </c>
      <c r="D1280" s="2">
        <v>2</v>
      </c>
      <c r="E1280" s="2">
        <v>2999.99</v>
      </c>
      <c r="F1280">
        <v>0.05</v>
      </c>
      <c r="G1280">
        <f t="shared" si="19"/>
        <v>5999.9299999999994</v>
      </c>
      <c r="H1280" t="str">
        <f>VLOOKUP(C1280,'products '!$A$1:$G$322,2,FALSE)</f>
        <v>Trek Conduit+ - 2016</v>
      </c>
    </row>
    <row r="1281" spans="1:8" x14ac:dyDescent="0.3">
      <c r="A1281">
        <v>1280</v>
      </c>
      <c r="B1281">
        <v>1</v>
      </c>
      <c r="C1281">
        <v>72</v>
      </c>
      <c r="D1281" s="2">
        <v>2</v>
      </c>
      <c r="E1281" s="2">
        <v>619.99</v>
      </c>
      <c r="F1281">
        <v>7.0000000000000007E-2</v>
      </c>
      <c r="G1281">
        <f t="shared" si="19"/>
        <v>1239.9100000000001</v>
      </c>
      <c r="H1281" t="str">
        <f>VLOOKUP(C1281,'products '!$A$1:$G$322,2,FALSE)</f>
        <v>Sun Bicycles Biscayne Tandem 7 - 2017</v>
      </c>
    </row>
    <row r="1282" spans="1:8" x14ac:dyDescent="0.3">
      <c r="A1282">
        <v>1281</v>
      </c>
      <c r="B1282">
        <v>1</v>
      </c>
      <c r="C1282">
        <v>36</v>
      </c>
      <c r="D1282" s="2">
        <v>1</v>
      </c>
      <c r="E1282" s="2">
        <v>832.99</v>
      </c>
      <c r="F1282">
        <v>0.05</v>
      </c>
      <c r="G1282">
        <f t="shared" si="19"/>
        <v>832.94</v>
      </c>
      <c r="H1282" t="str">
        <f>VLOOKUP(C1282,'products '!$A$1:$G$322,2,FALSE)</f>
        <v>Surly Troll Frameset - 2017</v>
      </c>
    </row>
    <row r="1283" spans="1:8" x14ac:dyDescent="0.3">
      <c r="A1283">
        <v>1282</v>
      </c>
      <c r="B1283">
        <v>1</v>
      </c>
      <c r="C1283">
        <v>111</v>
      </c>
      <c r="D1283" s="2">
        <v>1</v>
      </c>
      <c r="E1283" s="2">
        <v>470.99</v>
      </c>
      <c r="F1283">
        <v>0.05</v>
      </c>
      <c r="G1283">
        <f t="shared" ref="G1283:G1346" si="20">E1283*D1283-F1283</f>
        <v>470.94</v>
      </c>
      <c r="H1283" t="str">
        <f>VLOOKUP(C1283,'products '!$A$1:$G$322,2,FALSE)</f>
        <v>Sun Bicycles Drifter 7 - Women's - 2017</v>
      </c>
    </row>
    <row r="1284" spans="1:8" x14ac:dyDescent="0.3">
      <c r="A1284">
        <v>1283</v>
      </c>
      <c r="B1284">
        <v>1</v>
      </c>
      <c r="C1284">
        <v>61</v>
      </c>
      <c r="D1284" s="2">
        <v>2</v>
      </c>
      <c r="E1284" s="2">
        <v>4999.99</v>
      </c>
      <c r="F1284">
        <v>0.05</v>
      </c>
      <c r="G1284">
        <f t="shared" si="20"/>
        <v>9999.93</v>
      </c>
      <c r="H1284" t="str">
        <f>VLOOKUP(C1284,'products '!$A$1:$G$322,2,FALSE)</f>
        <v>Trek Powerfly 8 FS Plus - 2017</v>
      </c>
    </row>
    <row r="1285" spans="1:8" x14ac:dyDescent="0.3">
      <c r="A1285">
        <v>1284</v>
      </c>
      <c r="B1285">
        <v>1</v>
      </c>
      <c r="C1285">
        <v>101</v>
      </c>
      <c r="D1285" s="2">
        <v>1</v>
      </c>
      <c r="E1285" s="2">
        <v>339.99</v>
      </c>
      <c r="F1285">
        <v>7.0000000000000007E-2</v>
      </c>
      <c r="G1285">
        <f t="shared" si="20"/>
        <v>339.92</v>
      </c>
      <c r="H1285" t="str">
        <f>VLOOKUP(C1285,'products '!$A$1:$G$322,2,FALSE)</f>
        <v>Electra Townie 7D (20-inch) - Boys' - 2017</v>
      </c>
    </row>
    <row r="1286" spans="1:8" x14ac:dyDescent="0.3">
      <c r="A1286">
        <v>1285</v>
      </c>
      <c r="B1286">
        <v>1</v>
      </c>
      <c r="C1286">
        <v>78</v>
      </c>
      <c r="D1286" s="2">
        <v>2</v>
      </c>
      <c r="E1286" s="2">
        <v>647.99</v>
      </c>
      <c r="F1286">
        <v>7.0000000000000007E-2</v>
      </c>
      <c r="G1286">
        <f t="shared" si="20"/>
        <v>1295.9100000000001</v>
      </c>
      <c r="H1286" t="str">
        <f>VLOOKUP(C1286,'products '!$A$1:$G$322,2,FALSE)</f>
        <v>Sun Bicycles Biscayne Tandem CB - 2017</v>
      </c>
    </row>
    <row r="1287" spans="1:8" x14ac:dyDescent="0.3">
      <c r="A1287">
        <v>1286</v>
      </c>
      <c r="B1287">
        <v>1</v>
      </c>
      <c r="C1287">
        <v>109</v>
      </c>
      <c r="D1287" s="2">
        <v>2</v>
      </c>
      <c r="E1287" s="2">
        <v>416.99</v>
      </c>
      <c r="F1287">
        <v>0.2</v>
      </c>
      <c r="G1287">
        <f t="shared" si="20"/>
        <v>833.78</v>
      </c>
      <c r="H1287" t="str">
        <f>VLOOKUP(C1287,'products '!$A$1:$G$322,2,FALSE)</f>
        <v>Sun Bicycles Cruz 7 - Women's - 2017</v>
      </c>
    </row>
    <row r="1288" spans="1:8" x14ac:dyDescent="0.3">
      <c r="A1288">
        <v>1287</v>
      </c>
      <c r="B1288">
        <v>1</v>
      </c>
      <c r="C1288">
        <v>27</v>
      </c>
      <c r="D1288" s="2">
        <v>2</v>
      </c>
      <c r="E1288" s="2">
        <v>999.99</v>
      </c>
      <c r="F1288">
        <v>0.2</v>
      </c>
      <c r="G1288">
        <f t="shared" si="20"/>
        <v>1999.78</v>
      </c>
      <c r="H1288" t="str">
        <f>VLOOKUP(C1288,'products '!$A$1:$G$322,2,FALSE)</f>
        <v>Surly Big Dummy Frameset - 2017</v>
      </c>
    </row>
    <row r="1289" spans="1:8" x14ac:dyDescent="0.3">
      <c r="A1289">
        <v>1288</v>
      </c>
      <c r="B1289">
        <v>1</v>
      </c>
      <c r="C1289">
        <v>73</v>
      </c>
      <c r="D1289" s="2">
        <v>1</v>
      </c>
      <c r="E1289" s="2">
        <v>749.99</v>
      </c>
      <c r="F1289">
        <v>0.2</v>
      </c>
      <c r="G1289">
        <f t="shared" si="20"/>
        <v>749.79</v>
      </c>
      <c r="H1289" t="str">
        <f>VLOOKUP(C1289,'products '!$A$1:$G$322,2,FALSE)</f>
        <v>Sun Bicycles Brickell Tandem 7 - 2017</v>
      </c>
    </row>
    <row r="1290" spans="1:8" x14ac:dyDescent="0.3">
      <c r="A1290">
        <v>1289</v>
      </c>
      <c r="B1290">
        <v>1</v>
      </c>
      <c r="C1290">
        <v>89</v>
      </c>
      <c r="D1290" s="2">
        <v>1</v>
      </c>
      <c r="E1290" s="2">
        <v>209.99</v>
      </c>
      <c r="F1290">
        <v>0.05</v>
      </c>
      <c r="G1290">
        <f t="shared" si="20"/>
        <v>209.94</v>
      </c>
      <c r="H1290" t="str">
        <f>VLOOKUP(C1290,'products '!$A$1:$G$322,2,FALSE)</f>
        <v>Trek Precaliber 16 Boys - 2017</v>
      </c>
    </row>
    <row r="1291" spans="1:8" x14ac:dyDescent="0.3">
      <c r="A1291">
        <v>1290</v>
      </c>
      <c r="B1291">
        <v>1</v>
      </c>
      <c r="C1291">
        <v>75</v>
      </c>
      <c r="D1291" s="2">
        <v>2</v>
      </c>
      <c r="E1291" s="2">
        <v>599.99</v>
      </c>
      <c r="F1291">
        <v>0.05</v>
      </c>
      <c r="G1291">
        <f t="shared" si="20"/>
        <v>1199.93</v>
      </c>
      <c r="H1291" t="str">
        <f>VLOOKUP(C1291,'products '!$A$1:$G$322,2,FALSE)</f>
        <v>Electra Cruiser Lux Fat Tire 1 Ladies - 2017</v>
      </c>
    </row>
    <row r="1292" spans="1:8" x14ac:dyDescent="0.3">
      <c r="A1292">
        <v>1291</v>
      </c>
      <c r="B1292">
        <v>1</v>
      </c>
      <c r="C1292">
        <v>57</v>
      </c>
      <c r="D1292" s="2">
        <v>1</v>
      </c>
      <c r="E1292" s="2">
        <v>1999.99</v>
      </c>
      <c r="F1292">
        <v>0.1</v>
      </c>
      <c r="G1292">
        <f t="shared" si="20"/>
        <v>1999.89</v>
      </c>
      <c r="H1292" t="str">
        <f>VLOOKUP(C1292,'products '!$A$1:$G$322,2,FALSE)</f>
        <v>Trek Emonda S 5 - 2017</v>
      </c>
    </row>
    <row r="1293" spans="1:8" x14ac:dyDescent="0.3">
      <c r="A1293">
        <v>1292</v>
      </c>
      <c r="B1293">
        <v>1</v>
      </c>
      <c r="C1293">
        <v>70</v>
      </c>
      <c r="D1293" s="2">
        <v>1</v>
      </c>
      <c r="E1293" s="2">
        <v>659.99</v>
      </c>
      <c r="F1293">
        <v>7.0000000000000007E-2</v>
      </c>
      <c r="G1293">
        <f t="shared" si="20"/>
        <v>659.92</v>
      </c>
      <c r="H1293" t="str">
        <f>VLOOKUP(C1293,'products '!$A$1:$G$322,2,FALSE)</f>
        <v>Electra Amsterdam Original 3i - 2015/2017</v>
      </c>
    </row>
    <row r="1294" spans="1:8" x14ac:dyDescent="0.3">
      <c r="A1294">
        <v>1293</v>
      </c>
      <c r="B1294">
        <v>1</v>
      </c>
      <c r="C1294">
        <v>88</v>
      </c>
      <c r="D1294" s="2">
        <v>2</v>
      </c>
      <c r="E1294" s="2">
        <v>189.99</v>
      </c>
      <c r="F1294">
        <v>0.1</v>
      </c>
      <c r="G1294">
        <f t="shared" si="20"/>
        <v>379.88</v>
      </c>
      <c r="H1294" t="str">
        <f>VLOOKUP(C1294,'products '!$A$1:$G$322,2,FALSE)</f>
        <v>Trek Precaliber 12 Girls - 2017</v>
      </c>
    </row>
    <row r="1295" spans="1:8" x14ac:dyDescent="0.3">
      <c r="A1295">
        <v>1294</v>
      </c>
      <c r="B1295">
        <v>1</v>
      </c>
      <c r="C1295">
        <v>95</v>
      </c>
      <c r="D1295" s="2">
        <v>2</v>
      </c>
      <c r="E1295" s="2">
        <v>299.99</v>
      </c>
      <c r="F1295">
        <v>0.05</v>
      </c>
      <c r="G1295">
        <f t="shared" si="20"/>
        <v>599.93000000000006</v>
      </c>
      <c r="H1295" t="str">
        <f>VLOOKUP(C1295,'products '!$A$1:$G$322,2,FALSE)</f>
        <v>Electra Girl's Hawaii 1 16" - 2017</v>
      </c>
    </row>
    <row r="1296" spans="1:8" x14ac:dyDescent="0.3">
      <c r="A1296">
        <v>1295</v>
      </c>
      <c r="B1296">
        <v>1</v>
      </c>
      <c r="C1296">
        <v>5</v>
      </c>
      <c r="D1296" s="2">
        <v>2</v>
      </c>
      <c r="E1296" s="2">
        <v>1320.99</v>
      </c>
      <c r="F1296">
        <v>0.2</v>
      </c>
      <c r="G1296">
        <f t="shared" si="20"/>
        <v>2641.78</v>
      </c>
      <c r="H1296" t="str">
        <f>VLOOKUP(C1296,'products '!$A$1:$G$322,2,FALSE)</f>
        <v>Heller Shagamaw Frame - 2016</v>
      </c>
    </row>
    <row r="1297" spans="1:8" x14ac:dyDescent="0.3">
      <c r="A1297">
        <v>1296</v>
      </c>
      <c r="B1297">
        <v>1</v>
      </c>
      <c r="C1297">
        <v>25</v>
      </c>
      <c r="D1297" s="2">
        <v>2</v>
      </c>
      <c r="E1297" s="2">
        <v>499.99</v>
      </c>
      <c r="F1297">
        <v>0.05</v>
      </c>
      <c r="G1297">
        <f t="shared" si="20"/>
        <v>999.93000000000006</v>
      </c>
      <c r="H1297" t="str">
        <f>VLOOKUP(C1297,'products '!$A$1:$G$322,2,FALSE)</f>
        <v>Electra Townie Original 7D - 2015/2016</v>
      </c>
    </row>
    <row r="1298" spans="1:8" x14ac:dyDescent="0.3">
      <c r="A1298">
        <v>1297</v>
      </c>
      <c r="B1298">
        <v>1</v>
      </c>
      <c r="C1298">
        <v>104</v>
      </c>
      <c r="D1298" s="2">
        <v>2</v>
      </c>
      <c r="E1298" s="2">
        <v>481.99</v>
      </c>
      <c r="F1298">
        <v>7.0000000000000007E-2</v>
      </c>
      <c r="G1298">
        <f t="shared" si="20"/>
        <v>963.91</v>
      </c>
      <c r="H1298" t="str">
        <f>VLOOKUP(C1298,'products '!$A$1:$G$322,2,FALSE)</f>
        <v>Sun Bicycles Streamway - 2017</v>
      </c>
    </row>
    <row r="1299" spans="1:8" x14ac:dyDescent="0.3">
      <c r="A1299">
        <v>1298</v>
      </c>
      <c r="B1299">
        <v>1</v>
      </c>
      <c r="C1299">
        <v>59</v>
      </c>
      <c r="D1299" s="2">
        <v>1</v>
      </c>
      <c r="E1299" s="2">
        <v>2599.9899999999998</v>
      </c>
      <c r="F1299">
        <v>0.05</v>
      </c>
      <c r="G1299">
        <f t="shared" si="20"/>
        <v>2599.9399999999996</v>
      </c>
      <c r="H1299" t="str">
        <f>VLOOKUP(C1299,'products '!$A$1:$G$322,2,FALSE)</f>
        <v>Trek Domane S 5 Disc - 2017</v>
      </c>
    </row>
    <row r="1300" spans="1:8" x14ac:dyDescent="0.3">
      <c r="A1300">
        <v>1299</v>
      </c>
      <c r="B1300">
        <v>1</v>
      </c>
      <c r="C1300">
        <v>14</v>
      </c>
      <c r="D1300" s="2">
        <v>2</v>
      </c>
      <c r="E1300" s="2">
        <v>269.99</v>
      </c>
      <c r="F1300">
        <v>0.1</v>
      </c>
      <c r="G1300">
        <f t="shared" si="20"/>
        <v>539.88</v>
      </c>
      <c r="H1300" t="str">
        <f>VLOOKUP(C1300,'products '!$A$1:$G$322,2,FALSE)</f>
        <v>Electra Girl's Hawaii 1 (16-inch) - 2015/2016</v>
      </c>
    </row>
    <row r="1301" spans="1:8" x14ac:dyDescent="0.3">
      <c r="A1301">
        <v>1300</v>
      </c>
      <c r="B1301">
        <v>1</v>
      </c>
      <c r="C1301">
        <v>101</v>
      </c>
      <c r="D1301" s="2">
        <v>2</v>
      </c>
      <c r="E1301" s="2">
        <v>339.99</v>
      </c>
      <c r="F1301">
        <v>7.0000000000000007E-2</v>
      </c>
      <c r="G1301">
        <f t="shared" si="20"/>
        <v>679.91</v>
      </c>
      <c r="H1301" t="str">
        <f>VLOOKUP(C1301,'products '!$A$1:$G$322,2,FALSE)</f>
        <v>Electra Townie 7D (20-inch) - Boys' - 2017</v>
      </c>
    </row>
    <row r="1302" spans="1:8" x14ac:dyDescent="0.3">
      <c r="A1302">
        <v>1301</v>
      </c>
      <c r="B1302">
        <v>1</v>
      </c>
      <c r="C1302">
        <v>45</v>
      </c>
      <c r="D1302" s="2">
        <v>2</v>
      </c>
      <c r="E1302" s="2">
        <v>869.99</v>
      </c>
      <c r="F1302">
        <v>0.2</v>
      </c>
      <c r="G1302">
        <f t="shared" si="20"/>
        <v>1739.78</v>
      </c>
      <c r="H1302" t="str">
        <f>VLOOKUP(C1302,'products '!$A$1:$G$322,2,FALSE)</f>
        <v>Haro SR 1.2 - 2017</v>
      </c>
    </row>
    <row r="1303" spans="1:8" x14ac:dyDescent="0.3">
      <c r="A1303">
        <v>1302</v>
      </c>
      <c r="B1303">
        <v>1</v>
      </c>
      <c r="C1303">
        <v>38</v>
      </c>
      <c r="D1303" s="2">
        <v>1</v>
      </c>
      <c r="E1303" s="2">
        <v>549.99</v>
      </c>
      <c r="F1303">
        <v>0.05</v>
      </c>
      <c r="G1303">
        <f t="shared" si="20"/>
        <v>549.94000000000005</v>
      </c>
      <c r="H1303" t="str">
        <f>VLOOKUP(C1303,'products '!$A$1:$G$322,2,FALSE)</f>
        <v>Haro Flightline Two 26 Plus - 2017</v>
      </c>
    </row>
    <row r="1304" spans="1:8" x14ac:dyDescent="0.3">
      <c r="A1304">
        <v>1303</v>
      </c>
      <c r="B1304">
        <v>1</v>
      </c>
      <c r="C1304">
        <v>96</v>
      </c>
      <c r="D1304" s="2">
        <v>1</v>
      </c>
      <c r="E1304" s="2">
        <v>349.99</v>
      </c>
      <c r="F1304">
        <v>0.1</v>
      </c>
      <c r="G1304">
        <f t="shared" si="20"/>
        <v>349.89</v>
      </c>
      <c r="H1304" t="str">
        <f>VLOOKUP(C1304,'products '!$A$1:$G$322,2,FALSE)</f>
        <v>Electra Moto 3i (20-inch) - Boy's - 2017</v>
      </c>
    </row>
    <row r="1305" spans="1:8" x14ac:dyDescent="0.3">
      <c r="A1305">
        <v>1304</v>
      </c>
      <c r="B1305">
        <v>1</v>
      </c>
      <c r="C1305">
        <v>80</v>
      </c>
      <c r="D1305" s="2">
        <v>1</v>
      </c>
      <c r="E1305" s="2">
        <v>761.99</v>
      </c>
      <c r="F1305">
        <v>0.05</v>
      </c>
      <c r="G1305">
        <f t="shared" si="20"/>
        <v>761.94</v>
      </c>
      <c r="H1305" t="str">
        <f>VLOOKUP(C1305,'products '!$A$1:$G$322,2,FALSE)</f>
        <v>Sun Bicycles Brickell Tandem CB - 2017</v>
      </c>
    </row>
    <row r="1306" spans="1:8" x14ac:dyDescent="0.3">
      <c r="A1306">
        <v>1305</v>
      </c>
      <c r="B1306">
        <v>1</v>
      </c>
      <c r="C1306">
        <v>85</v>
      </c>
      <c r="D1306" s="2">
        <v>1</v>
      </c>
      <c r="E1306" s="2">
        <v>329.99</v>
      </c>
      <c r="F1306">
        <v>0.2</v>
      </c>
      <c r="G1306">
        <f t="shared" si="20"/>
        <v>329.79</v>
      </c>
      <c r="H1306" t="str">
        <f>VLOOKUP(C1306,'products '!$A$1:$G$322,2,FALSE)</f>
        <v>Haro Downtown 16 - 2017</v>
      </c>
    </row>
    <row r="1307" spans="1:8" x14ac:dyDescent="0.3">
      <c r="A1307">
        <v>1306</v>
      </c>
      <c r="B1307">
        <v>1</v>
      </c>
      <c r="C1307">
        <v>103</v>
      </c>
      <c r="D1307" s="2">
        <v>2</v>
      </c>
      <c r="E1307" s="2">
        <v>551.99</v>
      </c>
      <c r="F1307">
        <v>0.05</v>
      </c>
      <c r="G1307">
        <f t="shared" si="20"/>
        <v>1103.93</v>
      </c>
      <c r="H1307" t="str">
        <f>VLOOKUP(C1307,'products '!$A$1:$G$322,2,FALSE)</f>
        <v>Sun Bicycles Streamway 3 - 2017</v>
      </c>
    </row>
    <row r="1308" spans="1:8" x14ac:dyDescent="0.3">
      <c r="A1308">
        <v>1307</v>
      </c>
      <c r="B1308">
        <v>1</v>
      </c>
      <c r="C1308">
        <v>96</v>
      </c>
      <c r="D1308" s="2">
        <v>2</v>
      </c>
      <c r="E1308" s="2">
        <v>349.99</v>
      </c>
      <c r="F1308">
        <v>7.0000000000000007E-2</v>
      </c>
      <c r="G1308">
        <f t="shared" si="20"/>
        <v>699.91</v>
      </c>
      <c r="H1308" t="str">
        <f>VLOOKUP(C1308,'products '!$A$1:$G$322,2,FALSE)</f>
        <v>Electra Moto 3i (20-inch) - Boy's - 2017</v>
      </c>
    </row>
    <row r="1309" spans="1:8" x14ac:dyDescent="0.3">
      <c r="A1309">
        <v>1308</v>
      </c>
      <c r="B1309">
        <v>1</v>
      </c>
      <c r="C1309">
        <v>54</v>
      </c>
      <c r="D1309" s="2">
        <v>1</v>
      </c>
      <c r="E1309" s="2">
        <v>3199.99</v>
      </c>
      <c r="F1309">
        <v>0.05</v>
      </c>
      <c r="G1309">
        <f t="shared" si="20"/>
        <v>3199.9399999999996</v>
      </c>
      <c r="H1309" t="str">
        <f>VLOOKUP(C1309,'products '!$A$1:$G$322,2,FALSE)</f>
        <v>Trek Domane SL Disc Frameset - 2017</v>
      </c>
    </row>
    <row r="1310" spans="1:8" x14ac:dyDescent="0.3">
      <c r="A1310">
        <v>1309</v>
      </c>
      <c r="B1310">
        <v>1</v>
      </c>
      <c r="C1310">
        <v>65</v>
      </c>
      <c r="D1310" s="2">
        <v>1</v>
      </c>
      <c r="E1310" s="2">
        <v>346.99</v>
      </c>
      <c r="F1310">
        <v>0.05</v>
      </c>
      <c r="G1310">
        <f t="shared" si="20"/>
        <v>346.94</v>
      </c>
      <c r="H1310" t="str">
        <f>VLOOKUP(C1310,'products '!$A$1:$G$322,2,FALSE)</f>
        <v>Sun Bicycles Lil Bolt Type-R - 2017</v>
      </c>
    </row>
    <row r="1311" spans="1:8" x14ac:dyDescent="0.3">
      <c r="A1311">
        <v>1310</v>
      </c>
      <c r="B1311">
        <v>1</v>
      </c>
      <c r="C1311">
        <v>59</v>
      </c>
      <c r="D1311" s="2">
        <v>1</v>
      </c>
      <c r="E1311" s="2">
        <v>2599.9899999999998</v>
      </c>
      <c r="F1311">
        <v>0.2</v>
      </c>
      <c r="G1311">
        <f t="shared" si="20"/>
        <v>2599.79</v>
      </c>
      <c r="H1311" t="str">
        <f>VLOOKUP(C1311,'products '!$A$1:$G$322,2,FALSE)</f>
        <v>Trek Domane S 5 Disc - 2017</v>
      </c>
    </row>
    <row r="1312" spans="1:8" x14ac:dyDescent="0.3">
      <c r="A1312">
        <v>1311</v>
      </c>
      <c r="B1312">
        <v>1</v>
      </c>
      <c r="C1312">
        <v>69</v>
      </c>
      <c r="D1312" s="2">
        <v>1</v>
      </c>
      <c r="E1312" s="2">
        <v>416.99</v>
      </c>
      <c r="F1312">
        <v>0.1</v>
      </c>
      <c r="G1312">
        <f t="shared" si="20"/>
        <v>416.89</v>
      </c>
      <c r="H1312" t="str">
        <f>VLOOKUP(C1312,'products '!$A$1:$G$322,2,FALSE)</f>
        <v>Sun Bicycles Cruz 7 - 2017</v>
      </c>
    </row>
    <row r="1313" spans="1:8" x14ac:dyDescent="0.3">
      <c r="A1313">
        <v>1312</v>
      </c>
      <c r="B1313">
        <v>1</v>
      </c>
      <c r="C1313">
        <v>67</v>
      </c>
      <c r="D1313" s="2">
        <v>2</v>
      </c>
      <c r="E1313" s="2">
        <v>250.99</v>
      </c>
      <c r="F1313">
        <v>0.05</v>
      </c>
      <c r="G1313">
        <f t="shared" si="20"/>
        <v>501.93</v>
      </c>
      <c r="H1313" t="str">
        <f>VLOOKUP(C1313,'products '!$A$1:$G$322,2,FALSE)</f>
        <v>Sun Bicycles Revolutions 24 - Girl's - 2017</v>
      </c>
    </row>
    <row r="1314" spans="1:8" x14ac:dyDescent="0.3">
      <c r="A1314">
        <v>1313</v>
      </c>
      <c r="B1314">
        <v>1</v>
      </c>
      <c r="C1314">
        <v>75</v>
      </c>
      <c r="D1314" s="2">
        <v>1</v>
      </c>
      <c r="E1314" s="2">
        <v>599.99</v>
      </c>
      <c r="F1314">
        <v>0.2</v>
      </c>
      <c r="G1314">
        <f t="shared" si="20"/>
        <v>599.79</v>
      </c>
      <c r="H1314" t="str">
        <f>VLOOKUP(C1314,'products '!$A$1:$G$322,2,FALSE)</f>
        <v>Electra Cruiser Lux Fat Tire 1 Ladies - 2017</v>
      </c>
    </row>
    <row r="1315" spans="1:8" x14ac:dyDescent="0.3">
      <c r="A1315">
        <v>1314</v>
      </c>
      <c r="B1315">
        <v>1</v>
      </c>
      <c r="C1315">
        <v>52</v>
      </c>
      <c r="D1315" s="2">
        <v>1</v>
      </c>
      <c r="E1315" s="2">
        <v>875.99</v>
      </c>
      <c r="F1315">
        <v>7.0000000000000007E-2</v>
      </c>
      <c r="G1315">
        <f t="shared" si="20"/>
        <v>875.92</v>
      </c>
      <c r="H1315" t="str">
        <f>VLOOKUP(C1315,'products '!$A$1:$G$322,2,FALSE)</f>
        <v>Surly Steamroller - 2017</v>
      </c>
    </row>
    <row r="1316" spans="1:8" x14ac:dyDescent="0.3">
      <c r="A1316">
        <v>1315</v>
      </c>
      <c r="B1316">
        <v>1</v>
      </c>
      <c r="C1316">
        <v>104</v>
      </c>
      <c r="D1316" s="2">
        <v>2</v>
      </c>
      <c r="E1316" s="2">
        <v>481.99</v>
      </c>
      <c r="F1316">
        <v>7.0000000000000007E-2</v>
      </c>
      <c r="G1316">
        <f t="shared" si="20"/>
        <v>963.91</v>
      </c>
      <c r="H1316" t="str">
        <f>VLOOKUP(C1316,'products '!$A$1:$G$322,2,FALSE)</f>
        <v>Sun Bicycles Streamway - 2017</v>
      </c>
    </row>
    <row r="1317" spans="1:8" x14ac:dyDescent="0.3">
      <c r="A1317">
        <v>1316</v>
      </c>
      <c r="B1317">
        <v>1</v>
      </c>
      <c r="C1317">
        <v>76</v>
      </c>
      <c r="D1317" s="2">
        <v>2</v>
      </c>
      <c r="E1317" s="2">
        <v>299.99</v>
      </c>
      <c r="F1317">
        <v>0.1</v>
      </c>
      <c r="G1317">
        <f t="shared" si="20"/>
        <v>599.88</v>
      </c>
      <c r="H1317" t="str">
        <f>VLOOKUP(C1317,'products '!$A$1:$G$322,2,FALSE)</f>
        <v>Electra Girl's Hawaii 1 16" - 2017</v>
      </c>
    </row>
    <row r="1318" spans="1:8" x14ac:dyDescent="0.3">
      <c r="A1318">
        <v>1317</v>
      </c>
      <c r="B1318">
        <v>1</v>
      </c>
      <c r="C1318">
        <v>82</v>
      </c>
      <c r="D1318" s="2">
        <v>1</v>
      </c>
      <c r="E1318" s="2">
        <v>659.99</v>
      </c>
      <c r="F1318">
        <v>0.1</v>
      </c>
      <c r="G1318">
        <f t="shared" si="20"/>
        <v>659.89</v>
      </c>
      <c r="H1318" t="str">
        <f>VLOOKUP(C1318,'products '!$A$1:$G$322,2,FALSE)</f>
        <v>Electra Amsterdam Original 3i Ladies' - 2017</v>
      </c>
    </row>
    <row r="1319" spans="1:8" x14ac:dyDescent="0.3">
      <c r="A1319">
        <v>1318</v>
      </c>
      <c r="B1319">
        <v>1</v>
      </c>
      <c r="C1319">
        <v>82</v>
      </c>
      <c r="D1319" s="2">
        <v>2</v>
      </c>
      <c r="E1319" s="2">
        <v>659.99</v>
      </c>
      <c r="F1319">
        <v>0.2</v>
      </c>
      <c r="G1319">
        <f t="shared" si="20"/>
        <v>1319.78</v>
      </c>
      <c r="H1319" t="str">
        <f>VLOOKUP(C1319,'products '!$A$1:$G$322,2,FALSE)</f>
        <v>Electra Amsterdam Original 3i Ladies' - 2017</v>
      </c>
    </row>
    <row r="1320" spans="1:8" x14ac:dyDescent="0.3">
      <c r="A1320">
        <v>1319</v>
      </c>
      <c r="B1320">
        <v>1</v>
      </c>
      <c r="C1320">
        <v>75</v>
      </c>
      <c r="D1320" s="2">
        <v>1</v>
      </c>
      <c r="E1320" s="2">
        <v>599.99</v>
      </c>
      <c r="F1320">
        <v>7.0000000000000007E-2</v>
      </c>
      <c r="G1320">
        <f t="shared" si="20"/>
        <v>599.91999999999996</v>
      </c>
      <c r="H1320" t="str">
        <f>VLOOKUP(C1320,'products '!$A$1:$G$322,2,FALSE)</f>
        <v>Electra Cruiser Lux Fat Tire 1 Ladies - 2017</v>
      </c>
    </row>
    <row r="1321" spans="1:8" x14ac:dyDescent="0.3">
      <c r="A1321">
        <v>1320</v>
      </c>
      <c r="B1321">
        <v>1</v>
      </c>
      <c r="C1321">
        <v>104</v>
      </c>
      <c r="D1321" s="2">
        <v>1</v>
      </c>
      <c r="E1321" s="2">
        <v>481.99</v>
      </c>
      <c r="F1321">
        <v>0.1</v>
      </c>
      <c r="G1321">
        <f t="shared" si="20"/>
        <v>481.89</v>
      </c>
      <c r="H1321" t="str">
        <f>VLOOKUP(C1321,'products '!$A$1:$G$322,2,FALSE)</f>
        <v>Sun Bicycles Streamway - 2017</v>
      </c>
    </row>
    <row r="1322" spans="1:8" x14ac:dyDescent="0.3">
      <c r="A1322">
        <v>1321</v>
      </c>
      <c r="B1322">
        <v>1</v>
      </c>
      <c r="C1322">
        <v>34</v>
      </c>
      <c r="D1322" s="2">
        <v>1</v>
      </c>
      <c r="E1322" s="2">
        <v>469.99</v>
      </c>
      <c r="F1322">
        <v>0.1</v>
      </c>
      <c r="G1322">
        <f t="shared" si="20"/>
        <v>469.89</v>
      </c>
      <c r="H1322" t="str">
        <f>VLOOKUP(C1322,'products '!$A$1:$G$322,2,FALSE)</f>
        <v>Trek Session DH 27.5 Carbon Frameset - 2017</v>
      </c>
    </row>
    <row r="1323" spans="1:8" x14ac:dyDescent="0.3">
      <c r="A1323">
        <v>1322</v>
      </c>
      <c r="B1323">
        <v>1</v>
      </c>
      <c r="C1323">
        <v>28</v>
      </c>
      <c r="D1323" s="2">
        <v>2</v>
      </c>
      <c r="E1323" s="2">
        <v>2499.9899999999998</v>
      </c>
      <c r="F1323">
        <v>0.05</v>
      </c>
      <c r="G1323">
        <f t="shared" si="20"/>
        <v>4999.9299999999994</v>
      </c>
      <c r="H1323" t="str">
        <f>VLOOKUP(C1323,'products '!$A$1:$G$322,2,FALSE)</f>
        <v>Surly Karate Monkey 27.5+ Frameset - 2017</v>
      </c>
    </row>
    <row r="1324" spans="1:8" x14ac:dyDescent="0.3">
      <c r="A1324">
        <v>1323</v>
      </c>
      <c r="B1324">
        <v>1</v>
      </c>
      <c r="C1324">
        <v>27</v>
      </c>
      <c r="D1324" s="2">
        <v>2</v>
      </c>
      <c r="E1324" s="2">
        <v>999.99</v>
      </c>
      <c r="F1324">
        <v>7.0000000000000007E-2</v>
      </c>
      <c r="G1324">
        <f t="shared" si="20"/>
        <v>1999.91</v>
      </c>
      <c r="H1324" t="str">
        <f>VLOOKUP(C1324,'products '!$A$1:$G$322,2,FALSE)</f>
        <v>Surly Big Dummy Frameset - 2017</v>
      </c>
    </row>
    <row r="1325" spans="1:8" x14ac:dyDescent="0.3">
      <c r="A1325">
        <v>1324</v>
      </c>
      <c r="B1325">
        <v>1</v>
      </c>
      <c r="C1325">
        <v>66</v>
      </c>
      <c r="D1325" s="2">
        <v>1</v>
      </c>
      <c r="E1325" s="2">
        <v>250.99</v>
      </c>
      <c r="F1325">
        <v>0.1</v>
      </c>
      <c r="G1325">
        <f t="shared" si="20"/>
        <v>250.89000000000001</v>
      </c>
      <c r="H1325" t="str">
        <f>VLOOKUP(C1325,'products '!$A$1:$G$322,2,FALSE)</f>
        <v>Sun Bicycles Revolutions 24 - 2017</v>
      </c>
    </row>
    <row r="1326" spans="1:8" x14ac:dyDescent="0.3">
      <c r="A1326">
        <v>1325</v>
      </c>
      <c r="B1326">
        <v>1</v>
      </c>
      <c r="C1326">
        <v>139</v>
      </c>
      <c r="D1326" s="2">
        <v>1</v>
      </c>
      <c r="E1326" s="2">
        <v>2999.99</v>
      </c>
      <c r="F1326">
        <v>0.05</v>
      </c>
      <c r="G1326">
        <f t="shared" si="20"/>
        <v>2999.9399999999996</v>
      </c>
      <c r="H1326" t="str">
        <f>VLOOKUP(C1326,'products '!$A$1:$G$322,2,FALSE)</f>
        <v>Trek Remedy 7 27.5 - 2018</v>
      </c>
    </row>
    <row r="1327" spans="1:8" x14ac:dyDescent="0.3">
      <c r="A1327">
        <v>1326</v>
      </c>
      <c r="B1327">
        <v>1</v>
      </c>
      <c r="C1327">
        <v>190</v>
      </c>
      <c r="D1327" s="2">
        <v>2</v>
      </c>
      <c r="E1327" s="2">
        <v>2799.99</v>
      </c>
      <c r="F1327">
        <v>7.0000000000000007E-2</v>
      </c>
      <c r="G1327">
        <f t="shared" si="20"/>
        <v>5599.91</v>
      </c>
      <c r="H1327" t="str">
        <f>VLOOKUP(C1327,'products '!$A$1:$G$322,2,FALSE)</f>
        <v>Trek Dual Sport+ - 2018</v>
      </c>
    </row>
    <row r="1328" spans="1:8" x14ac:dyDescent="0.3">
      <c r="A1328">
        <v>1327</v>
      </c>
      <c r="B1328">
        <v>1</v>
      </c>
      <c r="C1328">
        <v>151</v>
      </c>
      <c r="D1328" s="2">
        <v>2</v>
      </c>
      <c r="E1328" s="2">
        <v>1549.99</v>
      </c>
      <c r="F1328">
        <v>7.0000000000000007E-2</v>
      </c>
      <c r="G1328">
        <f t="shared" si="20"/>
        <v>3099.91</v>
      </c>
      <c r="H1328" t="str">
        <f>VLOOKUP(C1328,'products '!$A$1:$G$322,2,FALSE)</f>
        <v>Trek Domane ALR 4 Disc Women's - 2018</v>
      </c>
    </row>
    <row r="1329" spans="1:8" x14ac:dyDescent="0.3">
      <c r="A1329">
        <v>1328</v>
      </c>
      <c r="B1329">
        <v>1</v>
      </c>
      <c r="C1329">
        <v>241</v>
      </c>
      <c r="D1329" s="2">
        <v>1</v>
      </c>
      <c r="E1329" s="2">
        <v>749.99</v>
      </c>
      <c r="F1329">
        <v>7.0000000000000007E-2</v>
      </c>
      <c r="G1329">
        <f t="shared" si="20"/>
        <v>749.92</v>
      </c>
      <c r="H1329" t="str">
        <f>VLOOKUP(C1329,'products '!$A$1:$G$322,2,FALSE)</f>
        <v>Electra Townie Commute 8D - 2018</v>
      </c>
    </row>
    <row r="1330" spans="1:8" x14ac:dyDescent="0.3">
      <c r="A1330">
        <v>1329</v>
      </c>
      <c r="B1330">
        <v>1</v>
      </c>
      <c r="C1330">
        <v>143</v>
      </c>
      <c r="D1330" s="2">
        <v>1</v>
      </c>
      <c r="E1330" s="2">
        <v>1099.99</v>
      </c>
      <c r="F1330">
        <v>7.0000000000000007E-2</v>
      </c>
      <c r="G1330">
        <f t="shared" si="20"/>
        <v>1099.92</v>
      </c>
      <c r="H1330" t="str">
        <f>VLOOKUP(C1330,'products '!$A$1:$G$322,2,FALSE)</f>
        <v>Trek Domane ALR 3 - 2018</v>
      </c>
    </row>
    <row r="1331" spans="1:8" x14ac:dyDescent="0.3">
      <c r="A1331">
        <v>1330</v>
      </c>
      <c r="B1331">
        <v>1</v>
      </c>
      <c r="C1331">
        <v>232</v>
      </c>
      <c r="D1331" s="2">
        <v>1</v>
      </c>
      <c r="E1331" s="2">
        <v>479.99</v>
      </c>
      <c r="F1331">
        <v>0.2</v>
      </c>
      <c r="G1331">
        <f t="shared" si="20"/>
        <v>479.79</v>
      </c>
      <c r="H1331" t="str">
        <f>VLOOKUP(C1331,'products '!$A$1:$G$322,2,FALSE)</f>
        <v>Electra Cruiser Lux 7D Ladies' - 2018</v>
      </c>
    </row>
    <row r="1332" spans="1:8" x14ac:dyDescent="0.3">
      <c r="A1332">
        <v>1331</v>
      </c>
      <c r="B1332">
        <v>1</v>
      </c>
      <c r="C1332">
        <v>253</v>
      </c>
      <c r="D1332" s="2">
        <v>1</v>
      </c>
      <c r="E1332" s="2">
        <v>2599.9899999999998</v>
      </c>
      <c r="F1332">
        <v>0.05</v>
      </c>
      <c r="G1332">
        <f t="shared" si="20"/>
        <v>2599.9399999999996</v>
      </c>
      <c r="H1332" t="str">
        <f>VLOOKUP(C1332,'products '!$A$1:$G$322,2,FALSE)</f>
        <v>Electra Townie Go! 8i Ladies' - 2018</v>
      </c>
    </row>
    <row r="1333" spans="1:8" x14ac:dyDescent="0.3">
      <c r="A1333">
        <v>1332</v>
      </c>
      <c r="B1333">
        <v>1</v>
      </c>
      <c r="C1333">
        <v>296</v>
      </c>
      <c r="D1333" s="2">
        <v>1</v>
      </c>
      <c r="E1333" s="2">
        <v>369.99</v>
      </c>
      <c r="F1333">
        <v>0.2</v>
      </c>
      <c r="G1333">
        <f t="shared" si="20"/>
        <v>369.79</v>
      </c>
      <c r="H1333" t="str">
        <f>VLOOKUP(C1333,'products '!$A$1:$G$322,2,FALSE)</f>
        <v>Electra Treasure 3i 20" - 2018</v>
      </c>
    </row>
    <row r="1334" spans="1:8" x14ac:dyDescent="0.3">
      <c r="A1334">
        <v>1333</v>
      </c>
      <c r="B1334">
        <v>1</v>
      </c>
      <c r="C1334">
        <v>205</v>
      </c>
      <c r="D1334" s="2">
        <v>2</v>
      </c>
      <c r="E1334" s="2">
        <v>4999.99</v>
      </c>
      <c r="F1334">
        <v>0.05</v>
      </c>
      <c r="G1334">
        <f t="shared" si="20"/>
        <v>9999.93</v>
      </c>
      <c r="H1334" t="str">
        <f>VLOOKUP(C1334,'products '!$A$1:$G$322,2,FALSE)</f>
        <v>Trek Super Commuter+ 8S - 2018</v>
      </c>
    </row>
    <row r="1335" spans="1:8" x14ac:dyDescent="0.3">
      <c r="A1335">
        <v>1334</v>
      </c>
      <c r="B1335">
        <v>1</v>
      </c>
      <c r="C1335">
        <v>203</v>
      </c>
      <c r="D1335" s="2">
        <v>2</v>
      </c>
      <c r="E1335" s="2">
        <v>4999.99</v>
      </c>
      <c r="F1335">
        <v>0.05</v>
      </c>
      <c r="G1335">
        <f t="shared" si="20"/>
        <v>9999.93</v>
      </c>
      <c r="H1335" t="str">
        <f>VLOOKUP(C1335,'products '!$A$1:$G$322,2,FALSE)</f>
        <v>Trek Powerfly 7 FS - 2018</v>
      </c>
    </row>
    <row r="1336" spans="1:8" x14ac:dyDescent="0.3">
      <c r="A1336">
        <v>1335</v>
      </c>
      <c r="B1336">
        <v>1</v>
      </c>
      <c r="C1336">
        <v>138</v>
      </c>
      <c r="D1336" s="2">
        <v>2</v>
      </c>
      <c r="E1336" s="2">
        <v>2249.9899999999998</v>
      </c>
      <c r="F1336">
        <v>0.05</v>
      </c>
      <c r="G1336">
        <f t="shared" si="20"/>
        <v>4499.9299999999994</v>
      </c>
      <c r="H1336" t="str">
        <f>VLOOKUP(C1336,'products '!$A$1:$G$322,2,FALSE)</f>
        <v>Trek Fuel EX 5 Plus - 2018</v>
      </c>
    </row>
    <row r="1337" spans="1:8" x14ac:dyDescent="0.3">
      <c r="A1337">
        <v>1336</v>
      </c>
      <c r="B1337">
        <v>1</v>
      </c>
      <c r="C1337">
        <v>29</v>
      </c>
      <c r="D1337" s="2">
        <v>2</v>
      </c>
      <c r="E1337" s="2">
        <v>999.99</v>
      </c>
      <c r="F1337">
        <v>0.2</v>
      </c>
      <c r="G1337">
        <f t="shared" si="20"/>
        <v>1999.78</v>
      </c>
      <c r="H1337" t="str">
        <f>VLOOKUP(C1337,'products '!$A$1:$G$322,2,FALSE)</f>
        <v>Trek X-Caliber 8 - 2017</v>
      </c>
    </row>
    <row r="1338" spans="1:8" x14ac:dyDescent="0.3">
      <c r="A1338">
        <v>1337</v>
      </c>
      <c r="B1338">
        <v>1</v>
      </c>
      <c r="C1338">
        <v>153</v>
      </c>
      <c r="D1338" s="2">
        <v>1</v>
      </c>
      <c r="E1338" s="2">
        <v>4999.99</v>
      </c>
      <c r="F1338">
        <v>0.1</v>
      </c>
      <c r="G1338">
        <f t="shared" si="20"/>
        <v>4999.8899999999994</v>
      </c>
      <c r="H1338" t="str">
        <f>VLOOKUP(C1338,'products '!$A$1:$G$322,2,FALSE)</f>
        <v>Trek Domane SL 7 Women's - 2018</v>
      </c>
    </row>
    <row r="1339" spans="1:8" x14ac:dyDescent="0.3">
      <c r="A1339">
        <v>1338</v>
      </c>
      <c r="B1339">
        <v>1</v>
      </c>
      <c r="C1339">
        <v>169</v>
      </c>
      <c r="D1339" s="2">
        <v>2</v>
      </c>
      <c r="E1339" s="2">
        <v>6499.99</v>
      </c>
      <c r="F1339">
        <v>7.0000000000000007E-2</v>
      </c>
      <c r="G1339">
        <f t="shared" si="20"/>
        <v>12999.91</v>
      </c>
      <c r="H1339" t="str">
        <f>VLOOKUP(C1339,'products '!$A$1:$G$322,2,FALSE)</f>
        <v>Trek Emonda SLR 8 - 2018</v>
      </c>
    </row>
    <row r="1340" spans="1:8" x14ac:dyDescent="0.3">
      <c r="A1340">
        <v>1339</v>
      </c>
      <c r="B1340">
        <v>1</v>
      </c>
      <c r="C1340">
        <v>175</v>
      </c>
      <c r="D1340" s="2">
        <v>1</v>
      </c>
      <c r="E1340" s="2">
        <v>3199.99</v>
      </c>
      <c r="F1340">
        <v>7.0000000000000007E-2</v>
      </c>
      <c r="G1340">
        <f t="shared" si="20"/>
        <v>3199.9199999999996</v>
      </c>
      <c r="H1340" t="str">
        <f>VLOOKUP(C1340,'products '!$A$1:$G$322,2,FALSE)</f>
        <v>Trek Domane SLR Frameset - 2018</v>
      </c>
    </row>
    <row r="1341" spans="1:8" x14ac:dyDescent="0.3">
      <c r="A1341">
        <v>1340</v>
      </c>
      <c r="B1341">
        <v>1</v>
      </c>
      <c r="C1341">
        <v>253</v>
      </c>
      <c r="D1341" s="2">
        <v>1</v>
      </c>
      <c r="E1341" s="2">
        <v>2599.9899999999998</v>
      </c>
      <c r="F1341">
        <v>0.2</v>
      </c>
      <c r="G1341">
        <f t="shared" si="20"/>
        <v>2599.79</v>
      </c>
      <c r="H1341" t="str">
        <f>VLOOKUP(C1341,'products '!$A$1:$G$322,2,FALSE)</f>
        <v>Electra Townie Go! 8i Ladies' - 2018</v>
      </c>
    </row>
    <row r="1342" spans="1:8" x14ac:dyDescent="0.3">
      <c r="A1342">
        <v>1341</v>
      </c>
      <c r="B1342">
        <v>1</v>
      </c>
      <c r="C1342">
        <v>215</v>
      </c>
      <c r="D1342" s="2">
        <v>2</v>
      </c>
      <c r="E1342" s="2">
        <v>749.99</v>
      </c>
      <c r="F1342">
        <v>7.0000000000000007E-2</v>
      </c>
      <c r="G1342">
        <f t="shared" si="20"/>
        <v>1499.91</v>
      </c>
      <c r="H1342" t="str">
        <f>VLOOKUP(C1342,'products '!$A$1:$G$322,2,FALSE)</f>
        <v>Electra Queen of Hearts 3i - 2018</v>
      </c>
    </row>
    <row r="1343" spans="1:8" x14ac:dyDescent="0.3">
      <c r="A1343">
        <v>1342</v>
      </c>
      <c r="B1343">
        <v>1</v>
      </c>
      <c r="C1343">
        <v>60</v>
      </c>
      <c r="D1343" s="2">
        <v>1</v>
      </c>
      <c r="E1343" s="2">
        <v>1559.99</v>
      </c>
      <c r="F1343">
        <v>0.05</v>
      </c>
      <c r="G1343">
        <f t="shared" si="20"/>
        <v>1559.94</v>
      </c>
      <c r="H1343" t="str">
        <f>VLOOKUP(C1343,'products '!$A$1:$G$322,2,FALSE)</f>
        <v>Sun Bicycles ElectroLite - 2017</v>
      </c>
    </row>
    <row r="1344" spans="1:8" x14ac:dyDescent="0.3">
      <c r="A1344">
        <v>1343</v>
      </c>
      <c r="B1344">
        <v>1</v>
      </c>
      <c r="C1344">
        <v>244</v>
      </c>
      <c r="D1344" s="2">
        <v>1</v>
      </c>
      <c r="E1344" s="2">
        <v>559.99</v>
      </c>
      <c r="F1344">
        <v>0.05</v>
      </c>
      <c r="G1344">
        <f t="shared" si="20"/>
        <v>559.94000000000005</v>
      </c>
      <c r="H1344" t="str">
        <f>VLOOKUP(C1344,'products '!$A$1:$G$322,2,FALSE)</f>
        <v>Electra Townie Original 21D Ladies' - 2018</v>
      </c>
    </row>
    <row r="1345" spans="1:8" x14ac:dyDescent="0.3">
      <c r="A1345">
        <v>1344</v>
      </c>
      <c r="B1345">
        <v>1</v>
      </c>
      <c r="C1345">
        <v>77</v>
      </c>
      <c r="D1345" s="2">
        <v>2</v>
      </c>
      <c r="E1345" s="2">
        <v>799.99</v>
      </c>
      <c r="F1345">
        <v>7.0000000000000007E-2</v>
      </c>
      <c r="G1345">
        <f t="shared" si="20"/>
        <v>1599.91</v>
      </c>
      <c r="H1345" t="str">
        <f>VLOOKUP(C1345,'products '!$A$1:$G$322,2,FALSE)</f>
        <v>Electra Glam Punk 3i Ladies' - 2017</v>
      </c>
    </row>
    <row r="1346" spans="1:8" x14ac:dyDescent="0.3">
      <c r="A1346">
        <v>1345</v>
      </c>
      <c r="B1346">
        <v>1</v>
      </c>
      <c r="C1346">
        <v>40</v>
      </c>
      <c r="D1346" s="2">
        <v>2</v>
      </c>
      <c r="E1346" s="2">
        <v>4999.99</v>
      </c>
      <c r="F1346">
        <v>0.2</v>
      </c>
      <c r="G1346">
        <f t="shared" si="20"/>
        <v>9999.7799999999988</v>
      </c>
      <c r="H1346" t="str">
        <f>VLOOKUP(C1346,'products '!$A$1:$G$322,2,FALSE)</f>
        <v>Trek Fuel EX 9.8 29 - 2017</v>
      </c>
    </row>
    <row r="1347" spans="1:8" x14ac:dyDescent="0.3">
      <c r="A1347">
        <v>1346</v>
      </c>
      <c r="B1347">
        <v>1</v>
      </c>
      <c r="C1347">
        <v>134</v>
      </c>
      <c r="D1347" s="2">
        <v>2</v>
      </c>
      <c r="E1347" s="2">
        <v>1499.99</v>
      </c>
      <c r="F1347">
        <v>0.05</v>
      </c>
      <c r="G1347">
        <f t="shared" ref="G1347:G1410" si="21">E1347*D1347-F1347</f>
        <v>2999.93</v>
      </c>
      <c r="H1347" t="str">
        <f>VLOOKUP(C1347,'products '!$A$1:$G$322,2,FALSE)</f>
        <v>Trek Remedy 27.5 C Frameset - 2018</v>
      </c>
    </row>
    <row r="1348" spans="1:8" x14ac:dyDescent="0.3">
      <c r="A1348">
        <v>1347</v>
      </c>
      <c r="B1348">
        <v>1</v>
      </c>
      <c r="C1348">
        <v>43</v>
      </c>
      <c r="D1348" s="2">
        <v>2</v>
      </c>
      <c r="E1348" s="2">
        <v>5299.99</v>
      </c>
      <c r="F1348">
        <v>7.0000000000000007E-2</v>
      </c>
      <c r="G1348">
        <f t="shared" si="21"/>
        <v>10599.91</v>
      </c>
      <c r="H1348" t="str">
        <f>VLOOKUP(C1348,'products '!$A$1:$G$322,2,FALSE)</f>
        <v>Trek Fuel EX 9.8 27.5 Plus - 2017</v>
      </c>
    </row>
    <row r="1349" spans="1:8" x14ac:dyDescent="0.3">
      <c r="A1349">
        <v>1348</v>
      </c>
      <c r="B1349">
        <v>1</v>
      </c>
      <c r="C1349">
        <v>203</v>
      </c>
      <c r="D1349" s="2">
        <v>1</v>
      </c>
      <c r="E1349" s="2">
        <v>4999.99</v>
      </c>
      <c r="F1349">
        <v>0.05</v>
      </c>
      <c r="G1349">
        <f t="shared" si="21"/>
        <v>4999.9399999999996</v>
      </c>
      <c r="H1349" t="str">
        <f>VLOOKUP(C1349,'products '!$A$1:$G$322,2,FALSE)</f>
        <v>Trek Powerfly 7 FS - 2018</v>
      </c>
    </row>
    <row r="1350" spans="1:8" x14ac:dyDescent="0.3">
      <c r="A1350">
        <v>1349</v>
      </c>
      <c r="B1350">
        <v>1</v>
      </c>
      <c r="C1350">
        <v>138</v>
      </c>
      <c r="D1350" s="2">
        <v>2</v>
      </c>
      <c r="E1350" s="2">
        <v>2249.9899999999998</v>
      </c>
      <c r="F1350">
        <v>0.05</v>
      </c>
      <c r="G1350">
        <f t="shared" si="21"/>
        <v>4499.9299999999994</v>
      </c>
      <c r="H1350" t="str">
        <f>VLOOKUP(C1350,'products '!$A$1:$G$322,2,FALSE)</f>
        <v>Trek Fuel EX 5 Plus - 2018</v>
      </c>
    </row>
    <row r="1351" spans="1:8" x14ac:dyDescent="0.3">
      <c r="A1351">
        <v>1350</v>
      </c>
      <c r="B1351">
        <v>1</v>
      </c>
      <c r="C1351">
        <v>305</v>
      </c>
      <c r="D1351" s="2">
        <v>1</v>
      </c>
      <c r="E1351" s="2">
        <v>749.99</v>
      </c>
      <c r="F1351">
        <v>0.1</v>
      </c>
      <c r="G1351">
        <f t="shared" si="21"/>
        <v>749.89</v>
      </c>
      <c r="H1351" t="str">
        <f>VLOOKUP(C1351,'products '!$A$1:$G$322,2,FALSE)</f>
        <v>Electra Townie Balloon 3i EQ - 2017/2018</v>
      </c>
    </row>
    <row r="1352" spans="1:8" x14ac:dyDescent="0.3">
      <c r="A1352">
        <v>1351</v>
      </c>
      <c r="B1352">
        <v>1</v>
      </c>
      <c r="C1352">
        <v>297</v>
      </c>
      <c r="D1352" s="2">
        <v>2</v>
      </c>
      <c r="E1352" s="2">
        <v>279.99</v>
      </c>
      <c r="F1352">
        <v>0.2</v>
      </c>
      <c r="G1352">
        <f t="shared" si="21"/>
        <v>559.78</v>
      </c>
      <c r="H1352" t="str">
        <f>VLOOKUP(C1352,'products '!$A$1:$G$322,2,FALSE)</f>
        <v>Electra Under-The-Sea 1 16" - 2018</v>
      </c>
    </row>
    <row r="1353" spans="1:8" x14ac:dyDescent="0.3">
      <c r="A1353">
        <v>1352</v>
      </c>
      <c r="B1353">
        <v>1</v>
      </c>
      <c r="C1353">
        <v>136</v>
      </c>
      <c r="D1353" s="2">
        <v>1</v>
      </c>
      <c r="E1353" s="2">
        <v>1799.99</v>
      </c>
      <c r="F1353">
        <v>0.2</v>
      </c>
      <c r="G1353">
        <f t="shared" si="21"/>
        <v>1799.79</v>
      </c>
      <c r="H1353" t="str">
        <f>VLOOKUP(C1353,'products '!$A$1:$G$322,2,FALSE)</f>
        <v>Trek Procaliber 6 - 2018</v>
      </c>
    </row>
    <row r="1354" spans="1:8" x14ac:dyDescent="0.3">
      <c r="A1354">
        <v>1353</v>
      </c>
      <c r="B1354">
        <v>1</v>
      </c>
      <c r="C1354">
        <v>107</v>
      </c>
      <c r="D1354" s="2">
        <v>2</v>
      </c>
      <c r="E1354" s="2">
        <v>416.99</v>
      </c>
      <c r="F1354">
        <v>0.05</v>
      </c>
      <c r="G1354">
        <f t="shared" si="21"/>
        <v>833.93000000000006</v>
      </c>
      <c r="H1354" t="str">
        <f>VLOOKUP(C1354,'products '!$A$1:$G$322,2,FALSE)</f>
        <v>Sun Bicycles Cruz 7 - 2017</v>
      </c>
    </row>
    <row r="1355" spans="1:8" x14ac:dyDescent="0.3">
      <c r="A1355">
        <v>1354</v>
      </c>
      <c r="B1355">
        <v>1</v>
      </c>
      <c r="C1355">
        <v>166</v>
      </c>
      <c r="D1355" s="2">
        <v>2</v>
      </c>
      <c r="E1355" s="2">
        <v>749.99</v>
      </c>
      <c r="F1355">
        <v>7.0000000000000007E-2</v>
      </c>
      <c r="G1355">
        <f t="shared" si="21"/>
        <v>1499.91</v>
      </c>
      <c r="H1355" t="str">
        <f>VLOOKUP(C1355,'products '!$A$1:$G$322,2,FALSE)</f>
        <v>Trek Domane AL 2 Women's - 2018</v>
      </c>
    </row>
    <row r="1356" spans="1:8" x14ac:dyDescent="0.3">
      <c r="A1356">
        <v>1355</v>
      </c>
      <c r="B1356">
        <v>1</v>
      </c>
      <c r="C1356">
        <v>297</v>
      </c>
      <c r="D1356" s="2">
        <v>1</v>
      </c>
      <c r="E1356" s="2">
        <v>279.99</v>
      </c>
      <c r="F1356">
        <v>0.1</v>
      </c>
      <c r="G1356">
        <f t="shared" si="21"/>
        <v>279.89</v>
      </c>
      <c r="H1356" t="str">
        <f>VLOOKUP(C1356,'products '!$A$1:$G$322,2,FALSE)</f>
        <v>Electra Under-The-Sea 1 16" - 2018</v>
      </c>
    </row>
    <row r="1357" spans="1:8" x14ac:dyDescent="0.3">
      <c r="A1357">
        <v>1356</v>
      </c>
      <c r="B1357">
        <v>1</v>
      </c>
      <c r="C1357">
        <v>192</v>
      </c>
      <c r="D1357" s="2">
        <v>1</v>
      </c>
      <c r="E1357" s="2">
        <v>2599.9899999999998</v>
      </c>
      <c r="F1357">
        <v>0.05</v>
      </c>
      <c r="G1357">
        <f t="shared" si="21"/>
        <v>2599.9399999999996</v>
      </c>
      <c r="H1357" t="str">
        <f>VLOOKUP(C1357,'products '!$A$1:$G$322,2,FALSE)</f>
        <v>Electra Townie Go! 8i - 2017/2018</v>
      </c>
    </row>
    <row r="1358" spans="1:8" x14ac:dyDescent="0.3">
      <c r="A1358">
        <v>1357</v>
      </c>
      <c r="B1358">
        <v>1</v>
      </c>
      <c r="C1358">
        <v>145</v>
      </c>
      <c r="D1358" s="2">
        <v>2</v>
      </c>
      <c r="E1358" s="2">
        <v>1799.99</v>
      </c>
      <c r="F1358">
        <v>0.2</v>
      </c>
      <c r="G1358">
        <f t="shared" si="21"/>
        <v>3599.78</v>
      </c>
      <c r="H1358" t="str">
        <f>VLOOKUP(C1358,'products '!$A$1:$G$322,2,FALSE)</f>
        <v>Trek Domane ALR 5 Disc - 2018</v>
      </c>
    </row>
    <row r="1359" spans="1:8" x14ac:dyDescent="0.3">
      <c r="A1359">
        <v>1358</v>
      </c>
      <c r="B1359">
        <v>1</v>
      </c>
      <c r="C1359">
        <v>257</v>
      </c>
      <c r="D1359" s="2">
        <v>2</v>
      </c>
      <c r="E1359" s="2">
        <v>899.99</v>
      </c>
      <c r="F1359">
        <v>0.2</v>
      </c>
      <c r="G1359">
        <f t="shared" si="21"/>
        <v>1799.78</v>
      </c>
      <c r="H1359" t="str">
        <f>VLOOKUP(C1359,'products '!$A$1:$G$322,2,FALSE)</f>
        <v>Electra Amsterdam Fashion 3i Ladies' - 2017/2018</v>
      </c>
    </row>
    <row r="1360" spans="1:8" x14ac:dyDescent="0.3">
      <c r="A1360">
        <v>1359</v>
      </c>
      <c r="B1360">
        <v>1</v>
      </c>
      <c r="C1360">
        <v>282</v>
      </c>
      <c r="D1360" s="2">
        <v>1</v>
      </c>
      <c r="E1360" s="2">
        <v>279.99</v>
      </c>
      <c r="F1360">
        <v>0.05</v>
      </c>
      <c r="G1360">
        <f t="shared" si="21"/>
        <v>279.94</v>
      </c>
      <c r="H1360" t="str">
        <f>VLOOKUP(C1360,'products '!$A$1:$G$322,2,FALSE)</f>
        <v>Electra Cyclosaurus 1 (16-inch) - Boy's - 2018</v>
      </c>
    </row>
    <row r="1361" spans="1:8" x14ac:dyDescent="0.3">
      <c r="A1361">
        <v>1360</v>
      </c>
      <c r="B1361">
        <v>1</v>
      </c>
      <c r="C1361">
        <v>31</v>
      </c>
      <c r="D1361" s="2">
        <v>1</v>
      </c>
      <c r="E1361" s="2">
        <v>1632.99</v>
      </c>
      <c r="F1361">
        <v>0.05</v>
      </c>
      <c r="G1361">
        <f t="shared" si="21"/>
        <v>1632.94</v>
      </c>
      <c r="H1361" t="str">
        <f>VLOOKUP(C1361,'products '!$A$1:$G$322,2,FALSE)</f>
        <v>Surly Wednesday - 2017</v>
      </c>
    </row>
    <row r="1362" spans="1:8" x14ac:dyDescent="0.3">
      <c r="A1362">
        <v>1361</v>
      </c>
      <c r="B1362">
        <v>1</v>
      </c>
      <c r="C1362">
        <v>307</v>
      </c>
      <c r="D1362" s="2">
        <v>2</v>
      </c>
      <c r="E1362" s="2">
        <v>749.99</v>
      </c>
      <c r="F1362">
        <v>7.0000000000000007E-2</v>
      </c>
      <c r="G1362">
        <f t="shared" si="21"/>
        <v>1499.91</v>
      </c>
      <c r="H1362" t="str">
        <f>VLOOKUP(C1362,'products '!$A$1:$G$322,2,FALSE)</f>
        <v>Electra Townie Balloon 8D EQ - 2016/2017/2018</v>
      </c>
    </row>
    <row r="1363" spans="1:8" x14ac:dyDescent="0.3">
      <c r="A1363">
        <v>1362</v>
      </c>
      <c r="B1363">
        <v>1</v>
      </c>
      <c r="C1363">
        <v>27</v>
      </c>
      <c r="D1363" s="2">
        <v>2</v>
      </c>
      <c r="E1363" s="2">
        <v>999.99</v>
      </c>
      <c r="F1363">
        <v>0.2</v>
      </c>
      <c r="G1363">
        <f t="shared" si="21"/>
        <v>1999.78</v>
      </c>
      <c r="H1363" t="str">
        <f>VLOOKUP(C1363,'products '!$A$1:$G$322,2,FALSE)</f>
        <v>Surly Big Dummy Frameset - 2017</v>
      </c>
    </row>
    <row r="1364" spans="1:8" x14ac:dyDescent="0.3">
      <c r="A1364">
        <v>1363</v>
      </c>
      <c r="B1364">
        <v>1</v>
      </c>
      <c r="C1364">
        <v>66</v>
      </c>
      <c r="D1364" s="2">
        <v>2</v>
      </c>
      <c r="E1364" s="2">
        <v>250.99</v>
      </c>
      <c r="F1364">
        <v>0.1</v>
      </c>
      <c r="G1364">
        <f t="shared" si="21"/>
        <v>501.88</v>
      </c>
      <c r="H1364" t="str">
        <f>VLOOKUP(C1364,'products '!$A$1:$G$322,2,FALSE)</f>
        <v>Sun Bicycles Revolutions 24 - 2017</v>
      </c>
    </row>
    <row r="1365" spans="1:8" x14ac:dyDescent="0.3">
      <c r="A1365">
        <v>1364</v>
      </c>
      <c r="B1365">
        <v>1</v>
      </c>
      <c r="C1365">
        <v>78</v>
      </c>
      <c r="D1365" s="2">
        <v>1</v>
      </c>
      <c r="E1365" s="2">
        <v>647.99</v>
      </c>
      <c r="F1365">
        <v>7.0000000000000007E-2</v>
      </c>
      <c r="G1365">
        <f t="shared" si="21"/>
        <v>647.91999999999996</v>
      </c>
      <c r="H1365" t="str">
        <f>VLOOKUP(C1365,'products '!$A$1:$G$322,2,FALSE)</f>
        <v>Sun Bicycles Biscayne Tandem CB - 2017</v>
      </c>
    </row>
    <row r="1366" spans="1:8" x14ac:dyDescent="0.3">
      <c r="A1366">
        <v>1365</v>
      </c>
      <c r="B1366">
        <v>1</v>
      </c>
      <c r="C1366">
        <v>144</v>
      </c>
      <c r="D1366" s="2">
        <v>1</v>
      </c>
      <c r="E1366" s="2">
        <v>1549.99</v>
      </c>
      <c r="F1366">
        <v>7.0000000000000007E-2</v>
      </c>
      <c r="G1366">
        <f t="shared" si="21"/>
        <v>1549.92</v>
      </c>
      <c r="H1366" t="str">
        <f>VLOOKUP(C1366,'products '!$A$1:$G$322,2,FALSE)</f>
        <v>Trek Domane ALR 4 Disc - 2018</v>
      </c>
    </row>
    <row r="1367" spans="1:8" x14ac:dyDescent="0.3">
      <c r="A1367">
        <v>1366</v>
      </c>
      <c r="B1367">
        <v>1</v>
      </c>
      <c r="C1367">
        <v>115</v>
      </c>
      <c r="D1367" s="2">
        <v>1</v>
      </c>
      <c r="E1367" s="2">
        <v>3199.99</v>
      </c>
      <c r="F1367">
        <v>0.1</v>
      </c>
      <c r="G1367">
        <f t="shared" si="21"/>
        <v>3199.89</v>
      </c>
      <c r="H1367" t="str">
        <f>VLOOKUP(C1367,'products '!$A$1:$G$322,2,FALSE)</f>
        <v>Trek Fuel EX 8 29 - 2018</v>
      </c>
    </row>
    <row r="1368" spans="1:8" x14ac:dyDescent="0.3">
      <c r="A1368">
        <v>1367</v>
      </c>
      <c r="B1368">
        <v>1</v>
      </c>
      <c r="C1368">
        <v>132</v>
      </c>
      <c r="D1368" s="2">
        <v>1</v>
      </c>
      <c r="E1368" s="2">
        <v>1499.99</v>
      </c>
      <c r="F1368">
        <v>0.1</v>
      </c>
      <c r="G1368">
        <f t="shared" si="21"/>
        <v>1499.89</v>
      </c>
      <c r="H1368" t="str">
        <f>VLOOKUP(C1368,'products '!$A$1:$G$322,2,FALSE)</f>
        <v>Trek Procal AL Frameset - 2018</v>
      </c>
    </row>
    <row r="1369" spans="1:8" x14ac:dyDescent="0.3">
      <c r="A1369">
        <v>1368</v>
      </c>
      <c r="B1369">
        <v>1</v>
      </c>
      <c r="C1369">
        <v>66</v>
      </c>
      <c r="D1369" s="2">
        <v>1</v>
      </c>
      <c r="E1369" s="2">
        <v>250.99</v>
      </c>
      <c r="F1369">
        <v>0.1</v>
      </c>
      <c r="G1369">
        <f t="shared" si="21"/>
        <v>250.89000000000001</v>
      </c>
      <c r="H1369" t="str">
        <f>VLOOKUP(C1369,'products '!$A$1:$G$322,2,FALSE)</f>
        <v>Sun Bicycles Revolutions 24 - 2017</v>
      </c>
    </row>
    <row r="1370" spans="1:8" x14ac:dyDescent="0.3">
      <c r="A1370">
        <v>1369</v>
      </c>
      <c r="B1370">
        <v>1</v>
      </c>
      <c r="C1370">
        <v>213</v>
      </c>
      <c r="D1370" s="2">
        <v>2</v>
      </c>
      <c r="E1370" s="2">
        <v>269.99</v>
      </c>
      <c r="F1370">
        <v>0.05</v>
      </c>
      <c r="G1370">
        <f t="shared" si="21"/>
        <v>539.93000000000006</v>
      </c>
      <c r="H1370" t="str">
        <f>VLOOKUP(C1370,'products '!$A$1:$G$322,2,FALSE)</f>
        <v>Electra Cruiser 1 - 2016/2017/2018</v>
      </c>
    </row>
    <row r="1371" spans="1:8" x14ac:dyDescent="0.3">
      <c r="A1371">
        <v>1370</v>
      </c>
      <c r="B1371">
        <v>1</v>
      </c>
      <c r="C1371">
        <v>7</v>
      </c>
      <c r="D1371" s="2">
        <v>1</v>
      </c>
      <c r="E1371" s="2">
        <v>3999.99</v>
      </c>
      <c r="F1371">
        <v>7.0000000000000007E-2</v>
      </c>
      <c r="G1371">
        <f t="shared" si="21"/>
        <v>3999.9199999999996</v>
      </c>
      <c r="H1371" t="str">
        <f>VLOOKUP(C1371,'products '!$A$1:$G$322,2,FALSE)</f>
        <v>Trek Slash 8 27.5 - 2016</v>
      </c>
    </row>
    <row r="1372" spans="1:8" x14ac:dyDescent="0.3">
      <c r="A1372">
        <v>1371</v>
      </c>
      <c r="B1372">
        <v>1</v>
      </c>
      <c r="C1372">
        <v>223</v>
      </c>
      <c r="D1372" s="2">
        <v>2</v>
      </c>
      <c r="E1372" s="2">
        <v>529.99</v>
      </c>
      <c r="F1372">
        <v>7.0000000000000007E-2</v>
      </c>
      <c r="G1372">
        <f t="shared" si="21"/>
        <v>1059.9100000000001</v>
      </c>
      <c r="H1372" t="str">
        <f>VLOOKUP(C1372,'products '!$A$1:$G$322,2,FALSE)</f>
        <v>Electra Cruiser Lux 3i - 2018</v>
      </c>
    </row>
    <row r="1373" spans="1:8" x14ac:dyDescent="0.3">
      <c r="A1373">
        <v>1372</v>
      </c>
      <c r="B1373">
        <v>1</v>
      </c>
      <c r="C1373">
        <v>307</v>
      </c>
      <c r="D1373" s="2">
        <v>1</v>
      </c>
      <c r="E1373" s="2">
        <v>749.99</v>
      </c>
      <c r="F1373">
        <v>7.0000000000000007E-2</v>
      </c>
      <c r="G1373">
        <f t="shared" si="21"/>
        <v>749.92</v>
      </c>
      <c r="H1373" t="str">
        <f>VLOOKUP(C1373,'products '!$A$1:$G$322,2,FALSE)</f>
        <v>Electra Townie Balloon 8D EQ - 2016/2017/2018</v>
      </c>
    </row>
    <row r="1374" spans="1:8" x14ac:dyDescent="0.3">
      <c r="A1374">
        <v>1373</v>
      </c>
      <c r="B1374">
        <v>1</v>
      </c>
      <c r="C1374">
        <v>63</v>
      </c>
      <c r="D1374" s="2">
        <v>1</v>
      </c>
      <c r="E1374" s="2">
        <v>3499.99</v>
      </c>
      <c r="F1374">
        <v>0.1</v>
      </c>
      <c r="G1374">
        <f t="shared" si="21"/>
        <v>3499.89</v>
      </c>
      <c r="H1374" t="str">
        <f>VLOOKUP(C1374,'products '!$A$1:$G$322,2,FALSE)</f>
        <v>Trek Boone Race Shop Limited - 2017</v>
      </c>
    </row>
    <row r="1375" spans="1:8" x14ac:dyDescent="0.3">
      <c r="A1375">
        <v>1374</v>
      </c>
      <c r="B1375">
        <v>1</v>
      </c>
      <c r="C1375">
        <v>181</v>
      </c>
      <c r="D1375" s="2">
        <v>2</v>
      </c>
      <c r="E1375" s="2">
        <v>2199.9899999999998</v>
      </c>
      <c r="F1375">
        <v>0.05</v>
      </c>
      <c r="G1375">
        <f t="shared" si="21"/>
        <v>4399.9299999999994</v>
      </c>
      <c r="H1375" t="str">
        <f>VLOOKUP(C1375,'products '!$A$1:$G$322,2,FALSE)</f>
        <v>Trek Domane SL 5 - 2018</v>
      </c>
    </row>
    <row r="1376" spans="1:8" x14ac:dyDescent="0.3">
      <c r="A1376">
        <v>1375</v>
      </c>
      <c r="B1376">
        <v>1</v>
      </c>
      <c r="C1376">
        <v>147</v>
      </c>
      <c r="D1376" s="2">
        <v>2</v>
      </c>
      <c r="E1376" s="2">
        <v>1799.99</v>
      </c>
      <c r="F1376">
        <v>0.05</v>
      </c>
      <c r="G1376">
        <f t="shared" si="21"/>
        <v>3599.93</v>
      </c>
      <c r="H1376" t="str">
        <f>VLOOKUP(C1376,'products '!$A$1:$G$322,2,FALSE)</f>
        <v>Trek Domane ALR 5 Gravel - 2018</v>
      </c>
    </row>
    <row r="1377" spans="1:8" x14ac:dyDescent="0.3">
      <c r="A1377">
        <v>1376</v>
      </c>
      <c r="B1377">
        <v>1</v>
      </c>
      <c r="C1377">
        <v>5</v>
      </c>
      <c r="D1377" s="2">
        <v>1</v>
      </c>
      <c r="E1377" s="2">
        <v>1320.99</v>
      </c>
      <c r="F1377">
        <v>7.0000000000000007E-2</v>
      </c>
      <c r="G1377">
        <f t="shared" si="21"/>
        <v>1320.92</v>
      </c>
      <c r="H1377" t="str">
        <f>VLOOKUP(C1377,'products '!$A$1:$G$322,2,FALSE)</f>
        <v>Heller Shagamaw Frame - 2016</v>
      </c>
    </row>
    <row r="1378" spans="1:8" x14ac:dyDescent="0.3">
      <c r="A1378">
        <v>1377</v>
      </c>
      <c r="B1378">
        <v>1</v>
      </c>
      <c r="C1378">
        <v>153</v>
      </c>
      <c r="D1378" s="2">
        <v>2</v>
      </c>
      <c r="E1378" s="2">
        <v>4999.99</v>
      </c>
      <c r="F1378">
        <v>0.05</v>
      </c>
      <c r="G1378">
        <f t="shared" si="21"/>
        <v>9999.93</v>
      </c>
      <c r="H1378" t="str">
        <f>VLOOKUP(C1378,'products '!$A$1:$G$322,2,FALSE)</f>
        <v>Trek Domane SL 7 Women's - 2018</v>
      </c>
    </row>
    <row r="1379" spans="1:8" x14ac:dyDescent="0.3">
      <c r="A1379">
        <v>1378</v>
      </c>
      <c r="B1379">
        <v>1</v>
      </c>
      <c r="C1379">
        <v>96</v>
      </c>
      <c r="D1379" s="2">
        <v>2</v>
      </c>
      <c r="E1379" s="2">
        <v>349.99</v>
      </c>
      <c r="F1379">
        <v>7.0000000000000007E-2</v>
      </c>
      <c r="G1379">
        <f t="shared" si="21"/>
        <v>699.91</v>
      </c>
      <c r="H1379" t="str">
        <f>VLOOKUP(C1379,'products '!$A$1:$G$322,2,FALSE)</f>
        <v>Electra Moto 3i (20-inch) - Boy's - 2017</v>
      </c>
    </row>
    <row r="1380" spans="1:8" x14ac:dyDescent="0.3">
      <c r="A1380">
        <v>1379</v>
      </c>
      <c r="B1380">
        <v>1</v>
      </c>
      <c r="C1380">
        <v>15</v>
      </c>
      <c r="D1380" s="2">
        <v>1</v>
      </c>
      <c r="E1380" s="2">
        <v>529.99</v>
      </c>
      <c r="F1380">
        <v>0.1</v>
      </c>
      <c r="G1380">
        <f t="shared" si="21"/>
        <v>529.89</v>
      </c>
      <c r="H1380" t="str">
        <f>VLOOKUP(C1380,'products '!$A$1:$G$322,2,FALSE)</f>
        <v>Electra Moto 1 - 2016</v>
      </c>
    </row>
    <row r="1381" spans="1:8" x14ac:dyDescent="0.3">
      <c r="A1381">
        <v>1380</v>
      </c>
      <c r="B1381">
        <v>1</v>
      </c>
      <c r="C1381">
        <v>255</v>
      </c>
      <c r="D1381" s="2">
        <v>2</v>
      </c>
      <c r="E1381" s="2">
        <v>899.99</v>
      </c>
      <c r="F1381">
        <v>0.1</v>
      </c>
      <c r="G1381">
        <f t="shared" si="21"/>
        <v>1799.88</v>
      </c>
      <c r="H1381" t="str">
        <f>VLOOKUP(C1381,'products '!$A$1:$G$322,2,FALSE)</f>
        <v>Electra Townie Balloon 7i EQ Ladies' - 2017/2018</v>
      </c>
    </row>
    <row r="1382" spans="1:8" x14ac:dyDescent="0.3">
      <c r="A1382">
        <v>1381</v>
      </c>
      <c r="B1382">
        <v>1</v>
      </c>
      <c r="C1382">
        <v>274</v>
      </c>
      <c r="D1382" s="2">
        <v>2</v>
      </c>
      <c r="E1382" s="2">
        <v>229.99</v>
      </c>
      <c r="F1382">
        <v>0.2</v>
      </c>
      <c r="G1382">
        <f t="shared" si="21"/>
        <v>459.78000000000003</v>
      </c>
      <c r="H1382" t="str">
        <f>VLOOKUP(C1382,'products '!$A$1:$G$322,2,FALSE)</f>
        <v>Trek Precaliber 20 Boy's - 2018</v>
      </c>
    </row>
    <row r="1383" spans="1:8" x14ac:dyDescent="0.3">
      <c r="A1383">
        <v>1382</v>
      </c>
      <c r="B1383">
        <v>1</v>
      </c>
      <c r="C1383">
        <v>232</v>
      </c>
      <c r="D1383" s="2">
        <v>1</v>
      </c>
      <c r="E1383" s="2">
        <v>479.99</v>
      </c>
      <c r="F1383">
        <v>0.2</v>
      </c>
      <c r="G1383">
        <f t="shared" si="21"/>
        <v>479.79</v>
      </c>
      <c r="H1383" t="str">
        <f>VLOOKUP(C1383,'products '!$A$1:$G$322,2,FALSE)</f>
        <v>Electra Cruiser Lux 7D Ladies' - 2018</v>
      </c>
    </row>
    <row r="1384" spans="1:8" x14ac:dyDescent="0.3">
      <c r="A1384">
        <v>1383</v>
      </c>
      <c r="B1384">
        <v>1</v>
      </c>
      <c r="C1384">
        <v>188</v>
      </c>
      <c r="D1384" s="2">
        <v>2</v>
      </c>
      <c r="E1384" s="2">
        <v>3499.99</v>
      </c>
      <c r="F1384">
        <v>0.2</v>
      </c>
      <c r="G1384">
        <f t="shared" si="21"/>
        <v>6999.78</v>
      </c>
      <c r="H1384" t="str">
        <f>VLOOKUP(C1384,'products '!$A$1:$G$322,2,FALSE)</f>
        <v>Trek XM700+ Lowstep - 2018</v>
      </c>
    </row>
    <row r="1385" spans="1:8" x14ac:dyDescent="0.3">
      <c r="A1385">
        <v>1384</v>
      </c>
      <c r="B1385">
        <v>1</v>
      </c>
      <c r="C1385">
        <v>32</v>
      </c>
      <c r="D1385" s="2">
        <v>1</v>
      </c>
      <c r="E1385" s="2">
        <v>469.99</v>
      </c>
      <c r="F1385">
        <v>7.0000000000000007E-2</v>
      </c>
      <c r="G1385">
        <f t="shared" si="21"/>
        <v>469.92</v>
      </c>
      <c r="H1385" t="str">
        <f>VLOOKUP(C1385,'products '!$A$1:$G$322,2,FALSE)</f>
        <v>Trek Farley Alloy Frameset - 2017</v>
      </c>
    </row>
    <row r="1386" spans="1:8" x14ac:dyDescent="0.3">
      <c r="A1386">
        <v>1385</v>
      </c>
      <c r="B1386">
        <v>1</v>
      </c>
      <c r="C1386">
        <v>24</v>
      </c>
      <c r="D1386" s="2">
        <v>2</v>
      </c>
      <c r="E1386" s="2">
        <v>549.99</v>
      </c>
      <c r="F1386">
        <v>0.05</v>
      </c>
      <c r="G1386">
        <f t="shared" si="21"/>
        <v>1099.93</v>
      </c>
      <c r="H1386" t="str">
        <f>VLOOKUP(C1386,'products '!$A$1:$G$322,2,FALSE)</f>
        <v>Electra Townie Original 21D - 2016</v>
      </c>
    </row>
    <row r="1387" spans="1:8" x14ac:dyDescent="0.3">
      <c r="A1387">
        <v>1386</v>
      </c>
      <c r="B1387">
        <v>1</v>
      </c>
      <c r="C1387">
        <v>292</v>
      </c>
      <c r="D1387" s="2">
        <v>1</v>
      </c>
      <c r="E1387" s="2">
        <v>369.99</v>
      </c>
      <c r="F1387">
        <v>0.2</v>
      </c>
      <c r="G1387">
        <f t="shared" si="21"/>
        <v>369.79</v>
      </c>
      <c r="H1387" t="str">
        <f>VLOOKUP(C1387,'products '!$A$1:$G$322,2,FALSE)</f>
        <v>Electra Sweet Ride 3i (20-inch) - Girls' - 2018</v>
      </c>
    </row>
    <row r="1388" spans="1:8" x14ac:dyDescent="0.3">
      <c r="A1388">
        <v>1387</v>
      </c>
      <c r="B1388">
        <v>1</v>
      </c>
      <c r="C1388">
        <v>106</v>
      </c>
      <c r="D1388" s="2">
        <v>1</v>
      </c>
      <c r="E1388" s="2">
        <v>449.99</v>
      </c>
      <c r="F1388">
        <v>0.1</v>
      </c>
      <c r="G1388">
        <f t="shared" si="21"/>
        <v>449.89</v>
      </c>
      <c r="H1388" t="str">
        <f>VLOOKUP(C1388,'products '!$A$1:$G$322,2,FALSE)</f>
        <v>Sun Bicycles Cruz 3 - 2017</v>
      </c>
    </row>
    <row r="1389" spans="1:8" x14ac:dyDescent="0.3">
      <c r="A1389">
        <v>1388</v>
      </c>
      <c r="B1389">
        <v>1</v>
      </c>
      <c r="C1389">
        <v>251</v>
      </c>
      <c r="D1389" s="2">
        <v>1</v>
      </c>
      <c r="E1389" s="2">
        <v>2999.99</v>
      </c>
      <c r="F1389">
        <v>0.1</v>
      </c>
      <c r="G1389">
        <f t="shared" si="21"/>
        <v>2999.89</v>
      </c>
      <c r="H1389" t="str">
        <f>VLOOKUP(C1389,'products '!$A$1:$G$322,2,FALSE)</f>
        <v>Electra Townie Commute Go! - 2018</v>
      </c>
    </row>
    <row r="1390" spans="1:8" x14ac:dyDescent="0.3">
      <c r="A1390">
        <v>1389</v>
      </c>
      <c r="B1390">
        <v>1</v>
      </c>
      <c r="C1390">
        <v>85</v>
      </c>
      <c r="D1390" s="2">
        <v>2</v>
      </c>
      <c r="E1390" s="2">
        <v>329.99</v>
      </c>
      <c r="F1390">
        <v>0.1</v>
      </c>
      <c r="G1390">
        <f t="shared" si="21"/>
        <v>659.88</v>
      </c>
      <c r="H1390" t="str">
        <f>VLOOKUP(C1390,'products '!$A$1:$G$322,2,FALSE)</f>
        <v>Haro Downtown 16 - 2017</v>
      </c>
    </row>
    <row r="1391" spans="1:8" x14ac:dyDescent="0.3">
      <c r="A1391">
        <v>1390</v>
      </c>
      <c r="B1391">
        <v>1</v>
      </c>
      <c r="C1391">
        <v>41</v>
      </c>
      <c r="D1391" s="2">
        <v>2</v>
      </c>
      <c r="E1391" s="2">
        <v>1469.99</v>
      </c>
      <c r="F1391">
        <v>0.05</v>
      </c>
      <c r="G1391">
        <f t="shared" si="21"/>
        <v>2939.93</v>
      </c>
      <c r="H1391" t="str">
        <f>VLOOKUP(C1391,'products '!$A$1:$G$322,2,FALSE)</f>
        <v>Haro Shift R3 - 2017</v>
      </c>
    </row>
    <row r="1392" spans="1:8" x14ac:dyDescent="0.3">
      <c r="A1392">
        <v>1391</v>
      </c>
      <c r="B1392">
        <v>1</v>
      </c>
      <c r="C1392">
        <v>223</v>
      </c>
      <c r="D1392" s="2">
        <v>2</v>
      </c>
      <c r="E1392" s="2">
        <v>529.99</v>
      </c>
      <c r="F1392">
        <v>7.0000000000000007E-2</v>
      </c>
      <c r="G1392">
        <f t="shared" si="21"/>
        <v>1059.9100000000001</v>
      </c>
      <c r="H1392" t="str">
        <f>VLOOKUP(C1392,'products '!$A$1:$G$322,2,FALSE)</f>
        <v>Electra Cruiser Lux 3i - 2018</v>
      </c>
    </row>
    <row r="1393" spans="1:8" x14ac:dyDescent="0.3">
      <c r="A1393">
        <v>1392</v>
      </c>
      <c r="B1393">
        <v>1</v>
      </c>
      <c r="C1393">
        <v>87</v>
      </c>
      <c r="D1393" s="2">
        <v>2</v>
      </c>
      <c r="E1393" s="2">
        <v>189.99</v>
      </c>
      <c r="F1393">
        <v>0.2</v>
      </c>
      <c r="G1393">
        <f t="shared" si="21"/>
        <v>379.78000000000003</v>
      </c>
      <c r="H1393" t="str">
        <f>VLOOKUP(C1393,'products '!$A$1:$G$322,2,FALSE)</f>
        <v>Trek Precaliber 12 Boys - 2017</v>
      </c>
    </row>
    <row r="1394" spans="1:8" x14ac:dyDescent="0.3">
      <c r="A1394">
        <v>1393</v>
      </c>
      <c r="B1394">
        <v>1</v>
      </c>
      <c r="C1394">
        <v>92</v>
      </c>
      <c r="D1394" s="2">
        <v>1</v>
      </c>
      <c r="E1394" s="2">
        <v>209.99</v>
      </c>
      <c r="F1394">
        <v>7.0000000000000007E-2</v>
      </c>
      <c r="G1394">
        <f t="shared" si="21"/>
        <v>209.92000000000002</v>
      </c>
      <c r="H1394" t="str">
        <f>VLOOKUP(C1394,'products '!$A$1:$G$322,2,FALSE)</f>
        <v>Haro Shredder 20 - 2017</v>
      </c>
    </row>
    <row r="1395" spans="1:8" x14ac:dyDescent="0.3">
      <c r="A1395">
        <v>1394</v>
      </c>
      <c r="B1395">
        <v>1</v>
      </c>
      <c r="C1395">
        <v>165</v>
      </c>
      <c r="D1395" s="2">
        <v>2</v>
      </c>
      <c r="E1395" s="2">
        <v>2499.9899999999998</v>
      </c>
      <c r="F1395">
        <v>0.05</v>
      </c>
      <c r="G1395">
        <f t="shared" si="21"/>
        <v>4999.9299999999994</v>
      </c>
      <c r="H1395" t="str">
        <f>VLOOKUP(C1395,'products '!$A$1:$G$322,2,FALSE)</f>
        <v>Trek 1120 - 2018</v>
      </c>
    </row>
    <row r="1396" spans="1:8" x14ac:dyDescent="0.3">
      <c r="A1396">
        <v>1395</v>
      </c>
      <c r="B1396">
        <v>1</v>
      </c>
      <c r="C1396">
        <v>204</v>
      </c>
      <c r="D1396" s="2">
        <v>1</v>
      </c>
      <c r="E1396" s="2">
        <v>3599.99</v>
      </c>
      <c r="F1396">
        <v>0.2</v>
      </c>
      <c r="G1396">
        <f t="shared" si="21"/>
        <v>3599.79</v>
      </c>
      <c r="H1396" t="str">
        <f>VLOOKUP(C1396,'products '!$A$1:$G$322,2,FALSE)</f>
        <v>Trek Super Commuter+ 7 - 2018</v>
      </c>
    </row>
    <row r="1397" spans="1:8" x14ac:dyDescent="0.3">
      <c r="A1397">
        <v>1396</v>
      </c>
      <c r="B1397">
        <v>1</v>
      </c>
      <c r="C1397">
        <v>57</v>
      </c>
      <c r="D1397" s="2">
        <v>1</v>
      </c>
      <c r="E1397" s="2">
        <v>1999.99</v>
      </c>
      <c r="F1397">
        <v>0.05</v>
      </c>
      <c r="G1397">
        <f t="shared" si="21"/>
        <v>1999.94</v>
      </c>
      <c r="H1397" t="str">
        <f>VLOOKUP(C1397,'products '!$A$1:$G$322,2,FALSE)</f>
        <v>Trek Emonda S 5 - 2017</v>
      </c>
    </row>
    <row r="1398" spans="1:8" x14ac:dyDescent="0.3">
      <c r="A1398">
        <v>1397</v>
      </c>
      <c r="B1398">
        <v>1</v>
      </c>
      <c r="C1398">
        <v>127</v>
      </c>
      <c r="D1398" s="2">
        <v>2</v>
      </c>
      <c r="E1398" s="2">
        <v>469.99</v>
      </c>
      <c r="F1398">
        <v>0.1</v>
      </c>
      <c r="G1398">
        <f t="shared" si="21"/>
        <v>939.88</v>
      </c>
      <c r="H1398" t="str">
        <f>VLOOKUP(C1398,'products '!$A$1:$G$322,2,FALSE)</f>
        <v>Surly Pack Rat Frameset - 2018</v>
      </c>
    </row>
    <row r="1399" spans="1:8" x14ac:dyDescent="0.3">
      <c r="A1399">
        <v>1398</v>
      </c>
      <c r="B1399">
        <v>1</v>
      </c>
      <c r="C1399">
        <v>69</v>
      </c>
      <c r="D1399" s="2">
        <v>2</v>
      </c>
      <c r="E1399" s="2">
        <v>416.99</v>
      </c>
      <c r="F1399">
        <v>0.05</v>
      </c>
      <c r="G1399">
        <f t="shared" si="21"/>
        <v>833.93000000000006</v>
      </c>
      <c r="H1399" t="str">
        <f>VLOOKUP(C1399,'products '!$A$1:$G$322,2,FALSE)</f>
        <v>Sun Bicycles Cruz 7 - 2017</v>
      </c>
    </row>
    <row r="1400" spans="1:8" x14ac:dyDescent="0.3">
      <c r="A1400">
        <v>1399</v>
      </c>
      <c r="B1400">
        <v>1</v>
      </c>
      <c r="C1400">
        <v>210</v>
      </c>
      <c r="D1400" s="2">
        <v>2</v>
      </c>
      <c r="E1400" s="2">
        <v>1549</v>
      </c>
      <c r="F1400">
        <v>0.2</v>
      </c>
      <c r="G1400">
        <f t="shared" si="21"/>
        <v>3097.8</v>
      </c>
      <c r="H1400" t="str">
        <f>VLOOKUP(C1400,'products '!$A$1:$G$322,2,FALSE)</f>
        <v>Surly Straggler - 2018</v>
      </c>
    </row>
    <row r="1401" spans="1:8" x14ac:dyDescent="0.3">
      <c r="A1401">
        <v>1400</v>
      </c>
      <c r="B1401">
        <v>1</v>
      </c>
      <c r="C1401">
        <v>24</v>
      </c>
      <c r="D1401" s="2">
        <v>2</v>
      </c>
      <c r="E1401" s="2">
        <v>549.99</v>
      </c>
      <c r="F1401">
        <v>0.2</v>
      </c>
      <c r="G1401">
        <f t="shared" si="21"/>
        <v>1099.78</v>
      </c>
      <c r="H1401" t="str">
        <f>VLOOKUP(C1401,'products '!$A$1:$G$322,2,FALSE)</f>
        <v>Electra Townie Original 21D - 2016</v>
      </c>
    </row>
    <row r="1402" spans="1:8" x14ac:dyDescent="0.3">
      <c r="A1402">
        <v>1401</v>
      </c>
      <c r="B1402">
        <v>1</v>
      </c>
      <c r="C1402">
        <v>112</v>
      </c>
      <c r="D1402" s="2">
        <v>1</v>
      </c>
      <c r="E1402" s="2">
        <v>379.99</v>
      </c>
      <c r="F1402">
        <v>7.0000000000000007E-2</v>
      </c>
      <c r="G1402">
        <f t="shared" si="21"/>
        <v>379.92</v>
      </c>
      <c r="H1402" t="str">
        <f>VLOOKUP(C1402,'products '!$A$1:$G$322,2,FALSE)</f>
        <v>Trek 820 - 2018</v>
      </c>
    </row>
    <row r="1403" spans="1:8" x14ac:dyDescent="0.3">
      <c r="A1403">
        <v>1402</v>
      </c>
      <c r="B1403">
        <v>1</v>
      </c>
      <c r="C1403">
        <v>189</v>
      </c>
      <c r="D1403" s="2">
        <v>2</v>
      </c>
      <c r="E1403" s="2">
        <v>2799.99</v>
      </c>
      <c r="F1403">
        <v>0.2</v>
      </c>
      <c r="G1403">
        <f t="shared" si="21"/>
        <v>5599.78</v>
      </c>
      <c r="H1403" t="str">
        <f>VLOOKUP(C1403,'products '!$A$1:$G$322,2,FALSE)</f>
        <v>Trek Lift+ Lowstep - 2018</v>
      </c>
    </row>
    <row r="1404" spans="1:8" x14ac:dyDescent="0.3">
      <c r="A1404">
        <v>1403</v>
      </c>
      <c r="B1404">
        <v>1</v>
      </c>
      <c r="C1404">
        <v>93</v>
      </c>
      <c r="D1404" s="2">
        <v>2</v>
      </c>
      <c r="E1404" s="2">
        <v>209.99</v>
      </c>
      <c r="F1404">
        <v>0.1</v>
      </c>
      <c r="G1404">
        <f t="shared" si="21"/>
        <v>419.88</v>
      </c>
      <c r="H1404" t="str">
        <f>VLOOKUP(C1404,'products '!$A$1:$G$322,2,FALSE)</f>
        <v>Haro Shredder 20 Girls - 2017</v>
      </c>
    </row>
    <row r="1405" spans="1:8" x14ac:dyDescent="0.3">
      <c r="A1405">
        <v>1404</v>
      </c>
      <c r="B1405">
        <v>1</v>
      </c>
      <c r="C1405">
        <v>112</v>
      </c>
      <c r="D1405" s="2">
        <v>2</v>
      </c>
      <c r="E1405" s="2">
        <v>379.99</v>
      </c>
      <c r="F1405">
        <v>0.05</v>
      </c>
      <c r="G1405">
        <f t="shared" si="21"/>
        <v>759.93000000000006</v>
      </c>
      <c r="H1405" t="str">
        <f>VLOOKUP(C1405,'products '!$A$1:$G$322,2,FALSE)</f>
        <v>Trek 820 - 2018</v>
      </c>
    </row>
    <row r="1406" spans="1:8" x14ac:dyDescent="0.3">
      <c r="A1406">
        <v>1405</v>
      </c>
      <c r="B1406">
        <v>1</v>
      </c>
      <c r="C1406">
        <v>162</v>
      </c>
      <c r="D1406" s="2">
        <v>2</v>
      </c>
      <c r="E1406" s="2">
        <v>2999.99</v>
      </c>
      <c r="F1406">
        <v>0.1</v>
      </c>
      <c r="G1406">
        <f t="shared" si="21"/>
        <v>5999.8799999999992</v>
      </c>
      <c r="H1406" t="str">
        <f>VLOOKUP(C1406,'products '!$A$1:$G$322,2,FALSE)</f>
        <v>Trek Emonda SL 6 Disc - 2018</v>
      </c>
    </row>
    <row r="1407" spans="1:8" x14ac:dyDescent="0.3">
      <c r="A1407">
        <v>1406</v>
      </c>
      <c r="B1407">
        <v>1</v>
      </c>
      <c r="C1407">
        <v>230</v>
      </c>
      <c r="D1407" s="2">
        <v>2</v>
      </c>
      <c r="E1407" s="2">
        <v>429.99</v>
      </c>
      <c r="F1407">
        <v>0.05</v>
      </c>
      <c r="G1407">
        <f t="shared" si="21"/>
        <v>859.93000000000006</v>
      </c>
      <c r="H1407" t="str">
        <f>VLOOKUP(C1407,'products '!$A$1:$G$322,2,FALSE)</f>
        <v>Electra Cruiser Lux 1 Ladies' - 2018</v>
      </c>
    </row>
    <row r="1408" spans="1:8" x14ac:dyDescent="0.3">
      <c r="A1408">
        <v>1407</v>
      </c>
      <c r="B1408">
        <v>1</v>
      </c>
      <c r="C1408">
        <v>300</v>
      </c>
      <c r="D1408" s="2">
        <v>1</v>
      </c>
      <c r="E1408" s="2">
        <v>799.99</v>
      </c>
      <c r="F1408">
        <v>0.05</v>
      </c>
      <c r="G1408">
        <f t="shared" si="21"/>
        <v>799.94</v>
      </c>
      <c r="H1408" t="str">
        <f>VLOOKUP(C1408,'products '!$A$1:$G$322,2,FALSE)</f>
        <v>Electra Townie Balloon 3i EQ Ladies' - 2018</v>
      </c>
    </row>
    <row r="1409" spans="1:8" x14ac:dyDescent="0.3">
      <c r="A1409">
        <v>1408</v>
      </c>
      <c r="B1409">
        <v>1</v>
      </c>
      <c r="C1409">
        <v>23</v>
      </c>
      <c r="D1409" s="2">
        <v>2</v>
      </c>
      <c r="E1409" s="2">
        <v>299.99</v>
      </c>
      <c r="F1409">
        <v>0.2</v>
      </c>
      <c r="G1409">
        <f t="shared" si="21"/>
        <v>599.78</v>
      </c>
      <c r="H1409" t="str">
        <f>VLOOKUP(C1409,'products '!$A$1:$G$322,2,FALSE)</f>
        <v>Electra Girl's Hawaii 1 (20-inch) - 2015/2016</v>
      </c>
    </row>
    <row r="1410" spans="1:8" x14ac:dyDescent="0.3">
      <c r="A1410">
        <v>1409</v>
      </c>
      <c r="B1410">
        <v>1</v>
      </c>
      <c r="C1410">
        <v>301</v>
      </c>
      <c r="D1410" s="2">
        <v>2</v>
      </c>
      <c r="E1410" s="2">
        <v>899.99</v>
      </c>
      <c r="F1410">
        <v>7.0000000000000007E-2</v>
      </c>
      <c r="G1410">
        <f t="shared" si="21"/>
        <v>1799.91</v>
      </c>
      <c r="H1410" t="str">
        <f>VLOOKUP(C1410,'products '!$A$1:$G$322,2,FALSE)</f>
        <v>Electra Townie Balloon 7i EQ - 2018</v>
      </c>
    </row>
    <row r="1411" spans="1:8" x14ac:dyDescent="0.3">
      <c r="A1411">
        <v>1410</v>
      </c>
      <c r="B1411">
        <v>1</v>
      </c>
      <c r="C1411">
        <v>205</v>
      </c>
      <c r="D1411" s="2">
        <v>2</v>
      </c>
      <c r="E1411" s="2">
        <v>4999.99</v>
      </c>
      <c r="F1411">
        <v>0.1</v>
      </c>
      <c r="G1411">
        <f t="shared" ref="G1411:G1474" si="22">E1411*D1411-F1411</f>
        <v>9999.8799999999992</v>
      </c>
      <c r="H1411" t="str">
        <f>VLOOKUP(C1411,'products '!$A$1:$G$322,2,FALSE)</f>
        <v>Trek Super Commuter+ 8S - 2018</v>
      </c>
    </row>
    <row r="1412" spans="1:8" x14ac:dyDescent="0.3">
      <c r="A1412">
        <v>1411</v>
      </c>
      <c r="B1412">
        <v>1</v>
      </c>
      <c r="C1412">
        <v>9</v>
      </c>
      <c r="D1412" s="2">
        <v>1</v>
      </c>
      <c r="E1412" s="2">
        <v>2999.99</v>
      </c>
      <c r="F1412">
        <v>0.1</v>
      </c>
      <c r="G1412">
        <f t="shared" si="22"/>
        <v>2999.89</v>
      </c>
      <c r="H1412" t="str">
        <f>VLOOKUP(C1412,'products '!$A$1:$G$322,2,FALSE)</f>
        <v>Trek Conduit+ - 2016</v>
      </c>
    </row>
    <row r="1413" spans="1:8" x14ac:dyDescent="0.3">
      <c r="A1413">
        <v>1412</v>
      </c>
      <c r="B1413">
        <v>1</v>
      </c>
      <c r="C1413">
        <v>180</v>
      </c>
      <c r="D1413" s="2">
        <v>2</v>
      </c>
      <c r="E1413" s="2">
        <v>919.99</v>
      </c>
      <c r="F1413">
        <v>7.0000000000000007E-2</v>
      </c>
      <c r="G1413">
        <f t="shared" si="22"/>
        <v>1839.91</v>
      </c>
      <c r="H1413" t="str">
        <f>VLOOKUP(C1413,'products '!$A$1:$G$322,2,FALSE)</f>
        <v>Trek Domane AL 3 Women's - 2018</v>
      </c>
    </row>
    <row r="1414" spans="1:8" x14ac:dyDescent="0.3">
      <c r="A1414">
        <v>1413</v>
      </c>
      <c r="B1414">
        <v>1</v>
      </c>
      <c r="C1414">
        <v>297</v>
      </c>
      <c r="D1414" s="2">
        <v>2</v>
      </c>
      <c r="E1414" s="2">
        <v>279.99</v>
      </c>
      <c r="F1414">
        <v>0.05</v>
      </c>
      <c r="G1414">
        <f t="shared" si="22"/>
        <v>559.93000000000006</v>
      </c>
      <c r="H1414" t="str">
        <f>VLOOKUP(C1414,'products '!$A$1:$G$322,2,FALSE)</f>
        <v>Electra Under-The-Sea 1 16" - 2018</v>
      </c>
    </row>
    <row r="1415" spans="1:8" x14ac:dyDescent="0.3">
      <c r="A1415">
        <v>1414</v>
      </c>
      <c r="B1415">
        <v>1</v>
      </c>
      <c r="C1415">
        <v>162</v>
      </c>
      <c r="D1415" s="2">
        <v>2</v>
      </c>
      <c r="E1415" s="2">
        <v>2999.99</v>
      </c>
      <c r="F1415">
        <v>0.1</v>
      </c>
      <c r="G1415">
        <f t="shared" si="22"/>
        <v>5999.8799999999992</v>
      </c>
      <c r="H1415" t="str">
        <f>VLOOKUP(C1415,'products '!$A$1:$G$322,2,FALSE)</f>
        <v>Trek Emonda SL 6 Disc - 2018</v>
      </c>
    </row>
    <row r="1416" spans="1:8" x14ac:dyDescent="0.3">
      <c r="A1416">
        <v>1415</v>
      </c>
      <c r="B1416">
        <v>1</v>
      </c>
      <c r="C1416">
        <v>31</v>
      </c>
      <c r="D1416" s="2">
        <v>2</v>
      </c>
      <c r="E1416" s="2">
        <v>1632.99</v>
      </c>
      <c r="F1416">
        <v>7.0000000000000007E-2</v>
      </c>
      <c r="G1416">
        <f t="shared" si="22"/>
        <v>3265.91</v>
      </c>
      <c r="H1416" t="str">
        <f>VLOOKUP(C1416,'products '!$A$1:$G$322,2,FALSE)</f>
        <v>Surly Wednesday - 2017</v>
      </c>
    </row>
    <row r="1417" spans="1:8" x14ac:dyDescent="0.3">
      <c r="A1417">
        <v>1416</v>
      </c>
      <c r="B1417">
        <v>1</v>
      </c>
      <c r="C1417">
        <v>194</v>
      </c>
      <c r="D1417" s="2">
        <v>1</v>
      </c>
      <c r="E1417" s="2">
        <v>3499.99</v>
      </c>
      <c r="F1417">
        <v>0.2</v>
      </c>
      <c r="G1417">
        <f t="shared" si="22"/>
        <v>3499.79</v>
      </c>
      <c r="H1417" t="str">
        <f>VLOOKUP(C1417,'products '!$A$1:$G$322,2,FALSE)</f>
        <v>Trek XM700+ - 2018</v>
      </c>
    </row>
    <row r="1418" spans="1:8" x14ac:dyDescent="0.3">
      <c r="A1418">
        <v>1417</v>
      </c>
      <c r="B1418">
        <v>1</v>
      </c>
      <c r="C1418">
        <v>219</v>
      </c>
      <c r="D1418" s="2">
        <v>2</v>
      </c>
      <c r="E1418" s="2">
        <v>639.99</v>
      </c>
      <c r="F1418">
        <v>0.2</v>
      </c>
      <c r="G1418">
        <f t="shared" si="22"/>
        <v>1279.78</v>
      </c>
      <c r="H1418" t="str">
        <f>VLOOKUP(C1418,'products '!$A$1:$G$322,2,FALSE)</f>
        <v>Electra Moto 3i - 2018</v>
      </c>
    </row>
    <row r="1419" spans="1:8" x14ac:dyDescent="0.3">
      <c r="A1419">
        <v>1418</v>
      </c>
      <c r="B1419">
        <v>1</v>
      </c>
      <c r="C1419">
        <v>120</v>
      </c>
      <c r="D1419" s="2">
        <v>2</v>
      </c>
      <c r="E1419" s="2">
        <v>2499.9899999999998</v>
      </c>
      <c r="F1419">
        <v>0.2</v>
      </c>
      <c r="G1419">
        <f t="shared" si="22"/>
        <v>4999.78</v>
      </c>
      <c r="H1419" t="str">
        <f>VLOOKUP(C1419,'products '!$A$1:$G$322,2,FALSE)</f>
        <v>Trek Fuel EX 7 29 - 2018</v>
      </c>
    </row>
    <row r="1420" spans="1:8" x14ac:dyDescent="0.3">
      <c r="A1420">
        <v>1419</v>
      </c>
      <c r="B1420">
        <v>1</v>
      </c>
      <c r="C1420">
        <v>124</v>
      </c>
      <c r="D1420" s="2">
        <v>1</v>
      </c>
      <c r="E1420" s="2">
        <v>1499</v>
      </c>
      <c r="F1420">
        <v>7.0000000000000007E-2</v>
      </c>
      <c r="G1420">
        <f t="shared" si="22"/>
        <v>1498.93</v>
      </c>
      <c r="H1420" t="str">
        <f>VLOOKUP(C1420,'products '!$A$1:$G$322,2,FALSE)</f>
        <v>Surly Krampus - 2018</v>
      </c>
    </row>
    <row r="1421" spans="1:8" x14ac:dyDescent="0.3">
      <c r="A1421">
        <v>1420</v>
      </c>
      <c r="B1421">
        <v>1</v>
      </c>
      <c r="C1421">
        <v>197</v>
      </c>
      <c r="D1421" s="2">
        <v>1</v>
      </c>
      <c r="E1421" s="2">
        <v>2299.9899999999998</v>
      </c>
      <c r="F1421">
        <v>0.2</v>
      </c>
      <c r="G1421">
        <f t="shared" si="22"/>
        <v>2299.79</v>
      </c>
      <c r="H1421" t="str">
        <f>VLOOKUP(C1421,'products '!$A$1:$G$322,2,FALSE)</f>
        <v>Trek Verve+ Lowstep - 2018</v>
      </c>
    </row>
    <row r="1422" spans="1:8" x14ac:dyDescent="0.3">
      <c r="A1422">
        <v>1421</v>
      </c>
      <c r="B1422">
        <v>1</v>
      </c>
      <c r="C1422">
        <v>298</v>
      </c>
      <c r="D1422" s="2">
        <v>2</v>
      </c>
      <c r="E1422" s="2">
        <v>279.99</v>
      </c>
      <c r="F1422">
        <v>0.05</v>
      </c>
      <c r="G1422">
        <f t="shared" si="22"/>
        <v>559.93000000000006</v>
      </c>
      <c r="H1422" t="str">
        <f>VLOOKUP(C1422,'products '!$A$1:$G$322,2,FALSE)</f>
        <v>Electra Water Lily 1 (16-inch) - Girl's - 2018</v>
      </c>
    </row>
    <row r="1423" spans="1:8" x14ac:dyDescent="0.3">
      <c r="A1423">
        <v>1422</v>
      </c>
      <c r="B1423">
        <v>1</v>
      </c>
      <c r="C1423">
        <v>80</v>
      </c>
      <c r="D1423" s="2">
        <v>2</v>
      </c>
      <c r="E1423" s="2">
        <v>761.99</v>
      </c>
      <c r="F1423">
        <v>7.0000000000000007E-2</v>
      </c>
      <c r="G1423">
        <f t="shared" si="22"/>
        <v>1523.91</v>
      </c>
      <c r="H1423" t="str">
        <f>VLOOKUP(C1423,'products '!$A$1:$G$322,2,FALSE)</f>
        <v>Sun Bicycles Brickell Tandem CB - 2017</v>
      </c>
    </row>
    <row r="1424" spans="1:8" x14ac:dyDescent="0.3">
      <c r="A1424">
        <v>1423</v>
      </c>
      <c r="B1424">
        <v>1</v>
      </c>
      <c r="C1424">
        <v>249</v>
      </c>
      <c r="D1424" s="2">
        <v>1</v>
      </c>
      <c r="E1424" s="2">
        <v>749.99</v>
      </c>
      <c r="F1424">
        <v>0.2</v>
      </c>
      <c r="G1424">
        <f t="shared" si="22"/>
        <v>749.79</v>
      </c>
      <c r="H1424" t="str">
        <f>VLOOKUP(C1424,'products '!$A$1:$G$322,2,FALSE)</f>
        <v>Electra White Water 3i - 2018</v>
      </c>
    </row>
    <row r="1425" spans="1:8" x14ac:dyDescent="0.3">
      <c r="A1425">
        <v>1424</v>
      </c>
      <c r="B1425">
        <v>1</v>
      </c>
      <c r="C1425">
        <v>140</v>
      </c>
      <c r="D1425" s="2">
        <v>2</v>
      </c>
      <c r="E1425" s="2">
        <v>4999.99</v>
      </c>
      <c r="F1425">
        <v>0.2</v>
      </c>
      <c r="G1425">
        <f t="shared" si="22"/>
        <v>9999.7799999999988</v>
      </c>
      <c r="H1425" t="str">
        <f>VLOOKUP(C1425,'products '!$A$1:$G$322,2,FALSE)</f>
        <v>Trek Remedy 9.8 27.5 - 2018</v>
      </c>
    </row>
    <row r="1426" spans="1:8" x14ac:dyDescent="0.3">
      <c r="A1426">
        <v>1425</v>
      </c>
      <c r="B1426">
        <v>1</v>
      </c>
      <c r="C1426">
        <v>227</v>
      </c>
      <c r="D1426" s="2">
        <v>2</v>
      </c>
      <c r="E1426" s="2">
        <v>319.99</v>
      </c>
      <c r="F1426">
        <v>0.05</v>
      </c>
      <c r="G1426">
        <f t="shared" si="22"/>
        <v>639.93000000000006</v>
      </c>
      <c r="H1426" t="str">
        <f>VLOOKUP(C1426,'products '!$A$1:$G$322,2,FALSE)</f>
        <v>Electra Cruiser 7D (24-Inch) Ladies' - 2016/2018</v>
      </c>
    </row>
    <row r="1427" spans="1:8" x14ac:dyDescent="0.3">
      <c r="A1427">
        <v>1426</v>
      </c>
      <c r="B1427">
        <v>1</v>
      </c>
      <c r="C1427">
        <v>215</v>
      </c>
      <c r="D1427" s="2">
        <v>1</v>
      </c>
      <c r="E1427" s="2">
        <v>749.99</v>
      </c>
      <c r="F1427">
        <v>7.0000000000000007E-2</v>
      </c>
      <c r="G1427">
        <f t="shared" si="22"/>
        <v>749.92</v>
      </c>
      <c r="H1427" t="str">
        <f>VLOOKUP(C1427,'products '!$A$1:$G$322,2,FALSE)</f>
        <v>Electra Queen of Hearts 3i - 2018</v>
      </c>
    </row>
    <row r="1428" spans="1:8" x14ac:dyDescent="0.3">
      <c r="A1428">
        <v>1427</v>
      </c>
      <c r="B1428">
        <v>1</v>
      </c>
      <c r="C1428">
        <v>230</v>
      </c>
      <c r="D1428" s="2">
        <v>2</v>
      </c>
      <c r="E1428" s="2">
        <v>429.99</v>
      </c>
      <c r="F1428">
        <v>7.0000000000000007E-2</v>
      </c>
      <c r="G1428">
        <f t="shared" si="22"/>
        <v>859.91</v>
      </c>
      <c r="H1428" t="str">
        <f>VLOOKUP(C1428,'products '!$A$1:$G$322,2,FALSE)</f>
        <v>Electra Cruiser Lux 1 Ladies' - 2018</v>
      </c>
    </row>
    <row r="1429" spans="1:8" x14ac:dyDescent="0.3">
      <c r="A1429">
        <v>1428</v>
      </c>
      <c r="B1429">
        <v>1</v>
      </c>
      <c r="C1429">
        <v>216</v>
      </c>
      <c r="D1429" s="2">
        <v>2</v>
      </c>
      <c r="E1429" s="2">
        <v>899.99</v>
      </c>
      <c r="F1429">
        <v>0.2</v>
      </c>
      <c r="G1429">
        <f t="shared" si="22"/>
        <v>1799.78</v>
      </c>
      <c r="H1429" t="str">
        <f>VLOOKUP(C1429,'products '!$A$1:$G$322,2,FALSE)</f>
        <v>Electra Super Moto 8i - 2018</v>
      </c>
    </row>
    <row r="1430" spans="1:8" x14ac:dyDescent="0.3">
      <c r="A1430">
        <v>1429</v>
      </c>
      <c r="B1430">
        <v>1</v>
      </c>
      <c r="C1430">
        <v>70</v>
      </c>
      <c r="D1430" s="2">
        <v>2</v>
      </c>
      <c r="E1430" s="2">
        <v>659.99</v>
      </c>
      <c r="F1430">
        <v>0.2</v>
      </c>
      <c r="G1430">
        <f t="shared" si="22"/>
        <v>1319.78</v>
      </c>
      <c r="H1430" t="str">
        <f>VLOOKUP(C1430,'products '!$A$1:$G$322,2,FALSE)</f>
        <v>Electra Amsterdam Original 3i - 2015/2017</v>
      </c>
    </row>
    <row r="1431" spans="1:8" x14ac:dyDescent="0.3">
      <c r="A1431">
        <v>1430</v>
      </c>
      <c r="B1431">
        <v>1</v>
      </c>
      <c r="C1431">
        <v>221</v>
      </c>
      <c r="D1431" s="2">
        <v>1</v>
      </c>
      <c r="E1431" s="2">
        <v>319.99</v>
      </c>
      <c r="F1431">
        <v>0.05</v>
      </c>
      <c r="G1431">
        <f t="shared" si="22"/>
        <v>319.94</v>
      </c>
      <c r="H1431" t="str">
        <f>VLOOKUP(C1431,'products '!$A$1:$G$322,2,FALSE)</f>
        <v>Electra Cruiser 7D Ladies' - 2016/2018</v>
      </c>
    </row>
    <row r="1432" spans="1:8" x14ac:dyDescent="0.3">
      <c r="A1432">
        <v>1431</v>
      </c>
      <c r="B1432">
        <v>1</v>
      </c>
      <c r="C1432">
        <v>207</v>
      </c>
      <c r="D1432" s="2">
        <v>1</v>
      </c>
      <c r="E1432" s="2">
        <v>3999.99</v>
      </c>
      <c r="F1432">
        <v>0.1</v>
      </c>
      <c r="G1432">
        <f t="shared" si="22"/>
        <v>3999.89</v>
      </c>
      <c r="H1432" t="str">
        <f>VLOOKUP(C1432,'products '!$A$1:$G$322,2,FALSE)</f>
        <v>Trek Boone 7 Disc - 2018</v>
      </c>
    </row>
    <row r="1433" spans="1:8" x14ac:dyDescent="0.3">
      <c r="A1433">
        <v>1432</v>
      </c>
      <c r="B1433">
        <v>1</v>
      </c>
      <c r="C1433">
        <v>161</v>
      </c>
      <c r="D1433" s="2">
        <v>1</v>
      </c>
      <c r="E1433" s="2">
        <v>1899</v>
      </c>
      <c r="F1433">
        <v>0.2</v>
      </c>
      <c r="G1433">
        <f t="shared" si="22"/>
        <v>1898.8</v>
      </c>
      <c r="H1433" t="str">
        <f>VLOOKUP(C1433,'products '!$A$1:$G$322,2,FALSE)</f>
        <v>Surly ECR - 2018</v>
      </c>
    </row>
    <row r="1434" spans="1:8" x14ac:dyDescent="0.3">
      <c r="A1434">
        <v>1433</v>
      </c>
      <c r="B1434">
        <v>1</v>
      </c>
      <c r="C1434">
        <v>264</v>
      </c>
      <c r="D1434" s="2">
        <v>1</v>
      </c>
      <c r="E1434" s="2">
        <v>249.99</v>
      </c>
      <c r="F1434">
        <v>7.0000000000000007E-2</v>
      </c>
      <c r="G1434">
        <f t="shared" si="22"/>
        <v>249.92000000000002</v>
      </c>
      <c r="H1434" t="str">
        <f>VLOOKUP(C1434,'products '!$A$1:$G$322,2,FALSE)</f>
        <v>Strider Sport 16 - 2018</v>
      </c>
    </row>
    <row r="1435" spans="1:8" x14ac:dyDescent="0.3">
      <c r="A1435">
        <v>1434</v>
      </c>
      <c r="B1435">
        <v>1</v>
      </c>
      <c r="C1435">
        <v>229</v>
      </c>
      <c r="D1435" s="2">
        <v>2</v>
      </c>
      <c r="E1435" s="2">
        <v>429.99</v>
      </c>
      <c r="F1435">
        <v>0.2</v>
      </c>
      <c r="G1435">
        <f t="shared" si="22"/>
        <v>859.78</v>
      </c>
      <c r="H1435" t="str">
        <f>VLOOKUP(C1435,'products '!$A$1:$G$322,2,FALSE)</f>
        <v>Electra Cruiser Lux 1 - 2016/2018</v>
      </c>
    </row>
    <row r="1436" spans="1:8" x14ac:dyDescent="0.3">
      <c r="A1436">
        <v>1435</v>
      </c>
      <c r="B1436">
        <v>1</v>
      </c>
      <c r="C1436">
        <v>141</v>
      </c>
      <c r="D1436" s="2">
        <v>2</v>
      </c>
      <c r="E1436" s="2">
        <v>1599.99</v>
      </c>
      <c r="F1436">
        <v>7.0000000000000007E-2</v>
      </c>
      <c r="G1436">
        <f t="shared" si="22"/>
        <v>3199.91</v>
      </c>
      <c r="H1436" t="str">
        <f>VLOOKUP(C1436,'products '!$A$1:$G$322,2,FALSE)</f>
        <v>Trek Stache 5 - 2018</v>
      </c>
    </row>
    <row r="1437" spans="1:8" x14ac:dyDescent="0.3">
      <c r="A1437">
        <v>1436</v>
      </c>
      <c r="B1437">
        <v>1</v>
      </c>
      <c r="C1437">
        <v>244</v>
      </c>
      <c r="D1437" s="2">
        <v>2</v>
      </c>
      <c r="E1437" s="2">
        <v>559.99</v>
      </c>
      <c r="F1437">
        <v>7.0000000000000007E-2</v>
      </c>
      <c r="G1437">
        <f t="shared" si="22"/>
        <v>1119.9100000000001</v>
      </c>
      <c r="H1437" t="str">
        <f>VLOOKUP(C1437,'products '!$A$1:$G$322,2,FALSE)</f>
        <v>Electra Townie Original 21D Ladies' - 2018</v>
      </c>
    </row>
    <row r="1438" spans="1:8" x14ac:dyDescent="0.3">
      <c r="A1438">
        <v>1437</v>
      </c>
      <c r="B1438">
        <v>1</v>
      </c>
      <c r="C1438">
        <v>141</v>
      </c>
      <c r="D1438" s="2">
        <v>2</v>
      </c>
      <c r="E1438" s="2">
        <v>1599.99</v>
      </c>
      <c r="F1438">
        <v>0.05</v>
      </c>
      <c r="G1438">
        <f t="shared" si="22"/>
        <v>3199.93</v>
      </c>
      <c r="H1438" t="str">
        <f>VLOOKUP(C1438,'products '!$A$1:$G$322,2,FALSE)</f>
        <v>Trek Stache 5 - 2018</v>
      </c>
    </row>
    <row r="1439" spans="1:8" x14ac:dyDescent="0.3">
      <c r="A1439">
        <v>1438</v>
      </c>
      <c r="B1439">
        <v>1</v>
      </c>
      <c r="C1439">
        <v>225</v>
      </c>
      <c r="D1439" s="2">
        <v>1</v>
      </c>
      <c r="E1439" s="2">
        <v>959.99</v>
      </c>
      <c r="F1439">
        <v>0.2</v>
      </c>
      <c r="G1439">
        <f t="shared" si="22"/>
        <v>959.79</v>
      </c>
      <c r="H1439" t="str">
        <f>VLOOKUP(C1439,'products '!$A$1:$G$322,2,FALSE)</f>
        <v>Electra Delivery 3i - 2016/2017/2018</v>
      </c>
    </row>
    <row r="1440" spans="1:8" x14ac:dyDescent="0.3">
      <c r="A1440">
        <v>1439</v>
      </c>
      <c r="B1440">
        <v>1</v>
      </c>
      <c r="C1440">
        <v>42</v>
      </c>
      <c r="D1440" s="2">
        <v>1</v>
      </c>
      <c r="E1440" s="2">
        <v>2299.9899999999998</v>
      </c>
      <c r="F1440">
        <v>7.0000000000000007E-2</v>
      </c>
      <c r="G1440">
        <f t="shared" si="22"/>
        <v>2299.9199999999996</v>
      </c>
      <c r="H1440" t="str">
        <f>VLOOKUP(C1440,'products '!$A$1:$G$322,2,FALSE)</f>
        <v>Trek Fuel EX 5 27.5 Plus - 2017</v>
      </c>
    </row>
    <row r="1441" spans="1:8" x14ac:dyDescent="0.3">
      <c r="A1441">
        <v>1440</v>
      </c>
      <c r="B1441">
        <v>1</v>
      </c>
      <c r="C1441">
        <v>116</v>
      </c>
      <c r="D1441" s="2">
        <v>2</v>
      </c>
      <c r="E1441" s="2">
        <v>749.99</v>
      </c>
      <c r="F1441">
        <v>7.0000000000000007E-2</v>
      </c>
      <c r="G1441">
        <f t="shared" si="22"/>
        <v>1499.91</v>
      </c>
      <c r="H1441" t="str">
        <f>VLOOKUP(C1441,'products '!$A$1:$G$322,2,FALSE)</f>
        <v>Trek Marlin 7 - 2017/2018</v>
      </c>
    </row>
    <row r="1442" spans="1:8" x14ac:dyDescent="0.3">
      <c r="A1442">
        <v>1441</v>
      </c>
      <c r="B1442">
        <v>1</v>
      </c>
      <c r="C1442">
        <v>6</v>
      </c>
      <c r="D1442" s="2">
        <v>1</v>
      </c>
      <c r="E1442" s="2">
        <v>469.99</v>
      </c>
      <c r="F1442">
        <v>0.05</v>
      </c>
      <c r="G1442">
        <f t="shared" si="22"/>
        <v>469.94</v>
      </c>
      <c r="H1442" t="str">
        <f>VLOOKUP(C1442,'products '!$A$1:$G$322,2,FALSE)</f>
        <v>Surly Ice Cream Truck Frameset - 2016</v>
      </c>
    </row>
    <row r="1443" spans="1:8" x14ac:dyDescent="0.3">
      <c r="A1443">
        <v>1442</v>
      </c>
      <c r="B1443">
        <v>1</v>
      </c>
      <c r="C1443">
        <v>160</v>
      </c>
      <c r="D1443" s="2">
        <v>1</v>
      </c>
      <c r="E1443" s="2">
        <v>4499.99</v>
      </c>
      <c r="F1443">
        <v>0.1</v>
      </c>
      <c r="G1443">
        <f t="shared" si="22"/>
        <v>4499.8899999999994</v>
      </c>
      <c r="H1443" t="str">
        <f>VLOOKUP(C1443,'products '!$A$1:$G$322,2,FALSE)</f>
        <v>Trek Emonda SLR 6 - 2018</v>
      </c>
    </row>
    <row r="1444" spans="1:8" x14ac:dyDescent="0.3">
      <c r="A1444">
        <v>1443</v>
      </c>
      <c r="B1444">
        <v>1</v>
      </c>
      <c r="C1444">
        <v>160</v>
      </c>
      <c r="D1444" s="2">
        <v>1</v>
      </c>
      <c r="E1444" s="2">
        <v>4499.99</v>
      </c>
      <c r="F1444">
        <v>7.0000000000000007E-2</v>
      </c>
      <c r="G1444">
        <f t="shared" si="22"/>
        <v>4499.92</v>
      </c>
      <c r="H1444" t="str">
        <f>VLOOKUP(C1444,'products '!$A$1:$G$322,2,FALSE)</f>
        <v>Trek Emonda SLR 6 - 2018</v>
      </c>
    </row>
    <row r="1445" spans="1:8" x14ac:dyDescent="0.3">
      <c r="A1445">
        <v>1444</v>
      </c>
      <c r="B1445">
        <v>1</v>
      </c>
      <c r="C1445">
        <v>90</v>
      </c>
      <c r="D1445" s="2">
        <v>1</v>
      </c>
      <c r="E1445" s="2">
        <v>209.99</v>
      </c>
      <c r="F1445">
        <v>0.1</v>
      </c>
      <c r="G1445">
        <f t="shared" si="22"/>
        <v>209.89000000000001</v>
      </c>
      <c r="H1445" t="str">
        <f>VLOOKUP(C1445,'products '!$A$1:$G$322,2,FALSE)</f>
        <v>Trek Precaliber 16 Girls - 2017</v>
      </c>
    </row>
    <row r="1446" spans="1:8" x14ac:dyDescent="0.3">
      <c r="A1446">
        <v>1445</v>
      </c>
      <c r="B1446">
        <v>1</v>
      </c>
      <c r="C1446">
        <v>219</v>
      </c>
      <c r="D1446" s="2">
        <v>2</v>
      </c>
      <c r="E1446" s="2">
        <v>639.99</v>
      </c>
      <c r="F1446">
        <v>0.1</v>
      </c>
      <c r="G1446">
        <f t="shared" si="22"/>
        <v>1279.8800000000001</v>
      </c>
      <c r="H1446" t="str">
        <f>VLOOKUP(C1446,'products '!$A$1:$G$322,2,FALSE)</f>
        <v>Electra Moto 3i - 2018</v>
      </c>
    </row>
    <row r="1447" spans="1:8" x14ac:dyDescent="0.3">
      <c r="A1447">
        <v>1446</v>
      </c>
      <c r="B1447">
        <v>1</v>
      </c>
      <c r="C1447">
        <v>227</v>
      </c>
      <c r="D1447" s="2">
        <v>1</v>
      </c>
      <c r="E1447" s="2">
        <v>319.99</v>
      </c>
      <c r="F1447">
        <v>0.05</v>
      </c>
      <c r="G1447">
        <f t="shared" si="22"/>
        <v>319.94</v>
      </c>
      <c r="H1447" t="str">
        <f>VLOOKUP(C1447,'products '!$A$1:$G$322,2,FALSE)</f>
        <v>Electra Cruiser 7D (24-Inch) Ladies' - 2016/2018</v>
      </c>
    </row>
    <row r="1448" spans="1:8" x14ac:dyDescent="0.3">
      <c r="A1448">
        <v>1447</v>
      </c>
      <c r="B1448">
        <v>1</v>
      </c>
      <c r="C1448">
        <v>148</v>
      </c>
      <c r="D1448" s="2">
        <v>1</v>
      </c>
      <c r="E1448" s="2">
        <v>5499.99</v>
      </c>
      <c r="F1448">
        <v>0.2</v>
      </c>
      <c r="G1448">
        <f t="shared" si="22"/>
        <v>5499.79</v>
      </c>
      <c r="H1448" t="str">
        <f>VLOOKUP(C1448,'products '!$A$1:$G$322,2,FALSE)</f>
        <v>Trek Domane SL 8 Disc - 2018</v>
      </c>
    </row>
    <row r="1449" spans="1:8" x14ac:dyDescent="0.3">
      <c r="A1449">
        <v>1448</v>
      </c>
      <c r="B1449">
        <v>1</v>
      </c>
      <c r="C1449">
        <v>239</v>
      </c>
      <c r="D1449" s="2">
        <v>1</v>
      </c>
      <c r="E1449" s="2">
        <v>749.99</v>
      </c>
      <c r="F1449">
        <v>0.1</v>
      </c>
      <c r="G1449">
        <f t="shared" si="22"/>
        <v>749.89</v>
      </c>
      <c r="H1449" t="str">
        <f>VLOOKUP(C1449,'products '!$A$1:$G$322,2,FALSE)</f>
        <v>Electra Townie Balloon 8D EQ Ladies' - 2016/2017/2018</v>
      </c>
    </row>
    <row r="1450" spans="1:8" x14ac:dyDescent="0.3">
      <c r="A1450">
        <v>1449</v>
      </c>
      <c r="B1450">
        <v>1</v>
      </c>
      <c r="C1450">
        <v>159</v>
      </c>
      <c r="D1450" s="2">
        <v>1</v>
      </c>
      <c r="E1450" s="2">
        <v>2299.9899999999998</v>
      </c>
      <c r="F1450">
        <v>7.0000000000000007E-2</v>
      </c>
      <c r="G1450">
        <f t="shared" si="22"/>
        <v>2299.9199999999996</v>
      </c>
      <c r="H1450" t="str">
        <f>VLOOKUP(C1450,'products '!$A$1:$G$322,2,FALSE)</f>
        <v>Trek Emonda ALR 6 - 2018</v>
      </c>
    </row>
    <row r="1451" spans="1:8" x14ac:dyDescent="0.3">
      <c r="A1451">
        <v>1450</v>
      </c>
      <c r="B1451">
        <v>1</v>
      </c>
      <c r="C1451">
        <v>98</v>
      </c>
      <c r="D1451" s="2">
        <v>1</v>
      </c>
      <c r="E1451" s="2">
        <v>489.99</v>
      </c>
      <c r="F1451">
        <v>7.0000000000000007E-2</v>
      </c>
      <c r="G1451">
        <f t="shared" si="22"/>
        <v>489.92</v>
      </c>
      <c r="H1451" t="str">
        <f>VLOOKUP(C1451,'products '!$A$1:$G$322,2,FALSE)</f>
        <v>Electra Straight 8 3i (20-inch) - Boy's - 2017</v>
      </c>
    </row>
    <row r="1452" spans="1:8" x14ac:dyDescent="0.3">
      <c r="A1452">
        <v>1451</v>
      </c>
      <c r="B1452">
        <v>1</v>
      </c>
      <c r="C1452">
        <v>117</v>
      </c>
      <c r="D1452" s="2">
        <v>1</v>
      </c>
      <c r="E1452" s="2">
        <v>1469.99</v>
      </c>
      <c r="F1452">
        <v>0.05</v>
      </c>
      <c r="G1452">
        <f t="shared" si="22"/>
        <v>1469.94</v>
      </c>
      <c r="H1452" t="str">
        <f>VLOOKUP(C1452,'products '!$A$1:$G$322,2,FALSE)</f>
        <v>Trek Ticket S Frame - 2018</v>
      </c>
    </row>
    <row r="1453" spans="1:8" x14ac:dyDescent="0.3">
      <c r="A1453">
        <v>1452</v>
      </c>
      <c r="B1453">
        <v>1</v>
      </c>
      <c r="C1453">
        <v>99</v>
      </c>
      <c r="D1453" s="2">
        <v>2</v>
      </c>
      <c r="E1453" s="2">
        <v>299.99</v>
      </c>
      <c r="F1453">
        <v>0.1</v>
      </c>
      <c r="G1453">
        <f t="shared" si="22"/>
        <v>599.88</v>
      </c>
      <c r="H1453" t="str">
        <f>VLOOKUP(C1453,'products '!$A$1:$G$322,2,FALSE)</f>
        <v>Electra Sugar Skulls 1 (20-inch) - Girl's - 2017</v>
      </c>
    </row>
    <row r="1454" spans="1:8" x14ac:dyDescent="0.3">
      <c r="A1454">
        <v>1453</v>
      </c>
      <c r="B1454">
        <v>1</v>
      </c>
      <c r="C1454">
        <v>89</v>
      </c>
      <c r="D1454" s="2">
        <v>2</v>
      </c>
      <c r="E1454" s="2">
        <v>209.99</v>
      </c>
      <c r="F1454">
        <v>0.1</v>
      </c>
      <c r="G1454">
        <f t="shared" si="22"/>
        <v>419.88</v>
      </c>
      <c r="H1454" t="str">
        <f>VLOOKUP(C1454,'products '!$A$1:$G$322,2,FALSE)</f>
        <v>Trek Precaliber 16 Boys - 2017</v>
      </c>
    </row>
    <row r="1455" spans="1:8" x14ac:dyDescent="0.3">
      <c r="A1455">
        <v>1454</v>
      </c>
      <c r="B1455">
        <v>1</v>
      </c>
      <c r="C1455">
        <v>283</v>
      </c>
      <c r="D1455" s="2">
        <v>1</v>
      </c>
      <c r="E1455" s="2">
        <v>319.99</v>
      </c>
      <c r="F1455">
        <v>7.0000000000000007E-2</v>
      </c>
      <c r="G1455">
        <f t="shared" si="22"/>
        <v>319.92</v>
      </c>
      <c r="H1455" t="str">
        <f>VLOOKUP(C1455,'products '!$A$1:$G$322,2,FALSE)</f>
        <v>Electra Heartchya 1 (20-inch) - Girl's - 2018</v>
      </c>
    </row>
    <row r="1456" spans="1:8" x14ac:dyDescent="0.3">
      <c r="A1456">
        <v>1455</v>
      </c>
      <c r="B1456">
        <v>1</v>
      </c>
      <c r="C1456">
        <v>101</v>
      </c>
      <c r="D1456" s="2">
        <v>2</v>
      </c>
      <c r="E1456" s="2">
        <v>339.99</v>
      </c>
      <c r="F1456">
        <v>0.05</v>
      </c>
      <c r="G1456">
        <f t="shared" si="22"/>
        <v>679.93000000000006</v>
      </c>
      <c r="H1456" t="str">
        <f>VLOOKUP(C1456,'products '!$A$1:$G$322,2,FALSE)</f>
        <v>Electra Townie 7D (20-inch) - Boys' - 2017</v>
      </c>
    </row>
    <row r="1457" spans="1:8" x14ac:dyDescent="0.3">
      <c r="A1457">
        <v>1456</v>
      </c>
      <c r="B1457">
        <v>1</v>
      </c>
      <c r="C1457">
        <v>193</v>
      </c>
      <c r="D1457" s="2">
        <v>2</v>
      </c>
      <c r="E1457" s="2">
        <v>2799.99</v>
      </c>
      <c r="F1457">
        <v>0.05</v>
      </c>
      <c r="G1457">
        <f t="shared" si="22"/>
        <v>5599.9299999999994</v>
      </c>
      <c r="H1457" t="str">
        <f>VLOOKUP(C1457,'products '!$A$1:$G$322,2,FALSE)</f>
        <v>Trek Lift+ - 2018</v>
      </c>
    </row>
    <row r="1458" spans="1:8" x14ac:dyDescent="0.3">
      <c r="A1458">
        <v>1457</v>
      </c>
      <c r="B1458">
        <v>1</v>
      </c>
      <c r="C1458">
        <v>113</v>
      </c>
      <c r="D1458" s="2">
        <v>1</v>
      </c>
      <c r="E1458" s="2">
        <v>489.99</v>
      </c>
      <c r="F1458">
        <v>7.0000000000000007E-2</v>
      </c>
      <c r="G1458">
        <f t="shared" si="22"/>
        <v>489.92</v>
      </c>
      <c r="H1458" t="str">
        <f>VLOOKUP(C1458,'products '!$A$1:$G$322,2,FALSE)</f>
        <v>Trek Marlin 5 - 2018</v>
      </c>
    </row>
    <row r="1459" spans="1:8" x14ac:dyDescent="0.3">
      <c r="A1459">
        <v>1458</v>
      </c>
      <c r="B1459">
        <v>1</v>
      </c>
      <c r="C1459">
        <v>295</v>
      </c>
      <c r="D1459" s="2">
        <v>2</v>
      </c>
      <c r="E1459" s="2">
        <v>319.99</v>
      </c>
      <c r="F1459">
        <v>0.05</v>
      </c>
      <c r="G1459">
        <f t="shared" si="22"/>
        <v>639.93000000000006</v>
      </c>
      <c r="H1459" t="str">
        <f>VLOOKUP(C1459,'products '!$A$1:$G$322,2,FALSE)</f>
        <v>Electra Treasure 1 20" - 2018</v>
      </c>
    </row>
    <row r="1460" spans="1:8" x14ac:dyDescent="0.3">
      <c r="A1460">
        <v>1459</v>
      </c>
      <c r="B1460">
        <v>1</v>
      </c>
      <c r="C1460">
        <v>258</v>
      </c>
      <c r="D1460" s="2">
        <v>1</v>
      </c>
      <c r="E1460" s="2">
        <v>1259.9000000000001</v>
      </c>
      <c r="F1460">
        <v>0.1</v>
      </c>
      <c r="G1460">
        <f t="shared" si="22"/>
        <v>1259.8000000000002</v>
      </c>
      <c r="H1460" t="str">
        <f>VLOOKUP(C1460,'products '!$A$1:$G$322,2,FALSE)</f>
        <v>Electra Amsterdam Royal 8i - 2017/2018</v>
      </c>
    </row>
    <row r="1461" spans="1:8" x14ac:dyDescent="0.3">
      <c r="A1461">
        <v>1460</v>
      </c>
      <c r="B1461">
        <v>1</v>
      </c>
      <c r="C1461">
        <v>201</v>
      </c>
      <c r="D1461" s="2">
        <v>1</v>
      </c>
      <c r="E1461" s="2">
        <v>4499.99</v>
      </c>
      <c r="F1461">
        <v>0.05</v>
      </c>
      <c r="G1461">
        <f t="shared" si="22"/>
        <v>4499.9399999999996</v>
      </c>
      <c r="H1461" t="str">
        <f>VLOOKUP(C1461,'products '!$A$1:$G$322,2,FALSE)</f>
        <v>Trek Powerfly 5 FS - 2018</v>
      </c>
    </row>
    <row r="1462" spans="1:8" x14ac:dyDescent="0.3">
      <c r="A1462">
        <v>1461</v>
      </c>
      <c r="B1462">
        <v>1</v>
      </c>
      <c r="C1462">
        <v>48</v>
      </c>
      <c r="D1462" s="2">
        <v>1</v>
      </c>
      <c r="E1462" s="2">
        <v>1499.99</v>
      </c>
      <c r="F1462">
        <v>0.2</v>
      </c>
      <c r="G1462">
        <f t="shared" si="22"/>
        <v>1499.79</v>
      </c>
      <c r="H1462" t="str">
        <f>VLOOKUP(C1462,'products '!$A$1:$G$322,2,FALSE)</f>
        <v>Trek Emonda S 4 - 2017</v>
      </c>
    </row>
    <row r="1463" spans="1:8" x14ac:dyDescent="0.3">
      <c r="A1463">
        <v>1462</v>
      </c>
      <c r="B1463">
        <v>1</v>
      </c>
      <c r="C1463">
        <v>263</v>
      </c>
      <c r="D1463" s="2">
        <v>1</v>
      </c>
      <c r="E1463" s="2">
        <v>89.99</v>
      </c>
      <c r="F1463">
        <v>0.2</v>
      </c>
      <c r="G1463">
        <f t="shared" si="22"/>
        <v>89.789999999999992</v>
      </c>
      <c r="H1463" t="str">
        <f>VLOOKUP(C1463,'products '!$A$1:$G$322,2,FALSE)</f>
        <v>Strider Classic 12 Balance Bike - 2018</v>
      </c>
    </row>
    <row r="1464" spans="1:8" x14ac:dyDescent="0.3">
      <c r="A1464">
        <v>1463</v>
      </c>
      <c r="B1464">
        <v>1</v>
      </c>
      <c r="C1464">
        <v>51</v>
      </c>
      <c r="D1464" s="2">
        <v>2</v>
      </c>
      <c r="E1464" s="2">
        <v>6499.99</v>
      </c>
      <c r="F1464">
        <v>0.05</v>
      </c>
      <c r="G1464">
        <f t="shared" si="22"/>
        <v>12999.93</v>
      </c>
      <c r="H1464" t="str">
        <f>VLOOKUP(C1464,'products '!$A$1:$G$322,2,FALSE)</f>
        <v>Trek Silque SLR 8 Women's - 2017</v>
      </c>
    </row>
    <row r="1465" spans="1:8" x14ac:dyDescent="0.3">
      <c r="A1465">
        <v>1464</v>
      </c>
      <c r="B1465">
        <v>1</v>
      </c>
      <c r="C1465">
        <v>109</v>
      </c>
      <c r="D1465" s="2">
        <v>2</v>
      </c>
      <c r="E1465" s="2">
        <v>416.99</v>
      </c>
      <c r="F1465">
        <v>0.05</v>
      </c>
      <c r="G1465">
        <f t="shared" si="22"/>
        <v>833.93000000000006</v>
      </c>
      <c r="H1465" t="str">
        <f>VLOOKUP(C1465,'products '!$A$1:$G$322,2,FALSE)</f>
        <v>Sun Bicycles Cruz 7 - Women's - 2017</v>
      </c>
    </row>
    <row r="1466" spans="1:8" x14ac:dyDescent="0.3">
      <c r="A1466">
        <v>1465</v>
      </c>
      <c r="B1466">
        <v>1</v>
      </c>
      <c r="C1466">
        <v>70</v>
      </c>
      <c r="D1466" s="2">
        <v>2</v>
      </c>
      <c r="E1466" s="2">
        <v>659.99</v>
      </c>
      <c r="F1466">
        <v>0.05</v>
      </c>
      <c r="G1466">
        <f t="shared" si="22"/>
        <v>1319.93</v>
      </c>
      <c r="H1466" t="str">
        <f>VLOOKUP(C1466,'products '!$A$1:$G$322,2,FALSE)</f>
        <v>Electra Amsterdam Original 3i - 2015/2017</v>
      </c>
    </row>
    <row r="1467" spans="1:8" x14ac:dyDescent="0.3">
      <c r="A1467">
        <v>1466</v>
      </c>
      <c r="B1467">
        <v>1</v>
      </c>
      <c r="C1467">
        <v>310</v>
      </c>
      <c r="D1467" s="2">
        <v>2</v>
      </c>
      <c r="E1467" s="2">
        <v>899.99</v>
      </c>
      <c r="F1467">
        <v>7.0000000000000007E-2</v>
      </c>
      <c r="G1467">
        <f t="shared" si="22"/>
        <v>1799.91</v>
      </c>
      <c r="H1467" t="str">
        <f>VLOOKUP(C1467,'products '!$A$1:$G$322,2,FALSE)</f>
        <v>Electra Townie Commute 27D Ladies - 2018</v>
      </c>
    </row>
    <row r="1468" spans="1:8" x14ac:dyDescent="0.3">
      <c r="A1468">
        <v>1467</v>
      </c>
      <c r="B1468">
        <v>1</v>
      </c>
      <c r="C1468">
        <v>18</v>
      </c>
      <c r="D1468" s="2">
        <v>1</v>
      </c>
      <c r="E1468" s="2">
        <v>449</v>
      </c>
      <c r="F1468">
        <v>7.0000000000000007E-2</v>
      </c>
      <c r="G1468">
        <f t="shared" si="22"/>
        <v>448.93</v>
      </c>
      <c r="H1468" t="str">
        <f>VLOOKUP(C1468,'products '!$A$1:$G$322,2,FALSE)</f>
        <v>Pure Cycles Western 3-Speed - Women's - 2015/2016</v>
      </c>
    </row>
    <row r="1469" spans="1:8" x14ac:dyDescent="0.3">
      <c r="A1469">
        <v>1468</v>
      </c>
      <c r="B1469">
        <v>1</v>
      </c>
      <c r="C1469">
        <v>269</v>
      </c>
      <c r="D1469" s="2">
        <v>1</v>
      </c>
      <c r="E1469" s="2">
        <v>199.99</v>
      </c>
      <c r="F1469">
        <v>0.05</v>
      </c>
      <c r="G1469">
        <f t="shared" si="22"/>
        <v>199.94</v>
      </c>
      <c r="H1469" t="str">
        <f>VLOOKUP(C1469,'products '!$A$1:$G$322,2,FALSE)</f>
        <v>Trek Precaliber 12 Boy's - 2018</v>
      </c>
    </row>
    <row r="1470" spans="1:8" x14ac:dyDescent="0.3">
      <c r="A1470">
        <v>1469</v>
      </c>
      <c r="B1470">
        <v>1</v>
      </c>
      <c r="C1470">
        <v>77</v>
      </c>
      <c r="D1470" s="2">
        <v>2</v>
      </c>
      <c r="E1470" s="2">
        <v>799.99</v>
      </c>
      <c r="F1470">
        <v>0.2</v>
      </c>
      <c r="G1470">
        <f t="shared" si="22"/>
        <v>1599.78</v>
      </c>
      <c r="H1470" t="str">
        <f>VLOOKUP(C1470,'products '!$A$1:$G$322,2,FALSE)</f>
        <v>Electra Glam Punk 3i Ladies' - 2017</v>
      </c>
    </row>
    <row r="1471" spans="1:8" x14ac:dyDescent="0.3">
      <c r="A1471">
        <v>1470</v>
      </c>
      <c r="B1471">
        <v>1</v>
      </c>
      <c r="C1471">
        <v>110</v>
      </c>
      <c r="D1471" s="2">
        <v>2</v>
      </c>
      <c r="E1471" s="2">
        <v>470.99</v>
      </c>
      <c r="F1471">
        <v>0.1</v>
      </c>
      <c r="G1471">
        <f t="shared" si="22"/>
        <v>941.88</v>
      </c>
      <c r="H1471" t="str">
        <f>VLOOKUP(C1471,'products '!$A$1:$G$322,2,FALSE)</f>
        <v>Sun Bicycles Drifter 7 - 2017</v>
      </c>
    </row>
    <row r="1472" spans="1:8" x14ac:dyDescent="0.3">
      <c r="A1472">
        <v>1471</v>
      </c>
      <c r="B1472">
        <v>1</v>
      </c>
      <c r="C1472">
        <v>59</v>
      </c>
      <c r="D1472" s="2">
        <v>2</v>
      </c>
      <c r="E1472" s="2">
        <v>2599.9899999999998</v>
      </c>
      <c r="F1472">
        <v>0.2</v>
      </c>
      <c r="G1472">
        <f t="shared" si="22"/>
        <v>5199.78</v>
      </c>
      <c r="H1472" t="str">
        <f>VLOOKUP(C1472,'products '!$A$1:$G$322,2,FALSE)</f>
        <v>Trek Domane S 5 Disc - 2017</v>
      </c>
    </row>
    <row r="1473" spans="1:8" x14ac:dyDescent="0.3">
      <c r="A1473">
        <v>1472</v>
      </c>
      <c r="B1473">
        <v>1</v>
      </c>
      <c r="C1473">
        <v>84</v>
      </c>
      <c r="D1473" s="2">
        <v>1</v>
      </c>
      <c r="E1473" s="2">
        <v>109.99</v>
      </c>
      <c r="F1473">
        <v>0.2</v>
      </c>
      <c r="G1473">
        <f t="shared" si="22"/>
        <v>109.78999999999999</v>
      </c>
      <c r="H1473" t="str">
        <f>VLOOKUP(C1473,'products '!$A$1:$G$322,2,FALSE)</f>
        <v>Sun Bicycles Lil Kitt'n - 2017</v>
      </c>
    </row>
    <row r="1474" spans="1:8" x14ac:dyDescent="0.3">
      <c r="A1474">
        <v>1473</v>
      </c>
      <c r="B1474">
        <v>1</v>
      </c>
      <c r="C1474">
        <v>84</v>
      </c>
      <c r="D1474" s="2">
        <v>2</v>
      </c>
      <c r="E1474" s="2">
        <v>109.99</v>
      </c>
      <c r="F1474">
        <v>0.2</v>
      </c>
      <c r="G1474">
        <f t="shared" si="22"/>
        <v>219.78</v>
      </c>
      <c r="H1474" t="str">
        <f>VLOOKUP(C1474,'products '!$A$1:$G$322,2,FALSE)</f>
        <v>Sun Bicycles Lil Kitt'n - 2017</v>
      </c>
    </row>
    <row r="1475" spans="1:8" x14ac:dyDescent="0.3">
      <c r="A1475">
        <v>1474</v>
      </c>
      <c r="B1475">
        <v>1</v>
      </c>
      <c r="C1475">
        <v>301</v>
      </c>
      <c r="D1475" s="2">
        <v>1</v>
      </c>
      <c r="E1475" s="2">
        <v>899.99</v>
      </c>
      <c r="F1475">
        <v>0.2</v>
      </c>
      <c r="G1475">
        <f t="shared" ref="G1475:G1538" si="23">E1475*D1475-F1475</f>
        <v>899.79</v>
      </c>
      <c r="H1475" t="str">
        <f>VLOOKUP(C1475,'products '!$A$1:$G$322,2,FALSE)</f>
        <v>Electra Townie Balloon 7i EQ - 2018</v>
      </c>
    </row>
    <row r="1476" spans="1:8" x14ac:dyDescent="0.3">
      <c r="A1476">
        <v>1475</v>
      </c>
      <c r="B1476">
        <v>1</v>
      </c>
      <c r="C1476">
        <v>306</v>
      </c>
      <c r="D1476" s="2">
        <v>2</v>
      </c>
      <c r="E1476" s="2">
        <v>899.99</v>
      </c>
      <c r="F1476">
        <v>0.05</v>
      </c>
      <c r="G1476">
        <f t="shared" si="23"/>
        <v>1799.93</v>
      </c>
      <c r="H1476" t="str">
        <f>VLOOKUP(C1476,'products '!$A$1:$G$322,2,FALSE)</f>
        <v>Electra Townie Balloon 7i EQ Ladies' - 2017/2018</v>
      </c>
    </row>
    <row r="1477" spans="1:8" x14ac:dyDescent="0.3">
      <c r="A1477">
        <v>1476</v>
      </c>
      <c r="B1477">
        <v>1</v>
      </c>
      <c r="C1477">
        <v>142</v>
      </c>
      <c r="D1477" s="2">
        <v>2</v>
      </c>
      <c r="E1477" s="2">
        <v>3199.99</v>
      </c>
      <c r="F1477">
        <v>7.0000000000000007E-2</v>
      </c>
      <c r="G1477">
        <f t="shared" si="23"/>
        <v>6399.91</v>
      </c>
      <c r="H1477" t="str">
        <f>VLOOKUP(C1477,'products '!$A$1:$G$322,2,FALSE)</f>
        <v>Trek Fuel EX 8 29 XT - 2018</v>
      </c>
    </row>
    <row r="1478" spans="1:8" x14ac:dyDescent="0.3">
      <c r="A1478">
        <v>1477</v>
      </c>
      <c r="B1478">
        <v>1</v>
      </c>
      <c r="C1478">
        <v>210</v>
      </c>
      <c r="D1478" s="2">
        <v>2</v>
      </c>
      <c r="E1478" s="2">
        <v>1549</v>
      </c>
      <c r="F1478">
        <v>0.2</v>
      </c>
      <c r="G1478">
        <f t="shared" si="23"/>
        <v>3097.8</v>
      </c>
      <c r="H1478" t="str">
        <f>VLOOKUP(C1478,'products '!$A$1:$G$322,2,FALSE)</f>
        <v>Surly Straggler - 2018</v>
      </c>
    </row>
    <row r="1479" spans="1:8" x14ac:dyDescent="0.3">
      <c r="A1479">
        <v>1478</v>
      </c>
      <c r="B1479">
        <v>1</v>
      </c>
      <c r="C1479">
        <v>100</v>
      </c>
      <c r="D1479" s="2">
        <v>2</v>
      </c>
      <c r="E1479" s="2">
        <v>489.99</v>
      </c>
      <c r="F1479">
        <v>0.1</v>
      </c>
      <c r="G1479">
        <f t="shared" si="23"/>
        <v>979.88</v>
      </c>
      <c r="H1479" t="str">
        <f>VLOOKUP(C1479,'products '!$A$1:$G$322,2,FALSE)</f>
        <v>Electra Townie 3i EQ (20-inch) - Boys' - 2017</v>
      </c>
    </row>
    <row r="1480" spans="1:8" x14ac:dyDescent="0.3">
      <c r="A1480">
        <v>1479</v>
      </c>
      <c r="B1480">
        <v>1</v>
      </c>
      <c r="C1480">
        <v>252</v>
      </c>
      <c r="D1480" s="2">
        <v>1</v>
      </c>
      <c r="E1480" s="2">
        <v>2999.99</v>
      </c>
      <c r="F1480">
        <v>0.05</v>
      </c>
      <c r="G1480">
        <f t="shared" si="23"/>
        <v>2999.9399999999996</v>
      </c>
      <c r="H1480" t="str">
        <f>VLOOKUP(C1480,'products '!$A$1:$G$322,2,FALSE)</f>
        <v>Electra Townie Commute Go! Ladies' - 2018</v>
      </c>
    </row>
    <row r="1481" spans="1:8" x14ac:dyDescent="0.3">
      <c r="A1481">
        <v>1480</v>
      </c>
      <c r="B1481">
        <v>1</v>
      </c>
      <c r="C1481">
        <v>308</v>
      </c>
      <c r="D1481" s="2">
        <v>2</v>
      </c>
      <c r="E1481" s="2">
        <v>749.99</v>
      </c>
      <c r="F1481">
        <v>0.1</v>
      </c>
      <c r="G1481">
        <f t="shared" si="23"/>
        <v>1499.88</v>
      </c>
      <c r="H1481" t="str">
        <f>VLOOKUP(C1481,'products '!$A$1:$G$322,2,FALSE)</f>
        <v>Electra Townie Balloon 8D EQ Ladies' - 2016/2017/2018</v>
      </c>
    </row>
    <row r="1482" spans="1:8" x14ac:dyDescent="0.3">
      <c r="A1482">
        <v>1481</v>
      </c>
      <c r="B1482">
        <v>1</v>
      </c>
      <c r="C1482">
        <v>53</v>
      </c>
      <c r="D1482" s="2">
        <v>2</v>
      </c>
      <c r="E1482" s="2">
        <v>749.99</v>
      </c>
      <c r="F1482">
        <v>7.0000000000000007E-2</v>
      </c>
      <c r="G1482">
        <f t="shared" si="23"/>
        <v>1499.91</v>
      </c>
      <c r="H1482" t="str">
        <f>VLOOKUP(C1482,'products '!$A$1:$G$322,2,FALSE)</f>
        <v>Surly Ogre Frameset - 2017</v>
      </c>
    </row>
    <row r="1483" spans="1:8" x14ac:dyDescent="0.3">
      <c r="A1483">
        <v>1482</v>
      </c>
      <c r="B1483">
        <v>1</v>
      </c>
      <c r="C1483">
        <v>48</v>
      </c>
      <c r="D1483" s="2">
        <v>1</v>
      </c>
      <c r="E1483" s="2">
        <v>1499.99</v>
      </c>
      <c r="F1483">
        <v>0.1</v>
      </c>
      <c r="G1483">
        <f t="shared" si="23"/>
        <v>1499.89</v>
      </c>
      <c r="H1483" t="str">
        <f>VLOOKUP(C1483,'products '!$A$1:$G$322,2,FALSE)</f>
        <v>Trek Emonda S 4 - 2017</v>
      </c>
    </row>
    <row r="1484" spans="1:8" x14ac:dyDescent="0.3">
      <c r="A1484">
        <v>1483</v>
      </c>
      <c r="B1484">
        <v>1</v>
      </c>
      <c r="C1484">
        <v>280</v>
      </c>
      <c r="D1484" s="2">
        <v>1</v>
      </c>
      <c r="E1484" s="2">
        <v>489.99</v>
      </c>
      <c r="F1484">
        <v>0.05</v>
      </c>
      <c r="G1484">
        <f t="shared" si="23"/>
        <v>489.94</v>
      </c>
      <c r="H1484" t="str">
        <f>VLOOKUP(C1484,'products '!$A$1:$G$322,2,FALSE)</f>
        <v>Trek Superfly 24 - 2017/2018</v>
      </c>
    </row>
    <row r="1485" spans="1:8" x14ac:dyDescent="0.3">
      <c r="A1485">
        <v>1484</v>
      </c>
      <c r="B1485">
        <v>1</v>
      </c>
      <c r="C1485">
        <v>295</v>
      </c>
      <c r="D1485" s="2">
        <v>2</v>
      </c>
      <c r="E1485" s="2">
        <v>319.99</v>
      </c>
      <c r="F1485">
        <v>7.0000000000000007E-2</v>
      </c>
      <c r="G1485">
        <f t="shared" si="23"/>
        <v>639.91</v>
      </c>
      <c r="H1485" t="str">
        <f>VLOOKUP(C1485,'products '!$A$1:$G$322,2,FALSE)</f>
        <v>Electra Treasure 1 20" - 2018</v>
      </c>
    </row>
    <row r="1486" spans="1:8" x14ac:dyDescent="0.3">
      <c r="A1486">
        <v>1485</v>
      </c>
      <c r="B1486">
        <v>1</v>
      </c>
      <c r="C1486">
        <v>122</v>
      </c>
      <c r="D1486" s="2">
        <v>2</v>
      </c>
      <c r="E1486" s="2">
        <v>2499.9899999999998</v>
      </c>
      <c r="F1486">
        <v>0.2</v>
      </c>
      <c r="G1486">
        <f t="shared" si="23"/>
        <v>4999.78</v>
      </c>
      <c r="H1486" t="str">
        <f>VLOOKUP(C1486,'products '!$A$1:$G$322,2,FALSE)</f>
        <v>Surly Troll Frameset - 2018</v>
      </c>
    </row>
    <row r="1487" spans="1:8" x14ac:dyDescent="0.3">
      <c r="A1487">
        <v>1486</v>
      </c>
      <c r="B1487">
        <v>1</v>
      </c>
      <c r="C1487">
        <v>60</v>
      </c>
      <c r="D1487" s="2">
        <v>2</v>
      </c>
      <c r="E1487" s="2">
        <v>1559.99</v>
      </c>
      <c r="F1487">
        <v>0.05</v>
      </c>
      <c r="G1487">
        <f t="shared" si="23"/>
        <v>3119.93</v>
      </c>
      <c r="H1487" t="str">
        <f>VLOOKUP(C1487,'products '!$A$1:$G$322,2,FALSE)</f>
        <v>Sun Bicycles ElectroLite - 2017</v>
      </c>
    </row>
    <row r="1488" spans="1:8" x14ac:dyDescent="0.3">
      <c r="A1488">
        <v>1487</v>
      </c>
      <c r="B1488">
        <v>1</v>
      </c>
      <c r="C1488">
        <v>160</v>
      </c>
      <c r="D1488" s="2">
        <v>1</v>
      </c>
      <c r="E1488" s="2">
        <v>4499.99</v>
      </c>
      <c r="F1488">
        <v>7.0000000000000007E-2</v>
      </c>
      <c r="G1488">
        <f t="shared" si="23"/>
        <v>4499.92</v>
      </c>
      <c r="H1488" t="str">
        <f>VLOOKUP(C1488,'products '!$A$1:$G$322,2,FALSE)</f>
        <v>Trek Emonda SLR 6 - 2018</v>
      </c>
    </row>
    <row r="1489" spans="1:8" x14ac:dyDescent="0.3">
      <c r="A1489">
        <v>1488</v>
      </c>
      <c r="B1489">
        <v>1</v>
      </c>
      <c r="C1489">
        <v>42</v>
      </c>
      <c r="D1489" s="2">
        <v>1</v>
      </c>
      <c r="E1489" s="2">
        <v>2299.9899999999998</v>
      </c>
      <c r="F1489">
        <v>7.0000000000000007E-2</v>
      </c>
      <c r="G1489">
        <f t="shared" si="23"/>
        <v>2299.9199999999996</v>
      </c>
      <c r="H1489" t="str">
        <f>VLOOKUP(C1489,'products '!$A$1:$G$322,2,FALSE)</f>
        <v>Trek Fuel EX 5 27.5 Plus - 2017</v>
      </c>
    </row>
    <row r="1490" spans="1:8" x14ac:dyDescent="0.3">
      <c r="A1490">
        <v>1489</v>
      </c>
      <c r="B1490">
        <v>1</v>
      </c>
      <c r="C1490">
        <v>198</v>
      </c>
      <c r="D1490" s="2">
        <v>1</v>
      </c>
      <c r="E1490" s="2">
        <v>2999.99</v>
      </c>
      <c r="F1490">
        <v>0.2</v>
      </c>
      <c r="G1490">
        <f t="shared" si="23"/>
        <v>2999.79</v>
      </c>
      <c r="H1490" t="str">
        <f>VLOOKUP(C1490,'products '!$A$1:$G$322,2,FALSE)</f>
        <v>Electra Townie Commute Go! - 2018</v>
      </c>
    </row>
    <row r="1491" spans="1:8" x14ac:dyDescent="0.3">
      <c r="A1491">
        <v>1490</v>
      </c>
      <c r="B1491">
        <v>1</v>
      </c>
      <c r="C1491">
        <v>99</v>
      </c>
      <c r="D1491" s="2">
        <v>1</v>
      </c>
      <c r="E1491" s="2">
        <v>299.99</v>
      </c>
      <c r="F1491">
        <v>0.1</v>
      </c>
      <c r="G1491">
        <f t="shared" si="23"/>
        <v>299.89</v>
      </c>
      <c r="H1491" t="str">
        <f>VLOOKUP(C1491,'products '!$A$1:$G$322,2,FALSE)</f>
        <v>Electra Sugar Skulls 1 (20-inch) - Girl's - 2017</v>
      </c>
    </row>
    <row r="1492" spans="1:8" x14ac:dyDescent="0.3">
      <c r="A1492">
        <v>1491</v>
      </c>
      <c r="B1492">
        <v>1</v>
      </c>
      <c r="C1492">
        <v>95</v>
      </c>
      <c r="D1492" s="2">
        <v>2</v>
      </c>
      <c r="E1492" s="2">
        <v>299.99</v>
      </c>
      <c r="F1492">
        <v>0.2</v>
      </c>
      <c r="G1492">
        <f t="shared" si="23"/>
        <v>599.78</v>
      </c>
      <c r="H1492" t="str">
        <f>VLOOKUP(C1492,'products '!$A$1:$G$322,2,FALSE)</f>
        <v>Electra Girl's Hawaii 1 16" - 2017</v>
      </c>
    </row>
    <row r="1493" spans="1:8" x14ac:dyDescent="0.3">
      <c r="A1493">
        <v>1492</v>
      </c>
      <c r="B1493">
        <v>1</v>
      </c>
      <c r="C1493">
        <v>37</v>
      </c>
      <c r="D1493" s="2">
        <v>2</v>
      </c>
      <c r="E1493" s="2">
        <v>379.99</v>
      </c>
      <c r="F1493">
        <v>0.1</v>
      </c>
      <c r="G1493">
        <f t="shared" si="23"/>
        <v>759.88</v>
      </c>
      <c r="H1493" t="str">
        <f>VLOOKUP(C1493,'products '!$A$1:$G$322,2,FALSE)</f>
        <v>Haro Flightline One ST - 2017</v>
      </c>
    </row>
    <row r="1494" spans="1:8" x14ac:dyDescent="0.3">
      <c r="A1494">
        <v>1493</v>
      </c>
      <c r="B1494">
        <v>1</v>
      </c>
      <c r="C1494">
        <v>230</v>
      </c>
      <c r="D1494" s="2">
        <v>1</v>
      </c>
      <c r="E1494" s="2">
        <v>429.99</v>
      </c>
      <c r="F1494">
        <v>0.1</v>
      </c>
      <c r="G1494">
        <f t="shared" si="23"/>
        <v>429.89</v>
      </c>
      <c r="H1494" t="str">
        <f>VLOOKUP(C1494,'products '!$A$1:$G$322,2,FALSE)</f>
        <v>Electra Cruiser Lux 1 Ladies' - 2018</v>
      </c>
    </row>
    <row r="1495" spans="1:8" x14ac:dyDescent="0.3">
      <c r="A1495">
        <v>1494</v>
      </c>
      <c r="B1495">
        <v>1</v>
      </c>
      <c r="C1495">
        <v>230</v>
      </c>
      <c r="D1495" s="2">
        <v>2</v>
      </c>
      <c r="E1495" s="2">
        <v>429.99</v>
      </c>
      <c r="F1495">
        <v>0.1</v>
      </c>
      <c r="G1495">
        <f t="shared" si="23"/>
        <v>859.88</v>
      </c>
      <c r="H1495" t="str">
        <f>VLOOKUP(C1495,'products '!$A$1:$G$322,2,FALSE)</f>
        <v>Electra Cruiser Lux 1 Ladies' - 2018</v>
      </c>
    </row>
    <row r="1496" spans="1:8" x14ac:dyDescent="0.3">
      <c r="A1496">
        <v>1495</v>
      </c>
      <c r="B1496">
        <v>1</v>
      </c>
      <c r="C1496">
        <v>292</v>
      </c>
      <c r="D1496" s="2">
        <v>2</v>
      </c>
      <c r="E1496" s="2">
        <v>369.99</v>
      </c>
      <c r="F1496">
        <v>0.05</v>
      </c>
      <c r="G1496">
        <f t="shared" si="23"/>
        <v>739.93000000000006</v>
      </c>
      <c r="H1496" t="str">
        <f>VLOOKUP(C1496,'products '!$A$1:$G$322,2,FALSE)</f>
        <v>Electra Sweet Ride 3i (20-inch) - Girls' - 2018</v>
      </c>
    </row>
    <row r="1497" spans="1:8" x14ac:dyDescent="0.3">
      <c r="A1497">
        <v>1496</v>
      </c>
      <c r="B1497">
        <v>1</v>
      </c>
      <c r="C1497">
        <v>248</v>
      </c>
      <c r="D1497" s="2">
        <v>1</v>
      </c>
      <c r="E1497" s="2">
        <v>599.99</v>
      </c>
      <c r="F1497">
        <v>7.0000000000000007E-2</v>
      </c>
      <c r="G1497">
        <f t="shared" si="23"/>
        <v>599.91999999999996</v>
      </c>
      <c r="H1497" t="str">
        <f>VLOOKUP(C1497,'products '!$A$1:$G$322,2,FALSE)</f>
        <v>Electra Townie Original 7D EQ Ladies' - 2017/2018</v>
      </c>
    </row>
    <row r="1498" spans="1:8" x14ac:dyDescent="0.3">
      <c r="A1498">
        <v>1497</v>
      </c>
      <c r="B1498">
        <v>1</v>
      </c>
      <c r="C1498">
        <v>141</v>
      </c>
      <c r="D1498" s="2">
        <v>2</v>
      </c>
      <c r="E1498" s="2">
        <v>1599.99</v>
      </c>
      <c r="F1498">
        <v>0.2</v>
      </c>
      <c r="G1498">
        <f t="shared" si="23"/>
        <v>3199.78</v>
      </c>
      <c r="H1498" t="str">
        <f>VLOOKUP(C1498,'products '!$A$1:$G$322,2,FALSE)</f>
        <v>Trek Stache 5 - 2018</v>
      </c>
    </row>
    <row r="1499" spans="1:8" x14ac:dyDescent="0.3">
      <c r="A1499">
        <v>1498</v>
      </c>
      <c r="B1499">
        <v>1</v>
      </c>
      <c r="C1499">
        <v>172</v>
      </c>
      <c r="D1499" s="2">
        <v>1</v>
      </c>
      <c r="E1499" s="2">
        <v>3199.99</v>
      </c>
      <c r="F1499">
        <v>0.05</v>
      </c>
      <c r="G1499">
        <f t="shared" si="23"/>
        <v>3199.9399999999996</v>
      </c>
      <c r="H1499" t="str">
        <f>VLOOKUP(C1499,'products '!$A$1:$G$322,2,FALSE)</f>
        <v>Trek Domane ALR Disc Frameset - 2018</v>
      </c>
    </row>
    <row r="1500" spans="1:8" x14ac:dyDescent="0.3">
      <c r="A1500">
        <v>1499</v>
      </c>
      <c r="B1500">
        <v>1</v>
      </c>
      <c r="C1500">
        <v>110</v>
      </c>
      <c r="D1500" s="2">
        <v>1</v>
      </c>
      <c r="E1500" s="2">
        <v>470.99</v>
      </c>
      <c r="F1500">
        <v>0.05</v>
      </c>
      <c r="G1500">
        <f t="shared" si="23"/>
        <v>470.94</v>
      </c>
      <c r="H1500" t="str">
        <f>VLOOKUP(C1500,'products '!$A$1:$G$322,2,FALSE)</f>
        <v>Sun Bicycles Drifter 7 - 2017</v>
      </c>
    </row>
    <row r="1501" spans="1:8" x14ac:dyDescent="0.3">
      <c r="A1501">
        <v>1500</v>
      </c>
      <c r="B1501">
        <v>1</v>
      </c>
      <c r="C1501">
        <v>41</v>
      </c>
      <c r="D1501" s="2">
        <v>2</v>
      </c>
      <c r="E1501" s="2">
        <v>1469.99</v>
      </c>
      <c r="F1501">
        <v>7.0000000000000007E-2</v>
      </c>
      <c r="G1501">
        <f t="shared" si="23"/>
        <v>2939.91</v>
      </c>
      <c r="H1501" t="str">
        <f>VLOOKUP(C1501,'products '!$A$1:$G$322,2,FALSE)</f>
        <v>Haro Shift R3 - 2017</v>
      </c>
    </row>
    <row r="1502" spans="1:8" x14ac:dyDescent="0.3">
      <c r="A1502">
        <v>1501</v>
      </c>
      <c r="B1502">
        <v>1</v>
      </c>
      <c r="C1502">
        <v>248</v>
      </c>
      <c r="D1502" s="2">
        <v>1</v>
      </c>
      <c r="E1502" s="2">
        <v>599.99</v>
      </c>
      <c r="F1502">
        <v>0.05</v>
      </c>
      <c r="G1502">
        <f t="shared" si="23"/>
        <v>599.94000000000005</v>
      </c>
      <c r="H1502" t="str">
        <f>VLOOKUP(C1502,'products '!$A$1:$G$322,2,FALSE)</f>
        <v>Electra Townie Original 7D EQ Ladies' - 2017/2018</v>
      </c>
    </row>
    <row r="1503" spans="1:8" x14ac:dyDescent="0.3">
      <c r="A1503">
        <v>1502</v>
      </c>
      <c r="B1503">
        <v>1</v>
      </c>
      <c r="C1503">
        <v>231</v>
      </c>
      <c r="D1503" s="2">
        <v>2</v>
      </c>
      <c r="E1503" s="2">
        <v>529.99</v>
      </c>
      <c r="F1503">
        <v>0.2</v>
      </c>
      <c r="G1503">
        <f t="shared" si="23"/>
        <v>1059.78</v>
      </c>
      <c r="H1503" t="str">
        <f>VLOOKUP(C1503,'products '!$A$1:$G$322,2,FALSE)</f>
        <v>Electra Cruiser Lux 3i Ladies' - 2018</v>
      </c>
    </row>
    <row r="1504" spans="1:8" x14ac:dyDescent="0.3">
      <c r="A1504">
        <v>1503</v>
      </c>
      <c r="B1504">
        <v>1</v>
      </c>
      <c r="C1504">
        <v>217</v>
      </c>
      <c r="D1504" s="2">
        <v>1</v>
      </c>
      <c r="E1504" s="2">
        <v>909.99</v>
      </c>
      <c r="F1504">
        <v>0.1</v>
      </c>
      <c r="G1504">
        <f t="shared" si="23"/>
        <v>909.89</v>
      </c>
      <c r="H1504" t="str">
        <f>VLOOKUP(C1504,'products '!$A$1:$G$322,2,FALSE)</f>
        <v>Electra Straight 8 3i - 2018</v>
      </c>
    </row>
    <row r="1505" spans="1:8" x14ac:dyDescent="0.3">
      <c r="A1505">
        <v>1504</v>
      </c>
      <c r="B1505">
        <v>1</v>
      </c>
      <c r="C1505">
        <v>276</v>
      </c>
      <c r="D1505" s="2">
        <v>1</v>
      </c>
      <c r="E1505" s="2">
        <v>319.99</v>
      </c>
      <c r="F1505">
        <v>7.0000000000000007E-2</v>
      </c>
      <c r="G1505">
        <f t="shared" si="23"/>
        <v>319.92</v>
      </c>
      <c r="H1505" t="str">
        <f>VLOOKUP(C1505,'products '!$A$1:$G$322,2,FALSE)</f>
        <v>Trek Precaliber 24 (7-Speed) - Boys - 2018</v>
      </c>
    </row>
    <row r="1506" spans="1:8" x14ac:dyDescent="0.3">
      <c r="A1506">
        <v>1505</v>
      </c>
      <c r="B1506">
        <v>1</v>
      </c>
      <c r="C1506">
        <v>223</v>
      </c>
      <c r="D1506" s="2">
        <v>2</v>
      </c>
      <c r="E1506" s="2">
        <v>529.99</v>
      </c>
      <c r="F1506">
        <v>0.05</v>
      </c>
      <c r="G1506">
        <f t="shared" si="23"/>
        <v>1059.93</v>
      </c>
      <c r="H1506" t="str">
        <f>VLOOKUP(C1506,'products '!$A$1:$G$322,2,FALSE)</f>
        <v>Electra Cruiser Lux 3i - 2018</v>
      </c>
    </row>
    <row r="1507" spans="1:8" x14ac:dyDescent="0.3">
      <c r="A1507">
        <v>1506</v>
      </c>
      <c r="B1507">
        <v>1</v>
      </c>
      <c r="C1507">
        <v>184</v>
      </c>
      <c r="D1507" s="2">
        <v>1</v>
      </c>
      <c r="E1507" s="2">
        <v>3499.99</v>
      </c>
      <c r="F1507">
        <v>0.05</v>
      </c>
      <c r="G1507">
        <f t="shared" si="23"/>
        <v>3499.9399999999996</v>
      </c>
      <c r="H1507" t="str">
        <f>VLOOKUP(C1507,'products '!$A$1:$G$322,2,FALSE)</f>
        <v>Trek Domane SL 6 Disc - 2018</v>
      </c>
    </row>
    <row r="1508" spans="1:8" x14ac:dyDescent="0.3">
      <c r="A1508">
        <v>1507</v>
      </c>
      <c r="B1508">
        <v>1</v>
      </c>
      <c r="C1508">
        <v>39</v>
      </c>
      <c r="D1508" s="2">
        <v>2</v>
      </c>
      <c r="E1508" s="2">
        <v>1499.99</v>
      </c>
      <c r="F1508">
        <v>0.2</v>
      </c>
      <c r="G1508">
        <f t="shared" si="23"/>
        <v>2999.78</v>
      </c>
      <c r="H1508" t="str">
        <f>VLOOKUP(C1508,'products '!$A$1:$G$322,2,FALSE)</f>
        <v>Trek Stache 5 - 2017</v>
      </c>
    </row>
    <row r="1509" spans="1:8" x14ac:dyDescent="0.3">
      <c r="A1509">
        <v>1508</v>
      </c>
      <c r="B1509">
        <v>1</v>
      </c>
      <c r="C1509">
        <v>37</v>
      </c>
      <c r="D1509" s="2">
        <v>1</v>
      </c>
      <c r="E1509" s="2">
        <v>379.99</v>
      </c>
      <c r="F1509">
        <v>0.2</v>
      </c>
      <c r="G1509">
        <f t="shared" si="23"/>
        <v>379.79</v>
      </c>
      <c r="H1509" t="str">
        <f>VLOOKUP(C1509,'products '!$A$1:$G$322,2,FALSE)</f>
        <v>Haro Flightline One ST - 2017</v>
      </c>
    </row>
    <row r="1510" spans="1:8" x14ac:dyDescent="0.3">
      <c r="A1510">
        <v>1509</v>
      </c>
      <c r="B1510">
        <v>1</v>
      </c>
      <c r="C1510">
        <v>215</v>
      </c>
      <c r="D1510" s="2">
        <v>2</v>
      </c>
      <c r="E1510" s="2">
        <v>749.99</v>
      </c>
      <c r="F1510">
        <v>7.0000000000000007E-2</v>
      </c>
      <c r="G1510">
        <f t="shared" si="23"/>
        <v>1499.91</v>
      </c>
      <c r="H1510" t="str">
        <f>VLOOKUP(C1510,'products '!$A$1:$G$322,2,FALSE)</f>
        <v>Electra Queen of Hearts 3i - 2018</v>
      </c>
    </row>
    <row r="1511" spans="1:8" x14ac:dyDescent="0.3">
      <c r="A1511">
        <v>1510</v>
      </c>
      <c r="B1511">
        <v>1</v>
      </c>
      <c r="C1511">
        <v>142</v>
      </c>
      <c r="D1511" s="2">
        <v>2</v>
      </c>
      <c r="E1511" s="2">
        <v>3199.99</v>
      </c>
      <c r="F1511">
        <v>0.05</v>
      </c>
      <c r="G1511">
        <f t="shared" si="23"/>
        <v>6399.9299999999994</v>
      </c>
      <c r="H1511" t="str">
        <f>VLOOKUP(C1511,'products '!$A$1:$G$322,2,FALSE)</f>
        <v>Trek Fuel EX 8 29 XT - 2018</v>
      </c>
    </row>
    <row r="1512" spans="1:8" x14ac:dyDescent="0.3">
      <c r="A1512">
        <v>1511</v>
      </c>
      <c r="B1512">
        <v>1</v>
      </c>
      <c r="C1512">
        <v>144</v>
      </c>
      <c r="D1512" s="2">
        <v>2</v>
      </c>
      <c r="E1512" s="2">
        <v>1549.99</v>
      </c>
      <c r="F1512">
        <v>0.2</v>
      </c>
      <c r="G1512">
        <f t="shared" si="23"/>
        <v>3099.78</v>
      </c>
      <c r="H1512" t="str">
        <f>VLOOKUP(C1512,'products '!$A$1:$G$322,2,FALSE)</f>
        <v>Trek Domane ALR 4 Disc - 2018</v>
      </c>
    </row>
    <row r="1513" spans="1:8" x14ac:dyDescent="0.3">
      <c r="A1513">
        <v>1512</v>
      </c>
      <c r="B1513">
        <v>1</v>
      </c>
      <c r="C1513">
        <v>217</v>
      </c>
      <c r="D1513" s="2">
        <v>1</v>
      </c>
      <c r="E1513" s="2">
        <v>909.99</v>
      </c>
      <c r="F1513">
        <v>7.0000000000000007E-2</v>
      </c>
      <c r="G1513">
        <f t="shared" si="23"/>
        <v>909.92</v>
      </c>
      <c r="H1513" t="str">
        <f>VLOOKUP(C1513,'products '!$A$1:$G$322,2,FALSE)</f>
        <v>Electra Straight 8 3i - 2018</v>
      </c>
    </row>
    <row r="1514" spans="1:8" x14ac:dyDescent="0.3">
      <c r="A1514">
        <v>1513</v>
      </c>
      <c r="B1514">
        <v>1</v>
      </c>
      <c r="C1514">
        <v>166</v>
      </c>
      <c r="D1514" s="2">
        <v>1</v>
      </c>
      <c r="E1514" s="2">
        <v>749.99</v>
      </c>
      <c r="F1514">
        <v>0.1</v>
      </c>
      <c r="G1514">
        <f t="shared" si="23"/>
        <v>749.89</v>
      </c>
      <c r="H1514" t="str">
        <f>VLOOKUP(C1514,'products '!$A$1:$G$322,2,FALSE)</f>
        <v>Trek Domane AL 2 Women's - 2018</v>
      </c>
    </row>
    <row r="1515" spans="1:8" x14ac:dyDescent="0.3">
      <c r="A1515">
        <v>1514</v>
      </c>
      <c r="B1515">
        <v>1</v>
      </c>
      <c r="C1515">
        <v>240</v>
      </c>
      <c r="D1515" s="2">
        <v>2</v>
      </c>
      <c r="E1515" s="2">
        <v>899.99</v>
      </c>
      <c r="F1515">
        <v>0.1</v>
      </c>
      <c r="G1515">
        <f t="shared" si="23"/>
        <v>1799.88</v>
      </c>
      <c r="H1515" t="str">
        <f>VLOOKUP(C1515,'products '!$A$1:$G$322,2,FALSE)</f>
        <v>Electra Townie Commute 27D Ladies - 2018</v>
      </c>
    </row>
    <row r="1516" spans="1:8" x14ac:dyDescent="0.3">
      <c r="A1516">
        <v>1515</v>
      </c>
      <c r="B1516">
        <v>1</v>
      </c>
      <c r="C1516">
        <v>27</v>
      </c>
      <c r="D1516" s="2">
        <v>2</v>
      </c>
      <c r="E1516" s="2">
        <v>999.99</v>
      </c>
      <c r="F1516">
        <v>0.2</v>
      </c>
      <c r="G1516">
        <f t="shared" si="23"/>
        <v>1999.78</v>
      </c>
      <c r="H1516" t="str">
        <f>VLOOKUP(C1516,'products '!$A$1:$G$322,2,FALSE)</f>
        <v>Surly Big Dummy Frameset - 2017</v>
      </c>
    </row>
    <row r="1517" spans="1:8" x14ac:dyDescent="0.3">
      <c r="A1517">
        <v>1516</v>
      </c>
      <c r="B1517">
        <v>1</v>
      </c>
      <c r="C1517">
        <v>172</v>
      </c>
      <c r="D1517" s="2">
        <v>2</v>
      </c>
      <c r="E1517" s="2">
        <v>3199.99</v>
      </c>
      <c r="F1517">
        <v>0.1</v>
      </c>
      <c r="G1517">
        <f t="shared" si="23"/>
        <v>6399.8799999999992</v>
      </c>
      <c r="H1517" t="str">
        <f>VLOOKUP(C1517,'products '!$A$1:$G$322,2,FALSE)</f>
        <v>Trek Domane ALR Disc Frameset - 2018</v>
      </c>
    </row>
    <row r="1518" spans="1:8" x14ac:dyDescent="0.3">
      <c r="A1518">
        <v>1517</v>
      </c>
      <c r="B1518">
        <v>1</v>
      </c>
      <c r="C1518">
        <v>303</v>
      </c>
      <c r="D1518" s="2">
        <v>2</v>
      </c>
      <c r="E1518" s="2">
        <v>2599.9899999999998</v>
      </c>
      <c r="F1518">
        <v>7.0000000000000007E-2</v>
      </c>
      <c r="G1518">
        <f t="shared" si="23"/>
        <v>5199.91</v>
      </c>
      <c r="H1518" t="str">
        <f>VLOOKUP(C1518,'products '!$A$1:$G$322,2,FALSE)</f>
        <v>Electra Townie Go! 8i - 2017/2018</v>
      </c>
    </row>
    <row r="1519" spans="1:8" x14ac:dyDescent="0.3">
      <c r="A1519">
        <v>1518</v>
      </c>
      <c r="B1519">
        <v>1</v>
      </c>
      <c r="C1519">
        <v>304</v>
      </c>
      <c r="D1519" s="2">
        <v>2</v>
      </c>
      <c r="E1519" s="2">
        <v>679.99</v>
      </c>
      <c r="F1519">
        <v>0.1</v>
      </c>
      <c r="G1519">
        <f t="shared" si="23"/>
        <v>1359.88</v>
      </c>
      <c r="H1519" t="str">
        <f>VLOOKUP(C1519,'products '!$A$1:$G$322,2,FALSE)</f>
        <v>Electra Townie Original 21D EQ - 2017/2018</v>
      </c>
    </row>
    <row r="1520" spans="1:8" x14ac:dyDescent="0.3">
      <c r="A1520">
        <v>1519</v>
      </c>
      <c r="B1520">
        <v>1</v>
      </c>
      <c r="C1520">
        <v>150</v>
      </c>
      <c r="D1520" s="2">
        <v>1</v>
      </c>
      <c r="E1520" s="2">
        <v>4499.99</v>
      </c>
      <c r="F1520">
        <v>0.2</v>
      </c>
      <c r="G1520">
        <f t="shared" si="23"/>
        <v>4499.79</v>
      </c>
      <c r="H1520" t="str">
        <f>VLOOKUP(C1520,'products '!$A$1:$G$322,2,FALSE)</f>
        <v>Trek Emonda SL 7 - 2018</v>
      </c>
    </row>
    <row r="1521" spans="1:8" x14ac:dyDescent="0.3">
      <c r="A1521">
        <v>1520</v>
      </c>
      <c r="B1521">
        <v>1</v>
      </c>
      <c r="C1521">
        <v>186</v>
      </c>
      <c r="D1521" s="2">
        <v>1</v>
      </c>
      <c r="E1521" s="2">
        <v>4499.99</v>
      </c>
      <c r="F1521">
        <v>0.05</v>
      </c>
      <c r="G1521">
        <f t="shared" si="23"/>
        <v>4499.9399999999996</v>
      </c>
      <c r="H1521" t="str">
        <f>VLOOKUP(C1521,'products '!$A$1:$G$322,2,FALSE)</f>
        <v>Trek CrossRip+ - 2018</v>
      </c>
    </row>
    <row r="1522" spans="1:8" x14ac:dyDescent="0.3">
      <c r="A1522">
        <v>1521</v>
      </c>
      <c r="B1522">
        <v>1</v>
      </c>
      <c r="C1522">
        <v>100</v>
      </c>
      <c r="D1522" s="2">
        <v>1</v>
      </c>
      <c r="E1522" s="2">
        <v>489.99</v>
      </c>
      <c r="F1522">
        <v>0.2</v>
      </c>
      <c r="G1522">
        <f t="shared" si="23"/>
        <v>489.79</v>
      </c>
      <c r="H1522" t="str">
        <f>VLOOKUP(C1522,'products '!$A$1:$G$322,2,FALSE)</f>
        <v>Electra Townie 3i EQ (20-inch) - Boys' - 2017</v>
      </c>
    </row>
    <row r="1523" spans="1:8" x14ac:dyDescent="0.3">
      <c r="A1523">
        <v>1522</v>
      </c>
      <c r="B1523">
        <v>1</v>
      </c>
      <c r="C1523">
        <v>95</v>
      </c>
      <c r="D1523" s="2">
        <v>1</v>
      </c>
      <c r="E1523" s="2">
        <v>299.99</v>
      </c>
      <c r="F1523">
        <v>0.1</v>
      </c>
      <c r="G1523">
        <f t="shared" si="23"/>
        <v>299.89</v>
      </c>
      <c r="H1523" t="str">
        <f>VLOOKUP(C1523,'products '!$A$1:$G$322,2,FALSE)</f>
        <v>Electra Girl's Hawaii 1 16" - 2017</v>
      </c>
    </row>
    <row r="1524" spans="1:8" x14ac:dyDescent="0.3">
      <c r="A1524">
        <v>1523</v>
      </c>
      <c r="B1524">
        <v>1</v>
      </c>
      <c r="C1524">
        <v>311</v>
      </c>
      <c r="D1524" s="2">
        <v>2</v>
      </c>
      <c r="E1524" s="2">
        <v>749.99</v>
      </c>
      <c r="F1524">
        <v>0.2</v>
      </c>
      <c r="G1524">
        <f t="shared" si="23"/>
        <v>1499.78</v>
      </c>
      <c r="H1524" t="str">
        <f>VLOOKUP(C1524,'products '!$A$1:$G$322,2,FALSE)</f>
        <v>Electra Townie Commute 8D - 2018</v>
      </c>
    </row>
    <row r="1525" spans="1:8" x14ac:dyDescent="0.3">
      <c r="A1525">
        <v>1524</v>
      </c>
      <c r="B1525">
        <v>1</v>
      </c>
      <c r="C1525">
        <v>168</v>
      </c>
      <c r="D1525" s="2">
        <v>1</v>
      </c>
      <c r="E1525" s="2">
        <v>1549</v>
      </c>
      <c r="F1525">
        <v>0.1</v>
      </c>
      <c r="G1525">
        <f t="shared" si="23"/>
        <v>1548.9</v>
      </c>
      <c r="H1525" t="str">
        <f>VLOOKUP(C1525,'products '!$A$1:$G$322,2,FALSE)</f>
        <v>Surly Straggler - 2018</v>
      </c>
    </row>
    <row r="1526" spans="1:8" x14ac:dyDescent="0.3">
      <c r="A1526">
        <v>1525</v>
      </c>
      <c r="B1526">
        <v>1</v>
      </c>
      <c r="C1526">
        <v>156</v>
      </c>
      <c r="D1526" s="2">
        <v>1</v>
      </c>
      <c r="E1526" s="2">
        <v>6499.99</v>
      </c>
      <c r="F1526">
        <v>0.1</v>
      </c>
      <c r="G1526">
        <f t="shared" si="23"/>
        <v>6499.8899999999994</v>
      </c>
      <c r="H1526" t="str">
        <f>VLOOKUP(C1526,'products '!$A$1:$G$322,2,FALSE)</f>
        <v>Trek Domane SL Frameset - 2018</v>
      </c>
    </row>
    <row r="1527" spans="1:8" x14ac:dyDescent="0.3">
      <c r="A1527">
        <v>1526</v>
      </c>
      <c r="B1527">
        <v>1</v>
      </c>
      <c r="C1527">
        <v>151</v>
      </c>
      <c r="D1527" s="2">
        <v>1</v>
      </c>
      <c r="E1527" s="2">
        <v>1549.99</v>
      </c>
      <c r="F1527">
        <v>7.0000000000000007E-2</v>
      </c>
      <c r="G1527">
        <f t="shared" si="23"/>
        <v>1549.92</v>
      </c>
      <c r="H1527" t="str">
        <f>VLOOKUP(C1527,'products '!$A$1:$G$322,2,FALSE)</f>
        <v>Trek Domane ALR 4 Disc Women's - 2018</v>
      </c>
    </row>
    <row r="1528" spans="1:8" x14ac:dyDescent="0.3">
      <c r="A1528">
        <v>1527</v>
      </c>
      <c r="B1528">
        <v>1</v>
      </c>
      <c r="C1528">
        <v>33</v>
      </c>
      <c r="D1528" s="2">
        <v>1</v>
      </c>
      <c r="E1528" s="2">
        <v>469.99</v>
      </c>
      <c r="F1528">
        <v>0.1</v>
      </c>
      <c r="G1528">
        <f t="shared" si="23"/>
        <v>469.89</v>
      </c>
      <c r="H1528" t="str">
        <f>VLOOKUP(C1528,'products '!$A$1:$G$322,2,FALSE)</f>
        <v>Surly Wednesday Frameset - 2017</v>
      </c>
    </row>
    <row r="1529" spans="1:8" x14ac:dyDescent="0.3">
      <c r="A1529">
        <v>1528</v>
      </c>
      <c r="B1529">
        <v>1</v>
      </c>
      <c r="C1529">
        <v>229</v>
      </c>
      <c r="D1529" s="2">
        <v>2</v>
      </c>
      <c r="E1529" s="2">
        <v>429.99</v>
      </c>
      <c r="F1529">
        <v>0.2</v>
      </c>
      <c r="G1529">
        <f t="shared" si="23"/>
        <v>859.78</v>
      </c>
      <c r="H1529" t="str">
        <f>VLOOKUP(C1529,'products '!$A$1:$G$322,2,FALSE)</f>
        <v>Electra Cruiser Lux 1 - 2016/2018</v>
      </c>
    </row>
    <row r="1530" spans="1:8" x14ac:dyDescent="0.3">
      <c r="A1530">
        <v>1529</v>
      </c>
      <c r="B1530">
        <v>1</v>
      </c>
      <c r="C1530">
        <v>23</v>
      </c>
      <c r="D1530" s="2">
        <v>1</v>
      </c>
      <c r="E1530" s="2">
        <v>299.99</v>
      </c>
      <c r="F1530">
        <v>0.05</v>
      </c>
      <c r="G1530">
        <f t="shared" si="23"/>
        <v>299.94</v>
      </c>
      <c r="H1530" t="str">
        <f>VLOOKUP(C1530,'products '!$A$1:$G$322,2,FALSE)</f>
        <v>Electra Girl's Hawaii 1 (20-inch) - 2015/2016</v>
      </c>
    </row>
    <row r="1531" spans="1:8" x14ac:dyDescent="0.3">
      <c r="A1531">
        <v>1530</v>
      </c>
      <c r="B1531">
        <v>1</v>
      </c>
      <c r="C1531">
        <v>213</v>
      </c>
      <c r="D1531" s="2">
        <v>2</v>
      </c>
      <c r="E1531" s="2">
        <v>269.99</v>
      </c>
      <c r="F1531">
        <v>0.1</v>
      </c>
      <c r="G1531">
        <f t="shared" si="23"/>
        <v>539.88</v>
      </c>
      <c r="H1531" t="str">
        <f>VLOOKUP(C1531,'products '!$A$1:$G$322,2,FALSE)</f>
        <v>Electra Cruiser 1 - 2016/2017/2018</v>
      </c>
    </row>
    <row r="1532" spans="1:8" x14ac:dyDescent="0.3">
      <c r="A1532">
        <v>1531</v>
      </c>
      <c r="B1532">
        <v>1</v>
      </c>
      <c r="C1532">
        <v>128</v>
      </c>
      <c r="D1532" s="2">
        <v>1</v>
      </c>
      <c r="E1532" s="2">
        <v>1899</v>
      </c>
      <c r="F1532">
        <v>0.1</v>
      </c>
      <c r="G1532">
        <f t="shared" si="23"/>
        <v>1898.9</v>
      </c>
      <c r="H1532" t="str">
        <f>VLOOKUP(C1532,'products '!$A$1:$G$322,2,FALSE)</f>
        <v>Surly ECR 27.5 - 2018</v>
      </c>
    </row>
    <row r="1533" spans="1:8" x14ac:dyDescent="0.3">
      <c r="A1533">
        <v>1532</v>
      </c>
      <c r="B1533">
        <v>1</v>
      </c>
      <c r="C1533">
        <v>209</v>
      </c>
      <c r="D1533" s="2">
        <v>2</v>
      </c>
      <c r="E1533" s="2">
        <v>2999.99</v>
      </c>
      <c r="F1533">
        <v>7.0000000000000007E-2</v>
      </c>
      <c r="G1533">
        <f t="shared" si="23"/>
        <v>5999.91</v>
      </c>
      <c r="H1533" t="str">
        <f>VLOOKUP(C1533,'products '!$A$1:$G$322,2,FALSE)</f>
        <v>Trek Crockett 7 Disc - 2018</v>
      </c>
    </row>
    <row r="1534" spans="1:8" x14ac:dyDescent="0.3">
      <c r="A1534">
        <v>1533</v>
      </c>
      <c r="B1534">
        <v>1</v>
      </c>
      <c r="C1534">
        <v>274</v>
      </c>
      <c r="D1534" s="2">
        <v>2</v>
      </c>
      <c r="E1534" s="2">
        <v>229.99</v>
      </c>
      <c r="F1534">
        <v>0.1</v>
      </c>
      <c r="G1534">
        <f t="shared" si="23"/>
        <v>459.88</v>
      </c>
      <c r="H1534" t="str">
        <f>VLOOKUP(C1534,'products '!$A$1:$G$322,2,FALSE)</f>
        <v>Trek Precaliber 20 Boy's - 2018</v>
      </c>
    </row>
    <row r="1535" spans="1:8" x14ac:dyDescent="0.3">
      <c r="A1535">
        <v>1534</v>
      </c>
      <c r="B1535">
        <v>1</v>
      </c>
      <c r="C1535">
        <v>194</v>
      </c>
      <c r="D1535" s="2">
        <v>1</v>
      </c>
      <c r="E1535" s="2">
        <v>3499.99</v>
      </c>
      <c r="F1535">
        <v>0.1</v>
      </c>
      <c r="G1535">
        <f t="shared" si="23"/>
        <v>3499.89</v>
      </c>
      <c r="H1535" t="str">
        <f>VLOOKUP(C1535,'products '!$A$1:$G$322,2,FALSE)</f>
        <v>Trek XM700+ - 2018</v>
      </c>
    </row>
    <row r="1536" spans="1:8" x14ac:dyDescent="0.3">
      <c r="A1536">
        <v>1535</v>
      </c>
      <c r="B1536">
        <v>1</v>
      </c>
      <c r="C1536">
        <v>92</v>
      </c>
      <c r="D1536" s="2">
        <v>1</v>
      </c>
      <c r="E1536" s="2">
        <v>209.99</v>
      </c>
      <c r="F1536">
        <v>0.05</v>
      </c>
      <c r="G1536">
        <f t="shared" si="23"/>
        <v>209.94</v>
      </c>
      <c r="H1536" t="str">
        <f>VLOOKUP(C1536,'products '!$A$1:$G$322,2,FALSE)</f>
        <v>Haro Shredder 20 - 2017</v>
      </c>
    </row>
    <row r="1537" spans="1:8" x14ac:dyDescent="0.3">
      <c r="A1537">
        <v>1536</v>
      </c>
      <c r="B1537">
        <v>1</v>
      </c>
      <c r="C1537">
        <v>183</v>
      </c>
      <c r="D1537" s="2">
        <v>1</v>
      </c>
      <c r="E1537" s="2">
        <v>2199.9899999999998</v>
      </c>
      <c r="F1537">
        <v>0.2</v>
      </c>
      <c r="G1537">
        <f t="shared" si="23"/>
        <v>2199.79</v>
      </c>
      <c r="H1537" t="str">
        <f>VLOOKUP(C1537,'products '!$A$1:$G$322,2,FALSE)</f>
        <v>Trek Domane SL 5 Women's - 2018</v>
      </c>
    </row>
    <row r="1538" spans="1:8" x14ac:dyDescent="0.3">
      <c r="A1538">
        <v>1537</v>
      </c>
      <c r="B1538">
        <v>1</v>
      </c>
      <c r="C1538">
        <v>237</v>
      </c>
      <c r="D1538" s="2">
        <v>2</v>
      </c>
      <c r="E1538" s="2">
        <v>849.99</v>
      </c>
      <c r="F1538">
        <v>0.05</v>
      </c>
      <c r="G1538">
        <f t="shared" si="23"/>
        <v>1699.93</v>
      </c>
      <c r="H1538" t="str">
        <f>VLOOKUP(C1538,'products '!$A$1:$G$322,2,FALSE)</f>
        <v>Electra Relic 3i - 2018</v>
      </c>
    </row>
    <row r="1539" spans="1:8" x14ac:dyDescent="0.3">
      <c r="A1539">
        <v>1538</v>
      </c>
      <c r="B1539">
        <v>1</v>
      </c>
      <c r="C1539">
        <v>206</v>
      </c>
      <c r="D1539" s="2">
        <v>1</v>
      </c>
      <c r="E1539" s="2">
        <v>3299.99</v>
      </c>
      <c r="F1539">
        <v>7.0000000000000007E-2</v>
      </c>
      <c r="G1539">
        <f t="shared" ref="G1539:G1602" si="24">E1539*D1539-F1539</f>
        <v>3299.9199999999996</v>
      </c>
      <c r="H1539" t="str">
        <f>VLOOKUP(C1539,'products '!$A$1:$G$322,2,FALSE)</f>
        <v>Trek Boone 5 Disc - 2018</v>
      </c>
    </row>
    <row r="1540" spans="1:8" x14ac:dyDescent="0.3">
      <c r="A1540">
        <v>1539</v>
      </c>
      <c r="B1540">
        <v>1</v>
      </c>
      <c r="C1540">
        <v>6</v>
      </c>
      <c r="D1540" s="2">
        <v>2</v>
      </c>
      <c r="E1540" s="2">
        <v>469.99</v>
      </c>
      <c r="F1540">
        <v>0.05</v>
      </c>
      <c r="G1540">
        <f t="shared" si="24"/>
        <v>939.93000000000006</v>
      </c>
      <c r="H1540" t="str">
        <f>VLOOKUP(C1540,'products '!$A$1:$G$322,2,FALSE)</f>
        <v>Surly Ice Cream Truck Frameset - 2016</v>
      </c>
    </row>
    <row r="1541" spans="1:8" x14ac:dyDescent="0.3">
      <c r="A1541">
        <v>1540</v>
      </c>
      <c r="B1541">
        <v>1</v>
      </c>
      <c r="C1541">
        <v>71</v>
      </c>
      <c r="D1541" s="2">
        <v>2</v>
      </c>
      <c r="E1541" s="2">
        <v>416.99</v>
      </c>
      <c r="F1541">
        <v>0.05</v>
      </c>
      <c r="G1541">
        <f t="shared" si="24"/>
        <v>833.93000000000006</v>
      </c>
      <c r="H1541" t="str">
        <f>VLOOKUP(C1541,'products '!$A$1:$G$322,2,FALSE)</f>
        <v>Sun Bicycles Atlas X-Type - 2017</v>
      </c>
    </row>
    <row r="1542" spans="1:8" x14ac:dyDescent="0.3">
      <c r="A1542">
        <v>1541</v>
      </c>
      <c r="B1542">
        <v>1</v>
      </c>
      <c r="C1542">
        <v>155</v>
      </c>
      <c r="D1542" s="2">
        <v>2</v>
      </c>
      <c r="E1542" s="2">
        <v>11999.99</v>
      </c>
      <c r="F1542">
        <v>0.1</v>
      </c>
      <c r="G1542">
        <f t="shared" si="24"/>
        <v>23999.88</v>
      </c>
      <c r="H1542" t="str">
        <f>VLOOKUP(C1542,'products '!$A$1:$G$322,2,FALSE)</f>
        <v>Trek Domane SLR 9 Disc - 2018</v>
      </c>
    </row>
    <row r="1543" spans="1:8" x14ac:dyDescent="0.3">
      <c r="A1543">
        <v>1542</v>
      </c>
      <c r="B1543">
        <v>1</v>
      </c>
      <c r="C1543">
        <v>79</v>
      </c>
      <c r="D1543" s="2">
        <v>1</v>
      </c>
      <c r="E1543" s="2">
        <v>402.99</v>
      </c>
      <c r="F1543">
        <v>0.2</v>
      </c>
      <c r="G1543">
        <f t="shared" si="24"/>
        <v>402.79</v>
      </c>
      <c r="H1543" t="str">
        <f>VLOOKUP(C1543,'products '!$A$1:$G$322,2,FALSE)</f>
        <v>Sun Bicycles Boardwalk (24-inch Wheels) - 2017</v>
      </c>
    </row>
    <row r="1544" spans="1:8" x14ac:dyDescent="0.3">
      <c r="A1544">
        <v>1543</v>
      </c>
      <c r="B1544">
        <v>1</v>
      </c>
      <c r="C1544">
        <v>108</v>
      </c>
      <c r="D1544" s="2">
        <v>2</v>
      </c>
      <c r="E1544" s="2">
        <v>449.99</v>
      </c>
      <c r="F1544">
        <v>0.1</v>
      </c>
      <c r="G1544">
        <f t="shared" si="24"/>
        <v>899.88</v>
      </c>
      <c r="H1544" t="str">
        <f>VLOOKUP(C1544,'products '!$A$1:$G$322,2,FALSE)</f>
        <v>Sun Bicycles Cruz 3 - Women's - 2017</v>
      </c>
    </row>
    <row r="1545" spans="1:8" x14ac:dyDescent="0.3">
      <c r="A1545">
        <v>1544</v>
      </c>
      <c r="B1545">
        <v>1</v>
      </c>
      <c r="C1545">
        <v>194</v>
      </c>
      <c r="D1545" s="2">
        <v>2</v>
      </c>
      <c r="E1545" s="2">
        <v>3499.99</v>
      </c>
      <c r="F1545">
        <v>0.1</v>
      </c>
      <c r="G1545">
        <f t="shared" si="24"/>
        <v>6999.8799999999992</v>
      </c>
      <c r="H1545" t="str">
        <f>VLOOKUP(C1545,'products '!$A$1:$G$322,2,FALSE)</f>
        <v>Trek XM700+ - 2018</v>
      </c>
    </row>
    <row r="1546" spans="1:8" x14ac:dyDescent="0.3">
      <c r="A1546">
        <v>1545</v>
      </c>
      <c r="B1546">
        <v>1</v>
      </c>
      <c r="C1546">
        <v>45</v>
      </c>
      <c r="D1546" s="2">
        <v>1</v>
      </c>
      <c r="E1546" s="2">
        <v>869.99</v>
      </c>
      <c r="F1546">
        <v>0.1</v>
      </c>
      <c r="G1546">
        <f t="shared" si="24"/>
        <v>869.89</v>
      </c>
      <c r="H1546" t="str">
        <f>VLOOKUP(C1546,'products '!$A$1:$G$322,2,FALSE)</f>
        <v>Haro SR 1.2 - 2017</v>
      </c>
    </row>
    <row r="1547" spans="1:8" x14ac:dyDescent="0.3">
      <c r="A1547">
        <v>1546</v>
      </c>
      <c r="B1547">
        <v>1</v>
      </c>
      <c r="C1547">
        <v>156</v>
      </c>
      <c r="D1547" s="2">
        <v>1</v>
      </c>
      <c r="E1547" s="2">
        <v>6499.99</v>
      </c>
      <c r="F1547">
        <v>0.1</v>
      </c>
      <c r="G1547">
        <f t="shared" si="24"/>
        <v>6499.8899999999994</v>
      </c>
      <c r="H1547" t="str">
        <f>VLOOKUP(C1547,'products '!$A$1:$G$322,2,FALSE)</f>
        <v>Trek Domane SL Frameset - 2018</v>
      </c>
    </row>
    <row r="1548" spans="1:8" x14ac:dyDescent="0.3">
      <c r="A1548">
        <v>1547</v>
      </c>
      <c r="B1548">
        <v>1</v>
      </c>
      <c r="C1548">
        <v>106</v>
      </c>
      <c r="D1548" s="2">
        <v>2</v>
      </c>
      <c r="E1548" s="2">
        <v>449.99</v>
      </c>
      <c r="F1548">
        <v>0.2</v>
      </c>
      <c r="G1548">
        <f t="shared" si="24"/>
        <v>899.78</v>
      </c>
      <c r="H1548" t="str">
        <f>VLOOKUP(C1548,'products '!$A$1:$G$322,2,FALSE)</f>
        <v>Sun Bicycles Cruz 3 - 2017</v>
      </c>
    </row>
    <row r="1549" spans="1:8" x14ac:dyDescent="0.3">
      <c r="A1549">
        <v>1548</v>
      </c>
      <c r="B1549">
        <v>1</v>
      </c>
      <c r="C1549">
        <v>32</v>
      </c>
      <c r="D1549" s="2">
        <v>1</v>
      </c>
      <c r="E1549" s="2">
        <v>469.99</v>
      </c>
      <c r="F1549">
        <v>0.1</v>
      </c>
      <c r="G1549">
        <f t="shared" si="24"/>
        <v>469.89</v>
      </c>
      <c r="H1549" t="str">
        <f>VLOOKUP(C1549,'products '!$A$1:$G$322,2,FALSE)</f>
        <v>Trek Farley Alloy Frameset - 2017</v>
      </c>
    </row>
    <row r="1550" spans="1:8" x14ac:dyDescent="0.3">
      <c r="A1550">
        <v>1549</v>
      </c>
      <c r="B1550">
        <v>1</v>
      </c>
      <c r="C1550">
        <v>158</v>
      </c>
      <c r="D1550" s="2">
        <v>1</v>
      </c>
      <c r="E1550" s="2">
        <v>959.99</v>
      </c>
      <c r="F1550">
        <v>0.2</v>
      </c>
      <c r="G1550">
        <f t="shared" si="24"/>
        <v>959.79</v>
      </c>
      <c r="H1550" t="str">
        <f>VLOOKUP(C1550,'products '!$A$1:$G$322,2,FALSE)</f>
        <v>Trek CrossRip 1 - 2018</v>
      </c>
    </row>
    <row r="1551" spans="1:8" x14ac:dyDescent="0.3">
      <c r="A1551">
        <v>1550</v>
      </c>
      <c r="B1551">
        <v>1</v>
      </c>
      <c r="C1551">
        <v>315</v>
      </c>
      <c r="D1551" s="2">
        <v>2</v>
      </c>
      <c r="E1551" s="2">
        <v>559.99</v>
      </c>
      <c r="F1551">
        <v>0.05</v>
      </c>
      <c r="G1551">
        <f t="shared" si="24"/>
        <v>1119.93</v>
      </c>
      <c r="H1551" t="str">
        <f>VLOOKUP(C1551,'products '!$A$1:$G$322,2,FALSE)</f>
        <v>Electra Townie Original 21D Ladies' - 2018</v>
      </c>
    </row>
    <row r="1552" spans="1:8" x14ac:dyDescent="0.3">
      <c r="A1552">
        <v>1551</v>
      </c>
      <c r="B1552">
        <v>1</v>
      </c>
      <c r="C1552">
        <v>207</v>
      </c>
      <c r="D1552" s="2">
        <v>2</v>
      </c>
      <c r="E1552" s="2">
        <v>3999.99</v>
      </c>
      <c r="F1552">
        <v>0.2</v>
      </c>
      <c r="G1552">
        <f t="shared" si="24"/>
        <v>7999.78</v>
      </c>
      <c r="H1552" t="str">
        <f>VLOOKUP(C1552,'products '!$A$1:$G$322,2,FALSE)</f>
        <v>Trek Boone 7 Disc - 2018</v>
      </c>
    </row>
    <row r="1553" spans="1:8" x14ac:dyDescent="0.3">
      <c r="A1553">
        <v>1552</v>
      </c>
      <c r="B1553">
        <v>1</v>
      </c>
      <c r="C1553">
        <v>197</v>
      </c>
      <c r="D1553" s="2">
        <v>1</v>
      </c>
      <c r="E1553" s="2">
        <v>2299.9899999999998</v>
      </c>
      <c r="F1553">
        <v>0.1</v>
      </c>
      <c r="G1553">
        <f t="shared" si="24"/>
        <v>2299.89</v>
      </c>
      <c r="H1553" t="str">
        <f>VLOOKUP(C1553,'products '!$A$1:$G$322,2,FALSE)</f>
        <v>Trek Verve+ Lowstep - 2018</v>
      </c>
    </row>
    <row r="1554" spans="1:8" x14ac:dyDescent="0.3">
      <c r="A1554">
        <v>1553</v>
      </c>
      <c r="B1554">
        <v>1</v>
      </c>
      <c r="C1554">
        <v>102</v>
      </c>
      <c r="D1554" s="2">
        <v>1</v>
      </c>
      <c r="E1554" s="2">
        <v>489.99</v>
      </c>
      <c r="F1554">
        <v>7.0000000000000007E-2</v>
      </c>
      <c r="G1554">
        <f t="shared" si="24"/>
        <v>489.92</v>
      </c>
      <c r="H1554" t="str">
        <f>VLOOKUP(C1554,'products '!$A$1:$G$322,2,FALSE)</f>
        <v>Electra Townie Original 7D - 2017</v>
      </c>
    </row>
    <row r="1555" spans="1:8" x14ac:dyDescent="0.3">
      <c r="A1555">
        <v>1554</v>
      </c>
      <c r="B1555">
        <v>1</v>
      </c>
      <c r="C1555">
        <v>166</v>
      </c>
      <c r="D1555" s="2">
        <v>1</v>
      </c>
      <c r="E1555" s="2">
        <v>749.99</v>
      </c>
      <c r="F1555">
        <v>0.05</v>
      </c>
      <c r="G1555">
        <f t="shared" si="24"/>
        <v>749.94</v>
      </c>
      <c r="H1555" t="str">
        <f>VLOOKUP(C1555,'products '!$A$1:$G$322,2,FALSE)</f>
        <v>Trek Domane AL 2 Women's - 2018</v>
      </c>
    </row>
    <row r="1556" spans="1:8" x14ac:dyDescent="0.3">
      <c r="A1556">
        <v>1555</v>
      </c>
      <c r="B1556">
        <v>1</v>
      </c>
      <c r="C1556">
        <v>24</v>
      </c>
      <c r="D1556" s="2">
        <v>2</v>
      </c>
      <c r="E1556" s="2">
        <v>549.99</v>
      </c>
      <c r="F1556">
        <v>0.1</v>
      </c>
      <c r="G1556">
        <f t="shared" si="24"/>
        <v>1099.8800000000001</v>
      </c>
      <c r="H1556" t="str">
        <f>VLOOKUP(C1556,'products '!$A$1:$G$322,2,FALSE)</f>
        <v>Electra Townie Original 21D - 2016</v>
      </c>
    </row>
    <row r="1557" spans="1:8" x14ac:dyDescent="0.3">
      <c r="A1557">
        <v>1556</v>
      </c>
      <c r="B1557">
        <v>1</v>
      </c>
      <c r="C1557">
        <v>49</v>
      </c>
      <c r="D1557" s="2">
        <v>2</v>
      </c>
      <c r="E1557" s="2">
        <v>3499.99</v>
      </c>
      <c r="F1557">
        <v>0.2</v>
      </c>
      <c r="G1557">
        <f t="shared" si="24"/>
        <v>6999.78</v>
      </c>
      <c r="H1557" t="str">
        <f>VLOOKUP(C1557,'products '!$A$1:$G$322,2,FALSE)</f>
        <v>Trek Domane SL 6 - 2017</v>
      </c>
    </row>
    <row r="1558" spans="1:8" x14ac:dyDescent="0.3">
      <c r="A1558">
        <v>1557</v>
      </c>
      <c r="B1558">
        <v>1</v>
      </c>
      <c r="C1558">
        <v>163</v>
      </c>
      <c r="D1558" s="2">
        <v>2</v>
      </c>
      <c r="E1558" s="2">
        <v>1349</v>
      </c>
      <c r="F1558">
        <v>7.0000000000000007E-2</v>
      </c>
      <c r="G1558">
        <f t="shared" si="24"/>
        <v>2697.93</v>
      </c>
      <c r="H1558" t="str">
        <f>VLOOKUP(C1558,'products '!$A$1:$G$322,2,FALSE)</f>
        <v>Surly Pack Rat - 2018</v>
      </c>
    </row>
    <row r="1559" spans="1:8" x14ac:dyDescent="0.3">
      <c r="A1559">
        <v>1558</v>
      </c>
      <c r="B1559">
        <v>1</v>
      </c>
      <c r="C1559">
        <v>46</v>
      </c>
      <c r="D1559" s="2">
        <v>2</v>
      </c>
      <c r="E1559" s="2">
        <v>1409.99</v>
      </c>
      <c r="F1559">
        <v>7.0000000000000007E-2</v>
      </c>
      <c r="G1559">
        <f t="shared" si="24"/>
        <v>2819.91</v>
      </c>
      <c r="H1559" t="str">
        <f>VLOOKUP(C1559,'products '!$A$1:$G$322,2,FALSE)</f>
        <v>Haro SR 1.3 - 2017</v>
      </c>
    </row>
    <row r="1560" spans="1:8" x14ac:dyDescent="0.3">
      <c r="A1560">
        <v>1559</v>
      </c>
      <c r="B1560">
        <v>1</v>
      </c>
      <c r="C1560">
        <v>101</v>
      </c>
      <c r="D1560" s="2">
        <v>2</v>
      </c>
      <c r="E1560" s="2">
        <v>339.99</v>
      </c>
      <c r="F1560">
        <v>7.0000000000000007E-2</v>
      </c>
      <c r="G1560">
        <f t="shared" si="24"/>
        <v>679.91</v>
      </c>
      <c r="H1560" t="str">
        <f>VLOOKUP(C1560,'products '!$A$1:$G$322,2,FALSE)</f>
        <v>Electra Townie 7D (20-inch) - Boys' - 2017</v>
      </c>
    </row>
    <row r="1561" spans="1:8" x14ac:dyDescent="0.3">
      <c r="A1561">
        <v>1560</v>
      </c>
      <c r="B1561">
        <v>1</v>
      </c>
      <c r="C1561">
        <v>118</v>
      </c>
      <c r="D1561" s="2">
        <v>2</v>
      </c>
      <c r="E1561" s="2">
        <v>999.99</v>
      </c>
      <c r="F1561">
        <v>0.2</v>
      </c>
      <c r="G1561">
        <f t="shared" si="24"/>
        <v>1999.78</v>
      </c>
      <c r="H1561" t="str">
        <f>VLOOKUP(C1561,'products '!$A$1:$G$322,2,FALSE)</f>
        <v>Trek X-Caliber 8 - 2018</v>
      </c>
    </row>
    <row r="1562" spans="1:8" x14ac:dyDescent="0.3">
      <c r="A1562">
        <v>1561</v>
      </c>
      <c r="B1562">
        <v>1</v>
      </c>
      <c r="C1562">
        <v>181</v>
      </c>
      <c r="D1562" s="2">
        <v>2</v>
      </c>
      <c r="E1562" s="2">
        <v>2199.9899999999998</v>
      </c>
      <c r="F1562">
        <v>7.0000000000000007E-2</v>
      </c>
      <c r="G1562">
        <f t="shared" si="24"/>
        <v>4399.91</v>
      </c>
      <c r="H1562" t="str">
        <f>VLOOKUP(C1562,'products '!$A$1:$G$322,2,FALSE)</f>
        <v>Trek Domane SL 5 - 2018</v>
      </c>
    </row>
    <row r="1563" spans="1:8" x14ac:dyDescent="0.3">
      <c r="A1563">
        <v>1562</v>
      </c>
      <c r="B1563">
        <v>1</v>
      </c>
      <c r="C1563">
        <v>54</v>
      </c>
      <c r="D1563" s="2">
        <v>1</v>
      </c>
      <c r="E1563" s="2">
        <v>3199.99</v>
      </c>
      <c r="F1563">
        <v>0.2</v>
      </c>
      <c r="G1563">
        <f t="shared" si="24"/>
        <v>3199.79</v>
      </c>
      <c r="H1563" t="str">
        <f>VLOOKUP(C1563,'products '!$A$1:$G$322,2,FALSE)</f>
        <v>Trek Domane SL Disc Frameset - 2017</v>
      </c>
    </row>
    <row r="1564" spans="1:8" x14ac:dyDescent="0.3">
      <c r="A1564">
        <v>1563</v>
      </c>
      <c r="B1564">
        <v>1</v>
      </c>
      <c r="C1564">
        <v>188</v>
      </c>
      <c r="D1564" s="2">
        <v>1</v>
      </c>
      <c r="E1564" s="2">
        <v>3499.99</v>
      </c>
      <c r="F1564">
        <v>7.0000000000000007E-2</v>
      </c>
      <c r="G1564">
        <f t="shared" si="24"/>
        <v>3499.9199999999996</v>
      </c>
      <c r="H1564" t="str">
        <f>VLOOKUP(C1564,'products '!$A$1:$G$322,2,FALSE)</f>
        <v>Trek XM700+ Lowstep - 2018</v>
      </c>
    </row>
    <row r="1565" spans="1:8" x14ac:dyDescent="0.3">
      <c r="A1565">
        <v>1564</v>
      </c>
      <c r="B1565">
        <v>1</v>
      </c>
      <c r="C1565">
        <v>309</v>
      </c>
      <c r="D1565" s="2">
        <v>1</v>
      </c>
      <c r="E1565" s="2">
        <v>899.99</v>
      </c>
      <c r="F1565">
        <v>7.0000000000000007E-2</v>
      </c>
      <c r="G1565">
        <f t="shared" si="24"/>
        <v>899.92</v>
      </c>
      <c r="H1565" t="str">
        <f>VLOOKUP(C1565,'products '!$A$1:$G$322,2,FALSE)</f>
        <v>Electra Townie Commute 27D - 2018</v>
      </c>
    </row>
    <row r="1566" spans="1:8" x14ac:dyDescent="0.3">
      <c r="A1566">
        <v>1565</v>
      </c>
      <c r="B1566">
        <v>1</v>
      </c>
      <c r="C1566">
        <v>37</v>
      </c>
      <c r="D1566" s="2">
        <v>1</v>
      </c>
      <c r="E1566" s="2">
        <v>379.99</v>
      </c>
      <c r="F1566">
        <v>7.0000000000000007E-2</v>
      </c>
      <c r="G1566">
        <f t="shared" si="24"/>
        <v>379.92</v>
      </c>
      <c r="H1566" t="str">
        <f>VLOOKUP(C1566,'products '!$A$1:$G$322,2,FALSE)</f>
        <v>Haro Flightline One ST - 2017</v>
      </c>
    </row>
    <row r="1567" spans="1:8" x14ac:dyDescent="0.3">
      <c r="A1567">
        <v>1566</v>
      </c>
      <c r="B1567">
        <v>1</v>
      </c>
      <c r="C1567">
        <v>179</v>
      </c>
      <c r="D1567" s="2">
        <v>1</v>
      </c>
      <c r="E1567" s="2">
        <v>919.99</v>
      </c>
      <c r="F1567">
        <v>0.05</v>
      </c>
      <c r="G1567">
        <f t="shared" si="24"/>
        <v>919.94</v>
      </c>
      <c r="H1567" t="str">
        <f>VLOOKUP(C1567,'products '!$A$1:$G$322,2,FALSE)</f>
        <v>Trek Domane AL 3 - 2018</v>
      </c>
    </row>
    <row r="1568" spans="1:8" x14ac:dyDescent="0.3">
      <c r="A1568">
        <v>1567</v>
      </c>
      <c r="B1568">
        <v>1</v>
      </c>
      <c r="C1568">
        <v>279</v>
      </c>
      <c r="D1568" s="2">
        <v>1</v>
      </c>
      <c r="E1568" s="2">
        <v>319.99</v>
      </c>
      <c r="F1568">
        <v>0.2</v>
      </c>
      <c r="G1568">
        <f t="shared" si="24"/>
        <v>319.79000000000002</v>
      </c>
      <c r="H1568" t="str">
        <f>VLOOKUP(C1568,'products '!$A$1:$G$322,2,FALSE)</f>
        <v>Trek Precaliber 24 7-speed Girl's - 2018</v>
      </c>
    </row>
    <row r="1569" spans="1:8" x14ac:dyDescent="0.3">
      <c r="A1569">
        <v>1568</v>
      </c>
      <c r="B1569">
        <v>1</v>
      </c>
      <c r="C1569">
        <v>146</v>
      </c>
      <c r="D1569" s="2">
        <v>1</v>
      </c>
      <c r="E1569" s="2">
        <v>4999.99</v>
      </c>
      <c r="F1569">
        <v>0.2</v>
      </c>
      <c r="G1569">
        <f t="shared" si="24"/>
        <v>4999.79</v>
      </c>
      <c r="H1569" t="str">
        <f>VLOOKUP(C1569,'products '!$A$1:$G$322,2,FALSE)</f>
        <v>Trek Domane SLR 6 - 2018</v>
      </c>
    </row>
    <row r="1570" spans="1:8" x14ac:dyDescent="0.3">
      <c r="A1570">
        <v>1569</v>
      </c>
      <c r="B1570">
        <v>1</v>
      </c>
      <c r="C1570">
        <v>252</v>
      </c>
      <c r="D1570" s="2">
        <v>1</v>
      </c>
      <c r="E1570" s="2">
        <v>2999.99</v>
      </c>
      <c r="F1570">
        <v>0.1</v>
      </c>
      <c r="G1570">
        <f t="shared" si="24"/>
        <v>2999.89</v>
      </c>
      <c r="H1570" t="str">
        <f>VLOOKUP(C1570,'products '!$A$1:$G$322,2,FALSE)</f>
        <v>Electra Townie Commute Go! Ladies' - 2018</v>
      </c>
    </row>
    <row r="1571" spans="1:8" x14ac:dyDescent="0.3">
      <c r="A1571">
        <v>1570</v>
      </c>
      <c r="B1571">
        <v>1</v>
      </c>
      <c r="C1571">
        <v>155</v>
      </c>
      <c r="D1571" s="2">
        <v>1</v>
      </c>
      <c r="E1571" s="2">
        <v>11999.99</v>
      </c>
      <c r="F1571">
        <v>7.0000000000000007E-2</v>
      </c>
      <c r="G1571">
        <f t="shared" si="24"/>
        <v>11999.92</v>
      </c>
      <c r="H1571" t="str">
        <f>VLOOKUP(C1571,'products '!$A$1:$G$322,2,FALSE)</f>
        <v>Trek Domane SLR 9 Disc - 2018</v>
      </c>
    </row>
    <row r="1572" spans="1:8" x14ac:dyDescent="0.3">
      <c r="A1572">
        <v>1571</v>
      </c>
      <c r="B1572">
        <v>1</v>
      </c>
      <c r="C1572">
        <v>312</v>
      </c>
      <c r="D1572" s="2">
        <v>2</v>
      </c>
      <c r="E1572" s="2">
        <v>699.99</v>
      </c>
      <c r="F1572">
        <v>0.1</v>
      </c>
      <c r="G1572">
        <f t="shared" si="24"/>
        <v>1399.88</v>
      </c>
      <c r="H1572" t="str">
        <f>VLOOKUP(C1572,'products '!$A$1:$G$322,2,FALSE)</f>
        <v>Electra Townie Commute 8D Ladies' - 2018</v>
      </c>
    </row>
    <row r="1573" spans="1:8" x14ac:dyDescent="0.3">
      <c r="A1573">
        <v>1572</v>
      </c>
      <c r="B1573">
        <v>1</v>
      </c>
      <c r="C1573">
        <v>216</v>
      </c>
      <c r="D1573" s="2">
        <v>2</v>
      </c>
      <c r="E1573" s="2">
        <v>899.99</v>
      </c>
      <c r="F1573">
        <v>0.05</v>
      </c>
      <c r="G1573">
        <f t="shared" si="24"/>
        <v>1799.93</v>
      </c>
      <c r="H1573" t="str">
        <f>VLOOKUP(C1573,'products '!$A$1:$G$322,2,FALSE)</f>
        <v>Electra Super Moto 8i - 2018</v>
      </c>
    </row>
    <row r="1574" spans="1:8" x14ac:dyDescent="0.3">
      <c r="A1574">
        <v>1573</v>
      </c>
      <c r="B1574">
        <v>1</v>
      </c>
      <c r="C1574">
        <v>9</v>
      </c>
      <c r="D1574" s="2">
        <v>1</v>
      </c>
      <c r="E1574" s="2">
        <v>2999.99</v>
      </c>
      <c r="F1574">
        <v>0.05</v>
      </c>
      <c r="G1574">
        <f t="shared" si="24"/>
        <v>2999.9399999999996</v>
      </c>
      <c r="H1574" t="str">
        <f>VLOOKUP(C1574,'products '!$A$1:$G$322,2,FALSE)</f>
        <v>Trek Conduit+ - 2016</v>
      </c>
    </row>
    <row r="1575" spans="1:8" x14ac:dyDescent="0.3">
      <c r="A1575">
        <v>1574</v>
      </c>
      <c r="B1575">
        <v>1</v>
      </c>
      <c r="C1575">
        <v>127</v>
      </c>
      <c r="D1575" s="2">
        <v>1</v>
      </c>
      <c r="E1575" s="2">
        <v>469.99</v>
      </c>
      <c r="F1575">
        <v>0.1</v>
      </c>
      <c r="G1575">
        <f t="shared" si="24"/>
        <v>469.89</v>
      </c>
      <c r="H1575" t="str">
        <f>VLOOKUP(C1575,'products '!$A$1:$G$322,2,FALSE)</f>
        <v>Surly Pack Rat Frameset - 2018</v>
      </c>
    </row>
    <row r="1576" spans="1:8" x14ac:dyDescent="0.3">
      <c r="A1576">
        <v>1575</v>
      </c>
      <c r="B1576">
        <v>1</v>
      </c>
      <c r="C1576">
        <v>44</v>
      </c>
      <c r="D1576" s="2">
        <v>1</v>
      </c>
      <c r="E1576" s="2">
        <v>539.99</v>
      </c>
      <c r="F1576">
        <v>7.0000000000000007E-2</v>
      </c>
      <c r="G1576">
        <f t="shared" si="24"/>
        <v>539.91999999999996</v>
      </c>
      <c r="H1576" t="str">
        <f>VLOOKUP(C1576,'products '!$A$1:$G$322,2,FALSE)</f>
        <v>Haro SR 1.1 - 2017</v>
      </c>
    </row>
    <row r="1577" spans="1:8" x14ac:dyDescent="0.3">
      <c r="A1577">
        <v>1576</v>
      </c>
      <c r="B1577">
        <v>1</v>
      </c>
      <c r="C1577">
        <v>69</v>
      </c>
      <c r="D1577" s="2">
        <v>1</v>
      </c>
      <c r="E1577" s="2">
        <v>416.99</v>
      </c>
      <c r="F1577">
        <v>0.05</v>
      </c>
      <c r="G1577">
        <f t="shared" si="24"/>
        <v>416.94</v>
      </c>
      <c r="H1577" t="str">
        <f>VLOOKUP(C1577,'products '!$A$1:$G$322,2,FALSE)</f>
        <v>Sun Bicycles Cruz 7 - 2017</v>
      </c>
    </row>
    <row r="1578" spans="1:8" x14ac:dyDescent="0.3">
      <c r="A1578">
        <v>1577</v>
      </c>
      <c r="B1578">
        <v>1</v>
      </c>
      <c r="C1578">
        <v>298</v>
      </c>
      <c r="D1578" s="2">
        <v>2</v>
      </c>
      <c r="E1578" s="2">
        <v>279.99</v>
      </c>
      <c r="F1578">
        <v>0.05</v>
      </c>
      <c r="G1578">
        <f t="shared" si="24"/>
        <v>559.93000000000006</v>
      </c>
      <c r="H1578" t="str">
        <f>VLOOKUP(C1578,'products '!$A$1:$G$322,2,FALSE)</f>
        <v>Electra Water Lily 1 (16-inch) - Girl's - 2018</v>
      </c>
    </row>
    <row r="1579" spans="1:8" x14ac:dyDescent="0.3">
      <c r="A1579">
        <v>1578</v>
      </c>
      <c r="B1579">
        <v>1</v>
      </c>
      <c r="C1579">
        <v>204</v>
      </c>
      <c r="D1579" s="2">
        <v>2</v>
      </c>
      <c r="E1579" s="2">
        <v>3599.99</v>
      </c>
      <c r="F1579">
        <v>7.0000000000000007E-2</v>
      </c>
      <c r="G1579">
        <f t="shared" si="24"/>
        <v>7199.91</v>
      </c>
      <c r="H1579" t="str">
        <f>VLOOKUP(C1579,'products '!$A$1:$G$322,2,FALSE)</f>
        <v>Trek Super Commuter+ 7 - 2018</v>
      </c>
    </row>
    <row r="1580" spans="1:8" x14ac:dyDescent="0.3">
      <c r="A1580">
        <v>1579</v>
      </c>
      <c r="B1580">
        <v>1</v>
      </c>
      <c r="C1580">
        <v>49</v>
      </c>
      <c r="D1580" s="2">
        <v>1</v>
      </c>
      <c r="E1580" s="2">
        <v>3499.99</v>
      </c>
      <c r="F1580">
        <v>0.05</v>
      </c>
      <c r="G1580">
        <f t="shared" si="24"/>
        <v>3499.9399999999996</v>
      </c>
      <c r="H1580" t="str">
        <f>VLOOKUP(C1580,'products '!$A$1:$G$322,2,FALSE)</f>
        <v>Trek Domane SL 6 - 2017</v>
      </c>
    </row>
    <row r="1581" spans="1:8" x14ac:dyDescent="0.3">
      <c r="A1581">
        <v>1580</v>
      </c>
      <c r="B1581">
        <v>1</v>
      </c>
      <c r="C1581">
        <v>119</v>
      </c>
      <c r="D1581" s="2">
        <v>2</v>
      </c>
      <c r="E1581" s="2">
        <v>469.99</v>
      </c>
      <c r="F1581">
        <v>7.0000000000000007E-2</v>
      </c>
      <c r="G1581">
        <f t="shared" si="24"/>
        <v>939.91</v>
      </c>
      <c r="H1581" t="str">
        <f>VLOOKUP(C1581,'products '!$A$1:$G$322,2,FALSE)</f>
        <v>Trek Kids' Neko - 2018</v>
      </c>
    </row>
    <row r="1582" spans="1:8" x14ac:dyDescent="0.3">
      <c r="A1582">
        <v>1581</v>
      </c>
      <c r="B1582">
        <v>1</v>
      </c>
      <c r="C1582">
        <v>64</v>
      </c>
      <c r="D1582" s="2">
        <v>1</v>
      </c>
      <c r="E1582" s="2">
        <v>489.99</v>
      </c>
      <c r="F1582">
        <v>0.1</v>
      </c>
      <c r="G1582">
        <f t="shared" si="24"/>
        <v>489.89</v>
      </c>
      <c r="H1582" t="str">
        <f>VLOOKUP(C1582,'products '!$A$1:$G$322,2,FALSE)</f>
        <v>Electra Townie Original 7D - 2017</v>
      </c>
    </row>
    <row r="1583" spans="1:8" x14ac:dyDescent="0.3">
      <c r="A1583">
        <v>1582</v>
      </c>
      <c r="B1583">
        <v>1</v>
      </c>
      <c r="C1583">
        <v>75</v>
      </c>
      <c r="D1583" s="2">
        <v>1</v>
      </c>
      <c r="E1583" s="2">
        <v>599.99</v>
      </c>
      <c r="F1583">
        <v>7.0000000000000007E-2</v>
      </c>
      <c r="G1583">
        <f t="shared" si="24"/>
        <v>599.91999999999996</v>
      </c>
      <c r="H1583" t="str">
        <f>VLOOKUP(C1583,'products '!$A$1:$G$322,2,FALSE)</f>
        <v>Electra Cruiser Lux Fat Tire 1 Ladies - 2017</v>
      </c>
    </row>
    <row r="1584" spans="1:8" x14ac:dyDescent="0.3">
      <c r="A1584">
        <v>1583</v>
      </c>
      <c r="B1584">
        <v>1</v>
      </c>
      <c r="C1584">
        <v>15</v>
      </c>
      <c r="D1584" s="2">
        <v>1</v>
      </c>
      <c r="E1584" s="2">
        <v>529.99</v>
      </c>
      <c r="F1584">
        <v>0.05</v>
      </c>
      <c r="G1584">
        <f t="shared" si="24"/>
        <v>529.94000000000005</v>
      </c>
      <c r="H1584" t="str">
        <f>VLOOKUP(C1584,'products '!$A$1:$G$322,2,FALSE)</f>
        <v>Electra Moto 1 - 2016</v>
      </c>
    </row>
    <row r="1585" spans="1:8" x14ac:dyDescent="0.3">
      <c r="A1585">
        <v>1584</v>
      </c>
      <c r="B1585">
        <v>1</v>
      </c>
      <c r="C1585">
        <v>45</v>
      </c>
      <c r="D1585" s="2">
        <v>2</v>
      </c>
      <c r="E1585" s="2">
        <v>869.99</v>
      </c>
      <c r="F1585">
        <v>0.1</v>
      </c>
      <c r="G1585">
        <f t="shared" si="24"/>
        <v>1739.88</v>
      </c>
      <c r="H1585" t="str">
        <f>VLOOKUP(C1585,'products '!$A$1:$G$322,2,FALSE)</f>
        <v>Haro SR 1.2 - 2017</v>
      </c>
    </row>
    <row r="1586" spans="1:8" x14ac:dyDescent="0.3">
      <c r="A1586">
        <v>1585</v>
      </c>
      <c r="B1586">
        <v>1</v>
      </c>
      <c r="C1586">
        <v>313</v>
      </c>
      <c r="D1586" s="2">
        <v>1</v>
      </c>
      <c r="E1586" s="2">
        <v>449.99</v>
      </c>
      <c r="F1586">
        <v>0.1</v>
      </c>
      <c r="G1586">
        <f t="shared" si="24"/>
        <v>449.89</v>
      </c>
      <c r="H1586" t="str">
        <f>VLOOKUP(C1586,'products '!$A$1:$G$322,2,FALSE)</f>
        <v>Electra Townie Original 1 Ladies' - 2018</v>
      </c>
    </row>
    <row r="1587" spans="1:8" x14ac:dyDescent="0.3">
      <c r="A1587">
        <v>1586</v>
      </c>
      <c r="B1587">
        <v>1</v>
      </c>
      <c r="C1587">
        <v>22</v>
      </c>
      <c r="D1587" s="2">
        <v>2</v>
      </c>
      <c r="E1587" s="2">
        <v>269.99</v>
      </c>
      <c r="F1587">
        <v>0.1</v>
      </c>
      <c r="G1587">
        <f t="shared" si="24"/>
        <v>539.88</v>
      </c>
      <c r="H1587" t="str">
        <f>VLOOKUP(C1587,'products '!$A$1:$G$322,2,FALSE)</f>
        <v>Electra Girl's Hawaii 1 (16-inch) - 2015/2016</v>
      </c>
    </row>
    <row r="1588" spans="1:8" x14ac:dyDescent="0.3">
      <c r="A1588">
        <v>1587</v>
      </c>
      <c r="B1588">
        <v>1</v>
      </c>
      <c r="C1588">
        <v>104</v>
      </c>
      <c r="D1588" s="2">
        <v>1</v>
      </c>
      <c r="E1588" s="2">
        <v>481.99</v>
      </c>
      <c r="F1588">
        <v>0.1</v>
      </c>
      <c r="G1588">
        <f t="shared" si="24"/>
        <v>481.89</v>
      </c>
      <c r="H1588" t="str">
        <f>VLOOKUP(C1588,'products '!$A$1:$G$322,2,FALSE)</f>
        <v>Sun Bicycles Streamway - 2017</v>
      </c>
    </row>
    <row r="1589" spans="1:8" x14ac:dyDescent="0.3">
      <c r="A1589">
        <v>1588</v>
      </c>
      <c r="B1589">
        <v>1</v>
      </c>
      <c r="C1589">
        <v>93</v>
      </c>
      <c r="D1589" s="2">
        <v>2</v>
      </c>
      <c r="E1589" s="2">
        <v>209.99</v>
      </c>
      <c r="F1589">
        <v>7.0000000000000007E-2</v>
      </c>
      <c r="G1589">
        <f t="shared" si="24"/>
        <v>419.91</v>
      </c>
      <c r="H1589" t="str">
        <f>VLOOKUP(C1589,'products '!$A$1:$G$322,2,FALSE)</f>
        <v>Haro Shredder 20 Girls - 2017</v>
      </c>
    </row>
    <row r="1590" spans="1:8" x14ac:dyDescent="0.3">
      <c r="A1590">
        <v>1589</v>
      </c>
      <c r="B1590">
        <v>1</v>
      </c>
      <c r="C1590">
        <v>246</v>
      </c>
      <c r="D1590" s="2">
        <v>2</v>
      </c>
      <c r="E1590" s="2">
        <v>639.99</v>
      </c>
      <c r="F1590">
        <v>0.05</v>
      </c>
      <c r="G1590">
        <f t="shared" si="24"/>
        <v>1279.93</v>
      </c>
      <c r="H1590" t="str">
        <f>VLOOKUP(C1590,'products '!$A$1:$G$322,2,FALSE)</f>
        <v>Electra Townie Original 3i EQ Ladies' - 2018</v>
      </c>
    </row>
    <row r="1591" spans="1:8" x14ac:dyDescent="0.3">
      <c r="A1591">
        <v>1590</v>
      </c>
      <c r="B1591">
        <v>1</v>
      </c>
      <c r="C1591">
        <v>175</v>
      </c>
      <c r="D1591" s="2">
        <v>2</v>
      </c>
      <c r="E1591" s="2">
        <v>3199.99</v>
      </c>
      <c r="F1591">
        <v>7.0000000000000007E-2</v>
      </c>
      <c r="G1591">
        <f t="shared" si="24"/>
        <v>6399.91</v>
      </c>
      <c r="H1591" t="str">
        <f>VLOOKUP(C1591,'products '!$A$1:$G$322,2,FALSE)</f>
        <v>Trek Domane SLR Frameset - 2018</v>
      </c>
    </row>
    <row r="1592" spans="1:8" x14ac:dyDescent="0.3">
      <c r="A1592">
        <v>1591</v>
      </c>
      <c r="B1592">
        <v>1</v>
      </c>
      <c r="C1592">
        <v>286</v>
      </c>
      <c r="D1592" s="2">
        <v>2</v>
      </c>
      <c r="E1592" s="2">
        <v>279.99</v>
      </c>
      <c r="F1592">
        <v>0.2</v>
      </c>
      <c r="G1592">
        <f t="shared" si="24"/>
        <v>559.78</v>
      </c>
      <c r="H1592" t="str">
        <f>VLOOKUP(C1592,'products '!$A$1:$G$322,2,FALSE)</f>
        <v>Electra Starship 1 16" - 2018</v>
      </c>
    </row>
    <row r="1593" spans="1:8" x14ac:dyDescent="0.3">
      <c r="A1593">
        <v>1592</v>
      </c>
      <c r="B1593">
        <v>1</v>
      </c>
      <c r="C1593">
        <v>211</v>
      </c>
      <c r="D1593" s="2">
        <v>2</v>
      </c>
      <c r="E1593" s="2">
        <v>1549</v>
      </c>
      <c r="F1593">
        <v>0.05</v>
      </c>
      <c r="G1593">
        <f t="shared" si="24"/>
        <v>3097.95</v>
      </c>
      <c r="H1593" t="str">
        <f>VLOOKUP(C1593,'products '!$A$1:$G$322,2,FALSE)</f>
        <v>Surly Straggler 650b - 2018</v>
      </c>
    </row>
    <row r="1594" spans="1:8" x14ac:dyDescent="0.3">
      <c r="A1594">
        <v>1593</v>
      </c>
      <c r="B1594">
        <v>1</v>
      </c>
      <c r="C1594">
        <v>97</v>
      </c>
      <c r="D1594" s="2">
        <v>2</v>
      </c>
      <c r="E1594" s="2">
        <v>349.99</v>
      </c>
      <c r="F1594">
        <v>0.2</v>
      </c>
      <c r="G1594">
        <f t="shared" si="24"/>
        <v>699.78</v>
      </c>
      <c r="H1594" t="str">
        <f>VLOOKUP(C1594,'products '!$A$1:$G$322,2,FALSE)</f>
        <v>Electra Savannah 3i (20-inch) - Girl's - 2017</v>
      </c>
    </row>
    <row r="1595" spans="1:8" x14ac:dyDescent="0.3">
      <c r="A1595">
        <v>1594</v>
      </c>
      <c r="B1595">
        <v>1</v>
      </c>
      <c r="C1595">
        <v>79</v>
      </c>
      <c r="D1595" s="2">
        <v>2</v>
      </c>
      <c r="E1595" s="2">
        <v>402.99</v>
      </c>
      <c r="F1595">
        <v>0.1</v>
      </c>
      <c r="G1595">
        <f t="shared" si="24"/>
        <v>805.88</v>
      </c>
      <c r="H1595" t="str">
        <f>VLOOKUP(C1595,'products '!$A$1:$G$322,2,FALSE)</f>
        <v>Sun Bicycles Boardwalk (24-inch Wheels) - 2017</v>
      </c>
    </row>
    <row r="1596" spans="1:8" x14ac:dyDescent="0.3">
      <c r="A1596">
        <v>1595</v>
      </c>
      <c r="B1596">
        <v>1</v>
      </c>
      <c r="C1596">
        <v>112</v>
      </c>
      <c r="D1596" s="2">
        <v>1</v>
      </c>
      <c r="E1596" s="2">
        <v>379.99</v>
      </c>
      <c r="F1596">
        <v>0.2</v>
      </c>
      <c r="G1596">
        <f t="shared" si="24"/>
        <v>379.79</v>
      </c>
      <c r="H1596" t="str">
        <f>VLOOKUP(C1596,'products '!$A$1:$G$322,2,FALSE)</f>
        <v>Trek 820 - 2018</v>
      </c>
    </row>
    <row r="1597" spans="1:8" x14ac:dyDescent="0.3">
      <c r="A1597">
        <v>1596</v>
      </c>
      <c r="B1597">
        <v>1</v>
      </c>
      <c r="C1597">
        <v>91</v>
      </c>
      <c r="D1597" s="2">
        <v>1</v>
      </c>
      <c r="E1597" s="2">
        <v>349.99</v>
      </c>
      <c r="F1597">
        <v>0.05</v>
      </c>
      <c r="G1597">
        <f t="shared" si="24"/>
        <v>349.94</v>
      </c>
      <c r="H1597" t="str">
        <f>VLOOKUP(C1597,'products '!$A$1:$G$322,2,FALSE)</f>
        <v>Trek Precaliber 24 (21-Speed) - Girls - 2017</v>
      </c>
    </row>
    <row r="1598" spans="1:8" x14ac:dyDescent="0.3">
      <c r="A1598">
        <v>1597</v>
      </c>
      <c r="B1598">
        <v>1</v>
      </c>
      <c r="C1598">
        <v>176</v>
      </c>
      <c r="D1598" s="2">
        <v>1</v>
      </c>
      <c r="E1598" s="2">
        <v>3199.99</v>
      </c>
      <c r="F1598">
        <v>7.0000000000000007E-2</v>
      </c>
      <c r="G1598">
        <f t="shared" si="24"/>
        <v>3199.9199999999996</v>
      </c>
      <c r="H1598" t="str">
        <f>VLOOKUP(C1598,'products '!$A$1:$G$322,2,FALSE)</f>
        <v>Trek Madone 9 Frameset - 2018</v>
      </c>
    </row>
    <row r="1599" spans="1:8" x14ac:dyDescent="0.3">
      <c r="A1599">
        <v>1598</v>
      </c>
      <c r="B1599">
        <v>1</v>
      </c>
      <c r="C1599">
        <v>247</v>
      </c>
      <c r="D1599" s="2">
        <v>1</v>
      </c>
      <c r="E1599" s="2">
        <v>599.99</v>
      </c>
      <c r="F1599">
        <v>0.2</v>
      </c>
      <c r="G1599">
        <f t="shared" si="24"/>
        <v>599.79</v>
      </c>
      <c r="H1599" t="str">
        <f>VLOOKUP(C1599,'products '!$A$1:$G$322,2,FALSE)</f>
        <v>Electra Townie Original 7D EQ - 2018</v>
      </c>
    </row>
    <row r="1600" spans="1:8" x14ac:dyDescent="0.3">
      <c r="A1600">
        <v>1599</v>
      </c>
      <c r="B1600">
        <v>1</v>
      </c>
      <c r="C1600">
        <v>104</v>
      </c>
      <c r="D1600" s="2">
        <v>2</v>
      </c>
      <c r="E1600" s="2">
        <v>481.99</v>
      </c>
      <c r="F1600">
        <v>0.2</v>
      </c>
      <c r="G1600">
        <f t="shared" si="24"/>
        <v>963.78</v>
      </c>
      <c r="H1600" t="str">
        <f>VLOOKUP(C1600,'products '!$A$1:$G$322,2,FALSE)</f>
        <v>Sun Bicycles Streamway - 2017</v>
      </c>
    </row>
    <row r="1601" spans="1:8" x14ac:dyDescent="0.3">
      <c r="A1601">
        <v>1600</v>
      </c>
      <c r="B1601">
        <v>1</v>
      </c>
      <c r="C1601">
        <v>146</v>
      </c>
      <c r="D1601" s="2">
        <v>1</v>
      </c>
      <c r="E1601" s="2">
        <v>4999.99</v>
      </c>
      <c r="F1601">
        <v>0.1</v>
      </c>
      <c r="G1601">
        <f t="shared" si="24"/>
        <v>4999.8899999999994</v>
      </c>
      <c r="H1601" t="str">
        <f>VLOOKUP(C1601,'products '!$A$1:$G$322,2,FALSE)</f>
        <v>Trek Domane SLR 6 - 2018</v>
      </c>
    </row>
    <row r="1602" spans="1:8" x14ac:dyDescent="0.3">
      <c r="A1602">
        <v>1601</v>
      </c>
      <c r="B1602">
        <v>1</v>
      </c>
      <c r="C1602">
        <v>114</v>
      </c>
      <c r="D1602" s="2">
        <v>2</v>
      </c>
      <c r="E1602" s="2">
        <v>579.99</v>
      </c>
      <c r="F1602">
        <v>0.2</v>
      </c>
      <c r="G1602">
        <f t="shared" si="24"/>
        <v>1159.78</v>
      </c>
      <c r="H1602" t="str">
        <f>VLOOKUP(C1602,'products '!$A$1:$G$322,2,FALSE)</f>
        <v>Trek Marlin 6 - 2018</v>
      </c>
    </row>
    <row r="1603" spans="1:8" x14ac:dyDescent="0.3">
      <c r="A1603">
        <v>1602</v>
      </c>
      <c r="B1603">
        <v>1</v>
      </c>
      <c r="C1603">
        <v>71</v>
      </c>
      <c r="D1603" s="2">
        <v>2</v>
      </c>
      <c r="E1603" s="2">
        <v>416.99</v>
      </c>
      <c r="F1603">
        <v>0.05</v>
      </c>
      <c r="G1603">
        <f t="shared" ref="G1603:G1616" si="25">E1603*D1603-F1603</f>
        <v>833.93000000000006</v>
      </c>
      <c r="H1603" t="str">
        <f>VLOOKUP(C1603,'products '!$A$1:$G$322,2,FALSE)</f>
        <v>Sun Bicycles Atlas X-Type - 2017</v>
      </c>
    </row>
    <row r="1604" spans="1:8" x14ac:dyDescent="0.3">
      <c r="A1604">
        <v>1603</v>
      </c>
      <c r="B1604">
        <v>1</v>
      </c>
      <c r="C1604">
        <v>275</v>
      </c>
      <c r="D1604" s="2">
        <v>2</v>
      </c>
      <c r="E1604" s="2">
        <v>229.99</v>
      </c>
      <c r="F1604">
        <v>0.05</v>
      </c>
      <c r="G1604">
        <f t="shared" si="25"/>
        <v>459.93</v>
      </c>
      <c r="H1604" t="str">
        <f>VLOOKUP(C1604,'products '!$A$1:$G$322,2,FALSE)</f>
        <v>Trek Precaliber 20 Girl's - 2018</v>
      </c>
    </row>
    <row r="1605" spans="1:8" x14ac:dyDescent="0.3">
      <c r="A1605">
        <v>1604</v>
      </c>
      <c r="B1605">
        <v>1</v>
      </c>
      <c r="C1605">
        <v>271</v>
      </c>
      <c r="D1605" s="2">
        <v>1</v>
      </c>
      <c r="E1605" s="2">
        <v>209.99</v>
      </c>
      <c r="F1605">
        <v>0.1</v>
      </c>
      <c r="G1605">
        <f t="shared" si="25"/>
        <v>209.89000000000001</v>
      </c>
      <c r="H1605" t="str">
        <f>VLOOKUP(C1605,'products '!$A$1:$G$322,2,FALSE)</f>
        <v>Trek Precaliber 16 Girl's - 2018</v>
      </c>
    </row>
    <row r="1606" spans="1:8" x14ac:dyDescent="0.3">
      <c r="A1606">
        <v>1605</v>
      </c>
      <c r="B1606">
        <v>1</v>
      </c>
      <c r="C1606">
        <v>72</v>
      </c>
      <c r="D1606" s="2">
        <v>1</v>
      </c>
      <c r="E1606" s="2">
        <v>619.99</v>
      </c>
      <c r="F1606">
        <v>0.1</v>
      </c>
      <c r="G1606">
        <f t="shared" si="25"/>
        <v>619.89</v>
      </c>
      <c r="H1606" t="str">
        <f>VLOOKUP(C1606,'products '!$A$1:$G$322,2,FALSE)</f>
        <v>Sun Bicycles Biscayne Tandem 7 - 2017</v>
      </c>
    </row>
    <row r="1607" spans="1:8" x14ac:dyDescent="0.3">
      <c r="A1607">
        <v>1606</v>
      </c>
      <c r="B1607">
        <v>1</v>
      </c>
      <c r="C1607">
        <v>245</v>
      </c>
      <c r="D1607" s="2">
        <v>1</v>
      </c>
      <c r="E1607" s="2">
        <v>659.99</v>
      </c>
      <c r="F1607">
        <v>0.1</v>
      </c>
      <c r="G1607">
        <f t="shared" si="25"/>
        <v>659.89</v>
      </c>
      <c r="H1607" t="str">
        <f>VLOOKUP(C1607,'products '!$A$1:$G$322,2,FALSE)</f>
        <v>Electra Townie Original 3i EQ - 2017/2018</v>
      </c>
    </row>
    <row r="1608" spans="1:8" x14ac:dyDescent="0.3">
      <c r="A1608">
        <v>1607</v>
      </c>
      <c r="B1608">
        <v>1</v>
      </c>
      <c r="C1608">
        <v>29</v>
      </c>
      <c r="D1608" s="2">
        <v>1</v>
      </c>
      <c r="E1608" s="2">
        <v>999.99</v>
      </c>
      <c r="F1608">
        <v>0.05</v>
      </c>
      <c r="G1608">
        <f t="shared" si="25"/>
        <v>999.94</v>
      </c>
      <c r="H1608" t="str">
        <f>VLOOKUP(C1608,'products '!$A$1:$G$322,2,FALSE)</f>
        <v>Trek X-Caliber 8 - 2017</v>
      </c>
    </row>
    <row r="1609" spans="1:8" x14ac:dyDescent="0.3">
      <c r="A1609">
        <v>1608</v>
      </c>
      <c r="B1609">
        <v>1</v>
      </c>
      <c r="C1609">
        <v>231</v>
      </c>
      <c r="D1609" s="2">
        <v>2</v>
      </c>
      <c r="E1609" s="2">
        <v>529.99</v>
      </c>
      <c r="F1609">
        <v>0.05</v>
      </c>
      <c r="G1609">
        <f t="shared" si="25"/>
        <v>1059.93</v>
      </c>
      <c r="H1609" t="str">
        <f>VLOOKUP(C1609,'products '!$A$1:$G$322,2,FALSE)</f>
        <v>Electra Cruiser Lux 3i Ladies' - 2018</v>
      </c>
    </row>
    <row r="1610" spans="1:8" x14ac:dyDescent="0.3">
      <c r="A1610">
        <v>1609</v>
      </c>
      <c r="B1610">
        <v>1</v>
      </c>
      <c r="C1610">
        <v>96</v>
      </c>
      <c r="D1610" s="2">
        <v>1</v>
      </c>
      <c r="E1610" s="2">
        <v>349.99</v>
      </c>
      <c r="F1610">
        <v>0.2</v>
      </c>
      <c r="G1610">
        <f t="shared" si="25"/>
        <v>349.79</v>
      </c>
      <c r="H1610" t="str">
        <f>VLOOKUP(C1610,'products '!$A$1:$G$322,2,FALSE)</f>
        <v>Electra Moto 3i (20-inch) - Boy's - 2017</v>
      </c>
    </row>
    <row r="1611" spans="1:8" x14ac:dyDescent="0.3">
      <c r="A1611">
        <v>1610</v>
      </c>
      <c r="B1611">
        <v>1</v>
      </c>
      <c r="C1611">
        <v>36</v>
      </c>
      <c r="D1611" s="2">
        <v>1</v>
      </c>
      <c r="E1611" s="2">
        <v>832.99</v>
      </c>
      <c r="F1611">
        <v>7.0000000000000007E-2</v>
      </c>
      <c r="G1611">
        <f t="shared" si="25"/>
        <v>832.92</v>
      </c>
      <c r="H1611" t="str">
        <f>VLOOKUP(C1611,'products '!$A$1:$G$322,2,FALSE)</f>
        <v>Surly Troll Frameset - 2017</v>
      </c>
    </row>
    <row r="1612" spans="1:8" x14ac:dyDescent="0.3">
      <c r="A1612">
        <v>1611</v>
      </c>
      <c r="B1612">
        <v>1</v>
      </c>
      <c r="C1612">
        <v>191</v>
      </c>
      <c r="D1612" s="2">
        <v>1</v>
      </c>
      <c r="E1612" s="2">
        <v>2799.99</v>
      </c>
      <c r="F1612">
        <v>7.0000000000000007E-2</v>
      </c>
      <c r="G1612">
        <f t="shared" si="25"/>
        <v>2799.9199999999996</v>
      </c>
      <c r="H1612" t="str">
        <f>VLOOKUP(C1612,'products '!$A$1:$G$322,2,FALSE)</f>
        <v>Electra Loft Go! 8i - 2018</v>
      </c>
    </row>
    <row r="1613" spans="1:8" x14ac:dyDescent="0.3">
      <c r="A1613">
        <v>1612</v>
      </c>
      <c r="B1613">
        <v>1</v>
      </c>
      <c r="C1613">
        <v>242</v>
      </c>
      <c r="D1613" s="2">
        <v>1</v>
      </c>
      <c r="E1613" s="2">
        <v>699.99</v>
      </c>
      <c r="F1613">
        <v>0.1</v>
      </c>
      <c r="G1613">
        <f t="shared" si="25"/>
        <v>699.89</v>
      </c>
      <c r="H1613" t="str">
        <f>VLOOKUP(C1613,'products '!$A$1:$G$322,2,FALSE)</f>
        <v>Electra Townie Commute 8D Ladies' - 2018</v>
      </c>
    </row>
    <row r="1614" spans="1:8" x14ac:dyDescent="0.3">
      <c r="A1614">
        <v>1613</v>
      </c>
      <c r="B1614">
        <v>1</v>
      </c>
      <c r="C1614">
        <v>153</v>
      </c>
      <c r="D1614" s="2">
        <v>1</v>
      </c>
      <c r="E1614" s="2">
        <v>4999.99</v>
      </c>
      <c r="F1614">
        <v>7.0000000000000007E-2</v>
      </c>
      <c r="G1614">
        <f t="shared" si="25"/>
        <v>4999.92</v>
      </c>
      <c r="H1614" t="str">
        <f>VLOOKUP(C1614,'products '!$A$1:$G$322,2,FALSE)</f>
        <v>Trek Domane SL 7 Women's - 2018</v>
      </c>
    </row>
    <row r="1615" spans="1:8" x14ac:dyDescent="0.3">
      <c r="A1615">
        <v>1614</v>
      </c>
      <c r="B1615">
        <v>1</v>
      </c>
      <c r="C1615">
        <v>124</v>
      </c>
      <c r="D1615" s="2">
        <v>1</v>
      </c>
      <c r="E1615" s="2">
        <v>1499</v>
      </c>
      <c r="F1615">
        <v>7.0000000000000007E-2</v>
      </c>
      <c r="G1615">
        <f t="shared" si="25"/>
        <v>1498.93</v>
      </c>
      <c r="H1615" t="str">
        <f>VLOOKUP(C1615,'products '!$A$1:$G$322,2,FALSE)</f>
        <v>Surly Krampus - 2018</v>
      </c>
    </row>
    <row r="1616" spans="1:8" x14ac:dyDescent="0.3">
      <c r="A1616">
        <v>1615</v>
      </c>
      <c r="B1616">
        <v>1</v>
      </c>
      <c r="C1616">
        <v>197</v>
      </c>
      <c r="D1616" s="2">
        <v>2</v>
      </c>
      <c r="E1616" s="2">
        <v>2299.9899999999998</v>
      </c>
      <c r="F1616">
        <v>0.2</v>
      </c>
      <c r="G1616">
        <f t="shared" si="25"/>
        <v>4599.78</v>
      </c>
      <c r="H1616" t="str">
        <f>VLOOKUP(C1616,'products '!$A$1:$G$322,2,FALSE)</f>
        <v>Trek Verve+ Lowstep - 2018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446C-14CD-4B56-A2FF-EAB5845B42E4}">
  <dimension ref="A1:C940"/>
  <sheetViews>
    <sheetView workbookViewId="0">
      <selection activeCell="D6" sqref="D6"/>
    </sheetView>
  </sheetViews>
  <sheetFormatPr defaultRowHeight="14.4" x14ac:dyDescent="0.3"/>
  <cols>
    <col min="1" max="1" width="9.88671875" bestFit="1" customWidth="1"/>
    <col min="2" max="2" width="12.21875" bestFit="1" customWidth="1"/>
    <col min="3" max="3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1183-B7C2-4C37-B424-376116FDCA23}">
  <dimension ref="A3:B11"/>
  <sheetViews>
    <sheetView workbookViewId="0">
      <selection activeCell="J18" sqref="J18"/>
    </sheetView>
  </sheetViews>
  <sheetFormatPr defaultRowHeight="14.4" x14ac:dyDescent="0.3"/>
  <cols>
    <col min="1" max="1" width="17" bestFit="1" customWidth="1"/>
    <col min="2" max="2" width="14.88671875" bestFit="1" customWidth="1"/>
  </cols>
  <sheetData>
    <row r="3" spans="1:2" x14ac:dyDescent="0.3">
      <c r="A3" s="4" t="s">
        <v>6296</v>
      </c>
      <c r="B3" t="s">
        <v>6298</v>
      </c>
    </row>
    <row r="4" spans="1:2" x14ac:dyDescent="0.3">
      <c r="A4" s="5" t="s">
        <v>6283</v>
      </c>
      <c r="B4">
        <v>16979.409999999996</v>
      </c>
    </row>
    <row r="5" spans="1:2" x14ac:dyDescent="0.3">
      <c r="A5" s="5" t="s">
        <v>6284</v>
      </c>
      <c r="B5">
        <v>20463.700000000008</v>
      </c>
    </row>
    <row r="6" spans="1:2" x14ac:dyDescent="0.3">
      <c r="A6" s="5" t="s">
        <v>6285</v>
      </c>
      <c r="B6">
        <v>56972.159999999996</v>
      </c>
    </row>
    <row r="7" spans="1:2" x14ac:dyDescent="0.3">
      <c r="A7" s="5" t="s">
        <v>6286</v>
      </c>
      <c r="B7">
        <v>25427.93</v>
      </c>
    </row>
    <row r="8" spans="1:2" x14ac:dyDescent="0.3">
      <c r="A8" s="5" t="s">
        <v>6287</v>
      </c>
      <c r="B8">
        <v>78759.75999999998</v>
      </c>
    </row>
    <row r="9" spans="1:2" x14ac:dyDescent="0.3">
      <c r="A9" s="5" t="s">
        <v>6288</v>
      </c>
      <c r="B9">
        <v>98985.440000000061</v>
      </c>
    </row>
    <row r="10" spans="1:2" x14ac:dyDescent="0.3">
      <c r="A10" s="5" t="s">
        <v>6289</v>
      </c>
      <c r="B10">
        <v>190521.43999999986</v>
      </c>
    </row>
    <row r="11" spans="1:2" x14ac:dyDescent="0.3">
      <c r="A11" s="5" t="s">
        <v>6297</v>
      </c>
      <c r="B11">
        <v>488109.83999999985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6F53-E1DD-4BB6-BFBE-B3B8F3928844}">
  <dimension ref="A1:G322"/>
  <sheetViews>
    <sheetView workbookViewId="0">
      <selection activeCell="F322" sqref="F322"/>
    </sheetView>
  </sheetViews>
  <sheetFormatPr defaultRowHeight="14.4" x14ac:dyDescent="0.3"/>
  <cols>
    <col min="1" max="1" width="12.21875" bestFit="1" customWidth="1"/>
    <col min="2" max="2" width="45.6640625" bestFit="1" customWidth="1"/>
    <col min="3" max="3" width="10.5546875" bestFit="1" customWidth="1"/>
    <col min="4" max="4" width="12.77734375" bestFit="1" customWidth="1"/>
    <col min="5" max="5" width="12.88671875" bestFit="1" customWidth="1"/>
    <col min="6" max="6" width="11" bestFit="1" customWidth="1"/>
    <col min="7" max="7" width="31.44140625" customWidth="1"/>
  </cols>
  <sheetData>
    <row r="1" spans="1:7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6282</v>
      </c>
    </row>
    <row r="2" spans="1:7" x14ac:dyDescent="0.3">
      <c r="A2">
        <v>155</v>
      </c>
      <c r="B2" t="s">
        <v>154</v>
      </c>
      <c r="C2">
        <v>9</v>
      </c>
      <c r="D2">
        <v>7</v>
      </c>
      <c r="E2">
        <v>2018</v>
      </c>
      <c r="F2">
        <v>11999.99</v>
      </c>
      <c r="G2" t="str">
        <f>VLOOKUP(D2,categories!$A$1:$B$8,2,FALSE)</f>
        <v>Road Bikes</v>
      </c>
    </row>
    <row r="3" spans="1:7" x14ac:dyDescent="0.3">
      <c r="A3">
        <v>149</v>
      </c>
      <c r="B3" t="s">
        <v>148</v>
      </c>
      <c r="C3">
        <v>9</v>
      </c>
      <c r="D3">
        <v>7</v>
      </c>
      <c r="E3">
        <v>2018</v>
      </c>
      <c r="F3">
        <v>7499.99</v>
      </c>
      <c r="G3" t="str">
        <f>VLOOKUP(D3,categories!$A$1:$B$8,2,FALSE)</f>
        <v>Road Bikes</v>
      </c>
    </row>
    <row r="4" spans="1:7" x14ac:dyDescent="0.3">
      <c r="A4">
        <v>51</v>
      </c>
      <c r="B4" t="s">
        <v>54</v>
      </c>
      <c r="C4">
        <v>9</v>
      </c>
      <c r="D4">
        <v>7</v>
      </c>
      <c r="E4">
        <v>2017</v>
      </c>
      <c r="F4">
        <v>6499.99</v>
      </c>
      <c r="G4" t="str">
        <f>VLOOKUP(D4,categories!$A$1:$B$8,2,FALSE)</f>
        <v>Road Bikes</v>
      </c>
    </row>
    <row r="5" spans="1:7" x14ac:dyDescent="0.3">
      <c r="A5">
        <v>156</v>
      </c>
      <c r="B5" t="s">
        <v>155</v>
      </c>
      <c r="C5">
        <v>9</v>
      </c>
      <c r="D5">
        <v>7</v>
      </c>
      <c r="E5">
        <v>2018</v>
      </c>
      <c r="F5">
        <v>6499.99</v>
      </c>
      <c r="G5" t="str">
        <f>VLOOKUP(D5,categories!$A$1:$B$8,2,FALSE)</f>
        <v>Road Bikes</v>
      </c>
    </row>
    <row r="6" spans="1:7" x14ac:dyDescent="0.3">
      <c r="A6">
        <v>157</v>
      </c>
      <c r="B6" t="s">
        <v>156</v>
      </c>
      <c r="C6">
        <v>9</v>
      </c>
      <c r="D6">
        <v>7</v>
      </c>
      <c r="E6">
        <v>2018</v>
      </c>
      <c r="F6">
        <v>6499.99</v>
      </c>
      <c r="G6" t="str">
        <f>VLOOKUP(D6,categories!$A$1:$B$8,2,FALSE)</f>
        <v>Road Bikes</v>
      </c>
    </row>
    <row r="7" spans="1:7" x14ac:dyDescent="0.3">
      <c r="A7">
        <v>169</v>
      </c>
      <c r="B7" t="s">
        <v>168</v>
      </c>
      <c r="C7">
        <v>9</v>
      </c>
      <c r="D7">
        <v>7</v>
      </c>
      <c r="E7">
        <v>2018</v>
      </c>
      <c r="F7">
        <v>6499.99</v>
      </c>
      <c r="G7" t="str">
        <f>VLOOKUP(D7,categories!$A$1:$B$8,2,FALSE)</f>
        <v>Road Bikes</v>
      </c>
    </row>
    <row r="8" spans="1:7" x14ac:dyDescent="0.3">
      <c r="A8">
        <v>50</v>
      </c>
      <c r="B8" t="s">
        <v>53</v>
      </c>
      <c r="C8">
        <v>9</v>
      </c>
      <c r="D8">
        <v>7</v>
      </c>
      <c r="E8">
        <v>2017</v>
      </c>
      <c r="F8">
        <v>5999.99</v>
      </c>
      <c r="G8" t="str">
        <f>VLOOKUP(D8,categories!$A$1:$B$8,2,FALSE)</f>
        <v>Road Bikes</v>
      </c>
    </row>
    <row r="9" spans="1:7" x14ac:dyDescent="0.3">
      <c r="A9">
        <v>56</v>
      </c>
      <c r="B9" t="s">
        <v>59</v>
      </c>
      <c r="C9">
        <v>9</v>
      </c>
      <c r="D9">
        <v>7</v>
      </c>
      <c r="E9">
        <v>2017</v>
      </c>
      <c r="F9">
        <v>5499.99</v>
      </c>
      <c r="G9" t="str">
        <f>VLOOKUP(D9,categories!$A$1:$B$8,2,FALSE)</f>
        <v>Road Bikes</v>
      </c>
    </row>
    <row r="10" spans="1:7" x14ac:dyDescent="0.3">
      <c r="A10">
        <v>148</v>
      </c>
      <c r="B10" t="s">
        <v>147</v>
      </c>
      <c r="C10">
        <v>9</v>
      </c>
      <c r="D10">
        <v>7</v>
      </c>
      <c r="E10">
        <v>2018</v>
      </c>
      <c r="F10">
        <v>5499.99</v>
      </c>
      <c r="G10" t="str">
        <f>VLOOKUP(D10,categories!$A$1:$B$8,2,FALSE)</f>
        <v>Road Bikes</v>
      </c>
    </row>
    <row r="11" spans="1:7" x14ac:dyDescent="0.3">
      <c r="A11">
        <v>154</v>
      </c>
      <c r="B11" t="s">
        <v>153</v>
      </c>
      <c r="C11">
        <v>9</v>
      </c>
      <c r="D11">
        <v>7</v>
      </c>
      <c r="E11">
        <v>2018</v>
      </c>
      <c r="F11">
        <v>5499.99</v>
      </c>
      <c r="G11" t="str">
        <f>VLOOKUP(D11,categories!$A$1:$B$8,2,FALSE)</f>
        <v>Road Bikes</v>
      </c>
    </row>
    <row r="12" spans="1:7" x14ac:dyDescent="0.3">
      <c r="A12">
        <v>177</v>
      </c>
      <c r="B12" t="s">
        <v>176</v>
      </c>
      <c r="C12">
        <v>9</v>
      </c>
      <c r="D12">
        <v>7</v>
      </c>
      <c r="E12">
        <v>2018</v>
      </c>
      <c r="F12">
        <v>5499.99</v>
      </c>
      <c r="G12" t="str">
        <f>VLOOKUP(D12,categories!$A$1:$B$8,2,FALSE)</f>
        <v>Road Bikes</v>
      </c>
    </row>
    <row r="13" spans="1:7" x14ac:dyDescent="0.3">
      <c r="A13">
        <v>43</v>
      </c>
      <c r="B13" t="s">
        <v>46</v>
      </c>
      <c r="C13">
        <v>9</v>
      </c>
      <c r="D13">
        <v>6</v>
      </c>
      <c r="E13">
        <v>2017</v>
      </c>
      <c r="F13">
        <v>5299.99</v>
      </c>
      <c r="G13" t="str">
        <f>VLOOKUP(D13,categories!$A$1:$B$8,2,FALSE)</f>
        <v>Mountain Bikes</v>
      </c>
    </row>
    <row r="14" spans="1:7" x14ac:dyDescent="0.3">
      <c r="A14">
        <v>47</v>
      </c>
      <c r="B14" t="s">
        <v>50</v>
      </c>
      <c r="C14">
        <v>9</v>
      </c>
      <c r="D14">
        <v>6</v>
      </c>
      <c r="E14">
        <v>2017</v>
      </c>
      <c r="F14">
        <v>5299.99</v>
      </c>
      <c r="G14" t="str">
        <f>VLOOKUP(D14,categories!$A$1:$B$8,2,FALSE)</f>
        <v>Mountain Bikes</v>
      </c>
    </row>
    <row r="15" spans="1:7" x14ac:dyDescent="0.3">
      <c r="A15">
        <v>40</v>
      </c>
      <c r="B15" t="s">
        <v>43</v>
      </c>
      <c r="C15">
        <v>9</v>
      </c>
      <c r="D15">
        <v>6</v>
      </c>
      <c r="E15">
        <v>2017</v>
      </c>
      <c r="F15">
        <v>4999.99</v>
      </c>
      <c r="G15" t="str">
        <f>VLOOKUP(D15,categories!$A$1:$B$8,2,FALSE)</f>
        <v>Mountain Bikes</v>
      </c>
    </row>
    <row r="16" spans="1:7" x14ac:dyDescent="0.3">
      <c r="A16">
        <v>58</v>
      </c>
      <c r="B16" t="s">
        <v>61</v>
      </c>
      <c r="C16">
        <v>9</v>
      </c>
      <c r="D16">
        <v>7</v>
      </c>
      <c r="E16">
        <v>2017</v>
      </c>
      <c r="F16">
        <v>4999.99</v>
      </c>
      <c r="G16" t="str">
        <f>VLOOKUP(D16,categories!$A$1:$B$8,2,FALSE)</f>
        <v>Road Bikes</v>
      </c>
    </row>
    <row r="17" spans="1:7" x14ac:dyDescent="0.3">
      <c r="A17">
        <v>61</v>
      </c>
      <c r="B17" t="s">
        <v>64</v>
      </c>
      <c r="C17">
        <v>9</v>
      </c>
      <c r="D17">
        <v>5</v>
      </c>
      <c r="E17">
        <v>2017</v>
      </c>
      <c r="F17">
        <v>4999.99</v>
      </c>
      <c r="G17" t="str">
        <f>VLOOKUP(D17,categories!$A$1:$B$8,2,FALSE)</f>
        <v>Electric Bikes</v>
      </c>
    </row>
    <row r="18" spans="1:7" x14ac:dyDescent="0.3">
      <c r="A18">
        <v>140</v>
      </c>
      <c r="B18" t="s">
        <v>139</v>
      </c>
      <c r="C18">
        <v>9</v>
      </c>
      <c r="D18">
        <v>6</v>
      </c>
      <c r="E18">
        <v>2018</v>
      </c>
      <c r="F18">
        <v>4999.99</v>
      </c>
      <c r="G18" t="str">
        <f>VLOOKUP(D18,categories!$A$1:$B$8,2,FALSE)</f>
        <v>Mountain Bikes</v>
      </c>
    </row>
    <row r="19" spans="1:7" x14ac:dyDescent="0.3">
      <c r="A19">
        <v>146</v>
      </c>
      <c r="B19" t="s">
        <v>145</v>
      </c>
      <c r="C19">
        <v>9</v>
      </c>
      <c r="D19">
        <v>7</v>
      </c>
      <c r="E19">
        <v>2018</v>
      </c>
      <c r="F19">
        <v>4999.99</v>
      </c>
      <c r="G19" t="str">
        <f>VLOOKUP(D19,categories!$A$1:$B$8,2,FALSE)</f>
        <v>Road Bikes</v>
      </c>
    </row>
    <row r="20" spans="1:7" x14ac:dyDescent="0.3">
      <c r="A20">
        <v>153</v>
      </c>
      <c r="B20" t="s">
        <v>152</v>
      </c>
      <c r="C20">
        <v>9</v>
      </c>
      <c r="D20">
        <v>7</v>
      </c>
      <c r="E20">
        <v>2018</v>
      </c>
      <c r="F20">
        <v>4999.99</v>
      </c>
      <c r="G20" t="str">
        <f>VLOOKUP(D20,categories!$A$1:$B$8,2,FALSE)</f>
        <v>Road Bikes</v>
      </c>
    </row>
    <row r="21" spans="1:7" x14ac:dyDescent="0.3">
      <c r="A21">
        <v>203</v>
      </c>
      <c r="B21" t="s">
        <v>202</v>
      </c>
      <c r="C21">
        <v>9</v>
      </c>
      <c r="D21">
        <v>5</v>
      </c>
      <c r="E21">
        <v>2018</v>
      </c>
      <c r="F21">
        <v>4999.99</v>
      </c>
      <c r="G21" t="str">
        <f>VLOOKUP(D21,categories!$A$1:$B$8,2,FALSE)</f>
        <v>Electric Bikes</v>
      </c>
    </row>
    <row r="22" spans="1:7" x14ac:dyDescent="0.3">
      <c r="A22">
        <v>205</v>
      </c>
      <c r="B22" t="s">
        <v>204</v>
      </c>
      <c r="C22">
        <v>9</v>
      </c>
      <c r="D22">
        <v>5</v>
      </c>
      <c r="E22">
        <v>2018</v>
      </c>
      <c r="F22">
        <v>4999.99</v>
      </c>
      <c r="G22" t="str">
        <f>VLOOKUP(D22,categories!$A$1:$B$8,2,FALSE)</f>
        <v>Electric Bikes</v>
      </c>
    </row>
    <row r="23" spans="1:7" x14ac:dyDescent="0.3">
      <c r="A23">
        <v>150</v>
      </c>
      <c r="B23" t="s">
        <v>149</v>
      </c>
      <c r="C23">
        <v>9</v>
      </c>
      <c r="D23">
        <v>7</v>
      </c>
      <c r="E23">
        <v>2018</v>
      </c>
      <c r="F23">
        <v>4499.99</v>
      </c>
      <c r="G23" t="str">
        <f>VLOOKUP(D23,categories!$A$1:$B$8,2,FALSE)</f>
        <v>Road Bikes</v>
      </c>
    </row>
    <row r="24" spans="1:7" x14ac:dyDescent="0.3">
      <c r="A24">
        <v>160</v>
      </c>
      <c r="B24" t="s">
        <v>159</v>
      </c>
      <c r="C24">
        <v>9</v>
      </c>
      <c r="D24">
        <v>7</v>
      </c>
      <c r="E24">
        <v>2018</v>
      </c>
      <c r="F24">
        <v>4499.99</v>
      </c>
      <c r="G24" t="str">
        <f>VLOOKUP(D24,categories!$A$1:$B$8,2,FALSE)</f>
        <v>Road Bikes</v>
      </c>
    </row>
    <row r="25" spans="1:7" x14ac:dyDescent="0.3">
      <c r="A25">
        <v>186</v>
      </c>
      <c r="B25" t="s">
        <v>185</v>
      </c>
      <c r="C25">
        <v>9</v>
      </c>
      <c r="D25">
        <v>5</v>
      </c>
      <c r="E25">
        <v>2018</v>
      </c>
      <c r="F25">
        <v>4499.99</v>
      </c>
      <c r="G25" t="str">
        <f>VLOOKUP(D25,categories!$A$1:$B$8,2,FALSE)</f>
        <v>Electric Bikes</v>
      </c>
    </row>
    <row r="26" spans="1:7" x14ac:dyDescent="0.3">
      <c r="A26">
        <v>201</v>
      </c>
      <c r="B26" t="s">
        <v>200</v>
      </c>
      <c r="C26">
        <v>9</v>
      </c>
      <c r="D26">
        <v>5</v>
      </c>
      <c r="E26">
        <v>2018</v>
      </c>
      <c r="F26">
        <v>4499.99</v>
      </c>
      <c r="G26" t="str">
        <f>VLOOKUP(D26,categories!$A$1:$B$8,2,FALSE)</f>
        <v>Electric Bikes</v>
      </c>
    </row>
    <row r="27" spans="1:7" x14ac:dyDescent="0.3">
      <c r="A27">
        <v>7</v>
      </c>
      <c r="B27" t="s">
        <v>14</v>
      </c>
      <c r="C27">
        <v>9</v>
      </c>
      <c r="D27">
        <v>6</v>
      </c>
      <c r="E27">
        <v>2016</v>
      </c>
      <c r="F27">
        <v>3999.99</v>
      </c>
      <c r="G27" t="str">
        <f>VLOOKUP(D27,categories!$A$1:$B$8,2,FALSE)</f>
        <v>Mountain Bikes</v>
      </c>
    </row>
    <row r="28" spans="1:7" x14ac:dyDescent="0.3">
      <c r="A28">
        <v>207</v>
      </c>
      <c r="B28" t="s">
        <v>206</v>
      </c>
      <c r="C28">
        <v>9</v>
      </c>
      <c r="D28">
        <v>4</v>
      </c>
      <c r="E28">
        <v>2018</v>
      </c>
      <c r="F28">
        <v>3999.99</v>
      </c>
      <c r="G28" t="str">
        <f>VLOOKUP(D28,categories!$A$1:$B$8,2,FALSE)</f>
        <v>Cyclocross Bicycles</v>
      </c>
    </row>
    <row r="29" spans="1:7" x14ac:dyDescent="0.3">
      <c r="A29">
        <v>320</v>
      </c>
      <c r="B29" t="s">
        <v>297</v>
      </c>
      <c r="C29">
        <v>9</v>
      </c>
      <c r="D29">
        <v>7</v>
      </c>
      <c r="E29">
        <v>2019</v>
      </c>
      <c r="F29">
        <v>3799.99</v>
      </c>
      <c r="G29" t="str">
        <f>VLOOKUP(D29,categories!$A$1:$B$8,2,FALSE)</f>
        <v>Road Bikes</v>
      </c>
    </row>
    <row r="30" spans="1:7" x14ac:dyDescent="0.3">
      <c r="A30">
        <v>204</v>
      </c>
      <c r="B30" t="s">
        <v>203</v>
      </c>
      <c r="C30">
        <v>9</v>
      </c>
      <c r="D30">
        <v>5</v>
      </c>
      <c r="E30">
        <v>2018</v>
      </c>
      <c r="F30">
        <v>3599.99</v>
      </c>
      <c r="G30" t="str">
        <f>VLOOKUP(D30,categories!$A$1:$B$8,2,FALSE)</f>
        <v>Electric Bikes</v>
      </c>
    </row>
    <row r="31" spans="1:7" x14ac:dyDescent="0.3">
      <c r="A31">
        <v>49</v>
      </c>
      <c r="B31" t="s">
        <v>52</v>
      </c>
      <c r="C31">
        <v>9</v>
      </c>
      <c r="D31">
        <v>7</v>
      </c>
      <c r="E31">
        <v>2017</v>
      </c>
      <c r="F31">
        <v>3499.99</v>
      </c>
      <c r="G31" t="str">
        <f>VLOOKUP(D31,categories!$A$1:$B$8,2,FALSE)</f>
        <v>Road Bikes</v>
      </c>
    </row>
    <row r="32" spans="1:7" x14ac:dyDescent="0.3">
      <c r="A32">
        <v>62</v>
      </c>
      <c r="B32" t="s">
        <v>65</v>
      </c>
      <c r="C32">
        <v>9</v>
      </c>
      <c r="D32">
        <v>4</v>
      </c>
      <c r="E32">
        <v>2017</v>
      </c>
      <c r="F32">
        <v>3499.99</v>
      </c>
      <c r="G32" t="str">
        <f>VLOOKUP(D32,categories!$A$1:$B$8,2,FALSE)</f>
        <v>Cyclocross Bicycles</v>
      </c>
    </row>
    <row r="33" spans="1:7" x14ac:dyDescent="0.3">
      <c r="A33">
        <v>63</v>
      </c>
      <c r="B33" t="s">
        <v>66</v>
      </c>
      <c r="C33">
        <v>9</v>
      </c>
      <c r="D33">
        <v>4</v>
      </c>
      <c r="E33">
        <v>2017</v>
      </c>
      <c r="F33">
        <v>3499.99</v>
      </c>
      <c r="G33" t="str">
        <f>VLOOKUP(D33,categories!$A$1:$B$8,2,FALSE)</f>
        <v>Cyclocross Bicycles</v>
      </c>
    </row>
    <row r="34" spans="1:7" x14ac:dyDescent="0.3">
      <c r="A34">
        <v>184</v>
      </c>
      <c r="B34" t="s">
        <v>183</v>
      </c>
      <c r="C34">
        <v>9</v>
      </c>
      <c r="D34">
        <v>7</v>
      </c>
      <c r="E34">
        <v>2018</v>
      </c>
      <c r="F34">
        <v>3499.99</v>
      </c>
      <c r="G34" t="str">
        <f>VLOOKUP(D34,categories!$A$1:$B$8,2,FALSE)</f>
        <v>Road Bikes</v>
      </c>
    </row>
    <row r="35" spans="1:7" x14ac:dyDescent="0.3">
      <c r="A35">
        <v>188</v>
      </c>
      <c r="B35" t="s">
        <v>187</v>
      </c>
      <c r="C35">
        <v>9</v>
      </c>
      <c r="D35">
        <v>5</v>
      </c>
      <c r="E35">
        <v>2018</v>
      </c>
      <c r="F35">
        <v>3499.99</v>
      </c>
      <c r="G35" t="str">
        <f>VLOOKUP(D35,categories!$A$1:$B$8,2,FALSE)</f>
        <v>Electric Bikes</v>
      </c>
    </row>
    <row r="36" spans="1:7" x14ac:dyDescent="0.3">
      <c r="A36">
        <v>194</v>
      </c>
      <c r="B36" t="s">
        <v>193</v>
      </c>
      <c r="C36">
        <v>9</v>
      </c>
      <c r="D36">
        <v>5</v>
      </c>
      <c r="E36">
        <v>2018</v>
      </c>
      <c r="F36">
        <v>3499.99</v>
      </c>
      <c r="G36" t="str">
        <f>VLOOKUP(D36,categories!$A$1:$B$8,2,FALSE)</f>
        <v>Electric Bikes</v>
      </c>
    </row>
    <row r="37" spans="1:7" x14ac:dyDescent="0.3">
      <c r="A37">
        <v>200</v>
      </c>
      <c r="B37" t="s">
        <v>199</v>
      </c>
      <c r="C37">
        <v>9</v>
      </c>
      <c r="D37">
        <v>5</v>
      </c>
      <c r="E37">
        <v>2018</v>
      </c>
      <c r="F37">
        <v>3499.99</v>
      </c>
      <c r="G37" t="str">
        <f>VLOOKUP(D37,categories!$A$1:$B$8,2,FALSE)</f>
        <v>Electric Bikes</v>
      </c>
    </row>
    <row r="38" spans="1:7" x14ac:dyDescent="0.3">
      <c r="A38">
        <v>202</v>
      </c>
      <c r="B38" t="s">
        <v>201</v>
      </c>
      <c r="C38">
        <v>9</v>
      </c>
      <c r="D38">
        <v>5</v>
      </c>
      <c r="E38">
        <v>2018</v>
      </c>
      <c r="F38">
        <v>3499.99</v>
      </c>
      <c r="G38" t="str">
        <f>VLOOKUP(D38,categories!$A$1:$B$8,2,FALSE)</f>
        <v>Electric Bikes</v>
      </c>
    </row>
    <row r="39" spans="1:7" x14ac:dyDescent="0.3">
      <c r="A39">
        <v>206</v>
      </c>
      <c r="B39" t="s">
        <v>205</v>
      </c>
      <c r="C39">
        <v>9</v>
      </c>
      <c r="D39">
        <v>4</v>
      </c>
      <c r="E39">
        <v>2018</v>
      </c>
      <c r="F39">
        <v>3299.99</v>
      </c>
      <c r="G39" t="str">
        <f>VLOOKUP(D39,categories!$A$1:$B$8,2,FALSE)</f>
        <v>Cyclocross Bicycles</v>
      </c>
    </row>
    <row r="40" spans="1:7" x14ac:dyDescent="0.3">
      <c r="A40">
        <v>54</v>
      </c>
      <c r="B40" t="s">
        <v>57</v>
      </c>
      <c r="C40">
        <v>9</v>
      </c>
      <c r="D40">
        <v>7</v>
      </c>
      <c r="E40">
        <v>2017</v>
      </c>
      <c r="F40">
        <v>3199.99</v>
      </c>
      <c r="G40" t="str">
        <f>VLOOKUP(D40,categories!$A$1:$B$8,2,FALSE)</f>
        <v>Road Bikes</v>
      </c>
    </row>
    <row r="41" spans="1:7" x14ac:dyDescent="0.3">
      <c r="A41">
        <v>115</v>
      </c>
      <c r="B41" t="s">
        <v>114</v>
      </c>
      <c r="C41">
        <v>9</v>
      </c>
      <c r="D41">
        <v>6</v>
      </c>
      <c r="E41">
        <v>2018</v>
      </c>
      <c r="F41">
        <v>3199.99</v>
      </c>
      <c r="G41" t="str">
        <f>VLOOKUP(D41,categories!$A$1:$B$8,2,FALSE)</f>
        <v>Mountain Bikes</v>
      </c>
    </row>
    <row r="42" spans="1:7" x14ac:dyDescent="0.3">
      <c r="A42">
        <v>142</v>
      </c>
      <c r="B42" t="s">
        <v>141</v>
      </c>
      <c r="C42">
        <v>9</v>
      </c>
      <c r="D42">
        <v>6</v>
      </c>
      <c r="E42">
        <v>2018</v>
      </c>
      <c r="F42">
        <v>3199.99</v>
      </c>
      <c r="G42" t="str">
        <f>VLOOKUP(D42,categories!$A$1:$B$8,2,FALSE)</f>
        <v>Mountain Bikes</v>
      </c>
    </row>
    <row r="43" spans="1:7" x14ac:dyDescent="0.3">
      <c r="A43">
        <v>171</v>
      </c>
      <c r="B43" t="s">
        <v>170</v>
      </c>
      <c r="C43">
        <v>9</v>
      </c>
      <c r="D43">
        <v>7</v>
      </c>
      <c r="E43">
        <v>2018</v>
      </c>
      <c r="F43">
        <v>3199.99</v>
      </c>
      <c r="G43" t="str">
        <f>VLOOKUP(D43,categories!$A$1:$B$8,2,FALSE)</f>
        <v>Road Bikes</v>
      </c>
    </row>
    <row r="44" spans="1:7" x14ac:dyDescent="0.3">
      <c r="A44">
        <v>172</v>
      </c>
      <c r="B44" t="s">
        <v>171</v>
      </c>
      <c r="C44">
        <v>9</v>
      </c>
      <c r="D44">
        <v>7</v>
      </c>
      <c r="E44">
        <v>2018</v>
      </c>
      <c r="F44">
        <v>3199.99</v>
      </c>
      <c r="G44" t="str">
        <f>VLOOKUP(D44,categories!$A$1:$B$8,2,FALSE)</f>
        <v>Road Bikes</v>
      </c>
    </row>
    <row r="45" spans="1:7" x14ac:dyDescent="0.3">
      <c r="A45">
        <v>173</v>
      </c>
      <c r="B45" t="s">
        <v>172</v>
      </c>
      <c r="C45">
        <v>9</v>
      </c>
      <c r="D45">
        <v>7</v>
      </c>
      <c r="E45">
        <v>2018</v>
      </c>
      <c r="F45">
        <v>3199.99</v>
      </c>
      <c r="G45" t="str">
        <f>VLOOKUP(D45,categories!$A$1:$B$8,2,FALSE)</f>
        <v>Road Bikes</v>
      </c>
    </row>
    <row r="46" spans="1:7" x14ac:dyDescent="0.3">
      <c r="A46">
        <v>174</v>
      </c>
      <c r="B46" t="s">
        <v>173</v>
      </c>
      <c r="C46">
        <v>9</v>
      </c>
      <c r="D46">
        <v>7</v>
      </c>
      <c r="E46">
        <v>2018</v>
      </c>
      <c r="F46">
        <v>3199.99</v>
      </c>
      <c r="G46" t="str">
        <f>VLOOKUP(D46,categories!$A$1:$B$8,2,FALSE)</f>
        <v>Road Bikes</v>
      </c>
    </row>
    <row r="47" spans="1:7" x14ac:dyDescent="0.3">
      <c r="A47">
        <v>175</v>
      </c>
      <c r="B47" t="s">
        <v>174</v>
      </c>
      <c r="C47">
        <v>9</v>
      </c>
      <c r="D47">
        <v>7</v>
      </c>
      <c r="E47">
        <v>2018</v>
      </c>
      <c r="F47">
        <v>3199.99</v>
      </c>
      <c r="G47" t="str">
        <f>VLOOKUP(D47,categories!$A$1:$B$8,2,FALSE)</f>
        <v>Road Bikes</v>
      </c>
    </row>
    <row r="48" spans="1:7" x14ac:dyDescent="0.3">
      <c r="A48">
        <v>176</v>
      </c>
      <c r="B48" t="s">
        <v>175</v>
      </c>
      <c r="C48">
        <v>9</v>
      </c>
      <c r="D48">
        <v>7</v>
      </c>
      <c r="E48">
        <v>2018</v>
      </c>
      <c r="F48">
        <v>3199.99</v>
      </c>
      <c r="G48" t="str">
        <f>VLOOKUP(D48,categories!$A$1:$B$8,2,FALSE)</f>
        <v>Road Bikes</v>
      </c>
    </row>
    <row r="49" spans="1:7" x14ac:dyDescent="0.3">
      <c r="A49">
        <v>321</v>
      </c>
      <c r="B49" t="s">
        <v>298</v>
      </c>
      <c r="C49">
        <v>9</v>
      </c>
      <c r="D49">
        <v>7</v>
      </c>
      <c r="E49">
        <v>2019</v>
      </c>
      <c r="F49">
        <v>3199.99</v>
      </c>
      <c r="G49" t="str">
        <f>VLOOKUP(D49,categories!$A$1:$B$8,2,FALSE)</f>
        <v>Road Bikes</v>
      </c>
    </row>
    <row r="50" spans="1:7" x14ac:dyDescent="0.3">
      <c r="A50">
        <v>9</v>
      </c>
      <c r="B50" t="s">
        <v>16</v>
      </c>
      <c r="C50">
        <v>9</v>
      </c>
      <c r="D50">
        <v>5</v>
      </c>
      <c r="E50">
        <v>2016</v>
      </c>
      <c r="F50">
        <v>2999.99</v>
      </c>
      <c r="G50" t="str">
        <f>VLOOKUP(D50,categories!$A$1:$B$8,2,FALSE)</f>
        <v>Electric Bikes</v>
      </c>
    </row>
    <row r="51" spans="1:7" x14ac:dyDescent="0.3">
      <c r="A51">
        <v>139</v>
      </c>
      <c r="B51" t="s">
        <v>138</v>
      </c>
      <c r="C51">
        <v>9</v>
      </c>
      <c r="D51">
        <v>6</v>
      </c>
      <c r="E51">
        <v>2018</v>
      </c>
      <c r="F51">
        <v>2999.99</v>
      </c>
      <c r="G51" t="str">
        <f>VLOOKUP(D51,categories!$A$1:$B$8,2,FALSE)</f>
        <v>Mountain Bikes</v>
      </c>
    </row>
    <row r="52" spans="1:7" x14ac:dyDescent="0.3">
      <c r="A52">
        <v>162</v>
      </c>
      <c r="B52" t="s">
        <v>161</v>
      </c>
      <c r="C52">
        <v>9</v>
      </c>
      <c r="D52">
        <v>7</v>
      </c>
      <c r="E52">
        <v>2018</v>
      </c>
      <c r="F52">
        <v>2999.99</v>
      </c>
      <c r="G52" t="str">
        <f>VLOOKUP(D52,categories!$A$1:$B$8,2,FALSE)</f>
        <v>Road Bikes</v>
      </c>
    </row>
    <row r="53" spans="1:7" x14ac:dyDescent="0.3">
      <c r="A53">
        <v>198</v>
      </c>
      <c r="B53" t="s">
        <v>197</v>
      </c>
      <c r="C53">
        <v>1</v>
      </c>
      <c r="D53">
        <v>5</v>
      </c>
      <c r="E53">
        <v>2018</v>
      </c>
      <c r="F53">
        <v>2999.99</v>
      </c>
      <c r="G53" t="str">
        <f>VLOOKUP(D53,categories!$A$1:$B$8,2,FALSE)</f>
        <v>Electric Bikes</v>
      </c>
    </row>
    <row r="54" spans="1:7" x14ac:dyDescent="0.3">
      <c r="A54">
        <v>199</v>
      </c>
      <c r="B54" t="s">
        <v>198</v>
      </c>
      <c r="C54">
        <v>1</v>
      </c>
      <c r="D54">
        <v>5</v>
      </c>
      <c r="E54">
        <v>2018</v>
      </c>
      <c r="F54">
        <v>2999.99</v>
      </c>
      <c r="G54" t="str">
        <f>VLOOKUP(D54,categories!$A$1:$B$8,2,FALSE)</f>
        <v>Electric Bikes</v>
      </c>
    </row>
    <row r="55" spans="1:7" x14ac:dyDescent="0.3">
      <c r="A55">
        <v>209</v>
      </c>
      <c r="B55" t="s">
        <v>208</v>
      </c>
      <c r="C55">
        <v>9</v>
      </c>
      <c r="D55">
        <v>4</v>
      </c>
      <c r="E55">
        <v>2018</v>
      </c>
      <c r="F55">
        <v>2999.99</v>
      </c>
      <c r="G55" t="str">
        <f>VLOOKUP(D55,categories!$A$1:$B$8,2,FALSE)</f>
        <v>Cyclocross Bicycles</v>
      </c>
    </row>
    <row r="56" spans="1:7" x14ac:dyDescent="0.3">
      <c r="A56">
        <v>251</v>
      </c>
      <c r="B56" t="s">
        <v>197</v>
      </c>
      <c r="C56">
        <v>1</v>
      </c>
      <c r="D56">
        <v>3</v>
      </c>
      <c r="E56">
        <v>2018</v>
      </c>
      <c r="F56">
        <v>2999.99</v>
      </c>
      <c r="G56" t="str">
        <f>VLOOKUP(D56,categories!$A$1:$B$8,2,FALSE)</f>
        <v>Cruisers Bicycles</v>
      </c>
    </row>
    <row r="57" spans="1:7" x14ac:dyDescent="0.3">
      <c r="A57">
        <v>252</v>
      </c>
      <c r="B57" t="s">
        <v>198</v>
      </c>
      <c r="C57">
        <v>1</v>
      </c>
      <c r="D57">
        <v>3</v>
      </c>
      <c r="E57">
        <v>2018</v>
      </c>
      <c r="F57">
        <v>2999.99</v>
      </c>
      <c r="G57" t="str">
        <f>VLOOKUP(D57,categories!$A$1:$B$8,2,FALSE)</f>
        <v>Cruisers Bicycles</v>
      </c>
    </row>
    <row r="58" spans="1:7" x14ac:dyDescent="0.3">
      <c r="A58">
        <v>4</v>
      </c>
      <c r="B58" t="s">
        <v>11</v>
      </c>
      <c r="C58">
        <v>9</v>
      </c>
      <c r="D58">
        <v>6</v>
      </c>
      <c r="E58">
        <v>2016</v>
      </c>
      <c r="F58">
        <v>2899.99</v>
      </c>
      <c r="G58" t="str">
        <f>VLOOKUP(D58,categories!$A$1:$B$8,2,FALSE)</f>
        <v>Mountain Bikes</v>
      </c>
    </row>
    <row r="59" spans="1:7" x14ac:dyDescent="0.3">
      <c r="A59">
        <v>185</v>
      </c>
      <c r="B59" t="s">
        <v>184</v>
      </c>
      <c r="C59">
        <v>9</v>
      </c>
      <c r="D59">
        <v>5</v>
      </c>
      <c r="E59">
        <v>2018</v>
      </c>
      <c r="F59">
        <v>2799.99</v>
      </c>
      <c r="G59" t="str">
        <f>VLOOKUP(D59,categories!$A$1:$B$8,2,FALSE)</f>
        <v>Electric Bikes</v>
      </c>
    </row>
    <row r="60" spans="1:7" x14ac:dyDescent="0.3">
      <c r="A60">
        <v>187</v>
      </c>
      <c r="B60" t="s">
        <v>186</v>
      </c>
      <c r="C60">
        <v>9</v>
      </c>
      <c r="D60">
        <v>5</v>
      </c>
      <c r="E60">
        <v>2018</v>
      </c>
      <c r="F60">
        <v>2799.99</v>
      </c>
      <c r="G60" t="str">
        <f>VLOOKUP(D60,categories!$A$1:$B$8,2,FALSE)</f>
        <v>Electric Bikes</v>
      </c>
    </row>
    <row r="61" spans="1:7" x14ac:dyDescent="0.3">
      <c r="A61">
        <v>189</v>
      </c>
      <c r="B61" t="s">
        <v>188</v>
      </c>
      <c r="C61">
        <v>9</v>
      </c>
      <c r="D61">
        <v>5</v>
      </c>
      <c r="E61">
        <v>2018</v>
      </c>
      <c r="F61">
        <v>2799.99</v>
      </c>
      <c r="G61" t="str">
        <f>VLOOKUP(D61,categories!$A$1:$B$8,2,FALSE)</f>
        <v>Electric Bikes</v>
      </c>
    </row>
    <row r="62" spans="1:7" x14ac:dyDescent="0.3">
      <c r="A62">
        <v>190</v>
      </c>
      <c r="B62" t="s">
        <v>189</v>
      </c>
      <c r="C62">
        <v>9</v>
      </c>
      <c r="D62">
        <v>5</v>
      </c>
      <c r="E62">
        <v>2018</v>
      </c>
      <c r="F62">
        <v>2799.99</v>
      </c>
      <c r="G62" t="str">
        <f>VLOOKUP(D62,categories!$A$1:$B$8,2,FALSE)</f>
        <v>Electric Bikes</v>
      </c>
    </row>
    <row r="63" spans="1:7" x14ac:dyDescent="0.3">
      <c r="A63">
        <v>191</v>
      </c>
      <c r="B63" t="s">
        <v>190</v>
      </c>
      <c r="C63">
        <v>1</v>
      </c>
      <c r="D63">
        <v>5</v>
      </c>
      <c r="E63">
        <v>2018</v>
      </c>
      <c r="F63">
        <v>2799.99</v>
      </c>
      <c r="G63" t="str">
        <f>VLOOKUP(D63,categories!$A$1:$B$8,2,FALSE)</f>
        <v>Electric Bikes</v>
      </c>
    </row>
    <row r="64" spans="1:7" x14ac:dyDescent="0.3">
      <c r="A64">
        <v>193</v>
      </c>
      <c r="B64" t="s">
        <v>192</v>
      </c>
      <c r="C64">
        <v>9</v>
      </c>
      <c r="D64">
        <v>5</v>
      </c>
      <c r="E64">
        <v>2018</v>
      </c>
      <c r="F64">
        <v>2799.99</v>
      </c>
      <c r="G64" t="str">
        <f>VLOOKUP(D64,categories!$A$1:$B$8,2,FALSE)</f>
        <v>Electric Bikes</v>
      </c>
    </row>
    <row r="65" spans="1:7" x14ac:dyDescent="0.3">
      <c r="A65">
        <v>319</v>
      </c>
      <c r="B65" t="s">
        <v>296</v>
      </c>
      <c r="C65">
        <v>9</v>
      </c>
      <c r="D65">
        <v>7</v>
      </c>
      <c r="E65">
        <v>2019</v>
      </c>
      <c r="F65">
        <v>2799.99</v>
      </c>
      <c r="G65" t="str">
        <f>VLOOKUP(D65,categories!$A$1:$B$8,2,FALSE)</f>
        <v>Road Bikes</v>
      </c>
    </row>
    <row r="66" spans="1:7" x14ac:dyDescent="0.3">
      <c r="A66">
        <v>55</v>
      </c>
      <c r="B66" t="s">
        <v>58</v>
      </c>
      <c r="C66">
        <v>9</v>
      </c>
      <c r="D66">
        <v>7</v>
      </c>
      <c r="E66">
        <v>2017</v>
      </c>
      <c r="F66">
        <v>2699.99</v>
      </c>
      <c r="G66" t="str">
        <f>VLOOKUP(D66,categories!$A$1:$B$8,2,FALSE)</f>
        <v>Road Bikes</v>
      </c>
    </row>
    <row r="67" spans="1:7" x14ac:dyDescent="0.3">
      <c r="A67">
        <v>59</v>
      </c>
      <c r="B67" t="s">
        <v>62</v>
      </c>
      <c r="C67">
        <v>9</v>
      </c>
      <c r="D67">
        <v>7</v>
      </c>
      <c r="E67">
        <v>2017</v>
      </c>
      <c r="F67">
        <v>2599.9899999999998</v>
      </c>
      <c r="G67" t="str">
        <f>VLOOKUP(D67,categories!$A$1:$B$8,2,FALSE)</f>
        <v>Road Bikes</v>
      </c>
    </row>
    <row r="68" spans="1:7" x14ac:dyDescent="0.3">
      <c r="A68">
        <v>192</v>
      </c>
      <c r="B68" t="s">
        <v>191</v>
      </c>
      <c r="C68">
        <v>1</v>
      </c>
      <c r="D68">
        <v>5</v>
      </c>
      <c r="E68">
        <v>2018</v>
      </c>
      <c r="F68">
        <v>2599.9899999999998</v>
      </c>
      <c r="G68" t="str">
        <f>VLOOKUP(D68,categories!$A$1:$B$8,2,FALSE)</f>
        <v>Electric Bikes</v>
      </c>
    </row>
    <row r="69" spans="1:7" x14ac:dyDescent="0.3">
      <c r="A69">
        <v>195</v>
      </c>
      <c r="B69" t="s">
        <v>194</v>
      </c>
      <c r="C69">
        <v>1</v>
      </c>
      <c r="D69">
        <v>5</v>
      </c>
      <c r="E69">
        <v>2018</v>
      </c>
      <c r="F69">
        <v>2599.9899999999998</v>
      </c>
      <c r="G69" t="str">
        <f>VLOOKUP(D69,categories!$A$1:$B$8,2,FALSE)</f>
        <v>Electric Bikes</v>
      </c>
    </row>
    <row r="70" spans="1:7" x14ac:dyDescent="0.3">
      <c r="A70">
        <v>250</v>
      </c>
      <c r="B70" t="s">
        <v>191</v>
      </c>
      <c r="C70">
        <v>1</v>
      </c>
      <c r="D70">
        <v>3</v>
      </c>
      <c r="E70">
        <v>2018</v>
      </c>
      <c r="F70">
        <v>2599.9899999999998</v>
      </c>
      <c r="G70" t="str">
        <f>VLOOKUP(D70,categories!$A$1:$B$8,2,FALSE)</f>
        <v>Cruisers Bicycles</v>
      </c>
    </row>
    <row r="71" spans="1:7" x14ac:dyDescent="0.3">
      <c r="A71">
        <v>253</v>
      </c>
      <c r="B71" t="s">
        <v>194</v>
      </c>
      <c r="C71">
        <v>1</v>
      </c>
      <c r="D71">
        <v>3</v>
      </c>
      <c r="E71">
        <v>2018</v>
      </c>
      <c r="F71">
        <v>2599.9899999999998</v>
      </c>
      <c r="G71" t="str">
        <f>VLOOKUP(D71,categories!$A$1:$B$8,2,FALSE)</f>
        <v>Cruisers Bicycles</v>
      </c>
    </row>
    <row r="72" spans="1:7" x14ac:dyDescent="0.3">
      <c r="A72">
        <v>303</v>
      </c>
      <c r="B72" t="s">
        <v>191</v>
      </c>
      <c r="C72">
        <v>1</v>
      </c>
      <c r="D72">
        <v>2</v>
      </c>
      <c r="E72">
        <v>2018</v>
      </c>
      <c r="F72">
        <v>2599.9899999999998</v>
      </c>
      <c r="G72" t="str">
        <f>VLOOKUP(D72,categories!$A$1:$B$8,2,FALSE)</f>
        <v>Comfort Bicycles</v>
      </c>
    </row>
    <row r="73" spans="1:7" x14ac:dyDescent="0.3">
      <c r="A73">
        <v>131</v>
      </c>
      <c r="B73" t="s">
        <v>130</v>
      </c>
      <c r="C73">
        <v>3</v>
      </c>
      <c r="D73">
        <v>6</v>
      </c>
      <c r="E73">
        <v>2018</v>
      </c>
      <c r="F73">
        <v>2599</v>
      </c>
      <c r="G73" t="str">
        <f>VLOOKUP(D73,categories!$A$1:$B$8,2,FALSE)</f>
        <v>Mountain Bikes</v>
      </c>
    </row>
    <row r="74" spans="1:7" x14ac:dyDescent="0.3">
      <c r="A74">
        <v>137</v>
      </c>
      <c r="B74" t="s">
        <v>136</v>
      </c>
      <c r="C74">
        <v>3</v>
      </c>
      <c r="D74">
        <v>6</v>
      </c>
      <c r="E74">
        <v>2018</v>
      </c>
      <c r="F74">
        <v>2599</v>
      </c>
      <c r="G74" t="str">
        <f>VLOOKUP(D74,categories!$A$1:$B$8,2,FALSE)</f>
        <v>Mountain Bikes</v>
      </c>
    </row>
    <row r="75" spans="1:7" x14ac:dyDescent="0.3">
      <c r="A75">
        <v>28</v>
      </c>
      <c r="B75" t="s">
        <v>31</v>
      </c>
      <c r="C75">
        <v>8</v>
      </c>
      <c r="D75">
        <v>6</v>
      </c>
      <c r="E75">
        <v>2017</v>
      </c>
      <c r="F75">
        <v>2499.9899999999998</v>
      </c>
      <c r="G75" t="str">
        <f>VLOOKUP(D75,categories!$A$1:$B$8,2,FALSE)</f>
        <v>Mountain Bikes</v>
      </c>
    </row>
    <row r="76" spans="1:7" x14ac:dyDescent="0.3">
      <c r="A76">
        <v>120</v>
      </c>
      <c r="B76" t="s">
        <v>119</v>
      </c>
      <c r="C76">
        <v>9</v>
      </c>
      <c r="D76">
        <v>6</v>
      </c>
      <c r="E76">
        <v>2018</v>
      </c>
      <c r="F76">
        <v>2499.9899999999998</v>
      </c>
      <c r="G76" t="str">
        <f>VLOOKUP(D76,categories!$A$1:$B$8,2,FALSE)</f>
        <v>Mountain Bikes</v>
      </c>
    </row>
    <row r="77" spans="1:7" x14ac:dyDescent="0.3">
      <c r="A77">
        <v>121</v>
      </c>
      <c r="B77" t="s">
        <v>120</v>
      </c>
      <c r="C77">
        <v>8</v>
      </c>
      <c r="D77">
        <v>6</v>
      </c>
      <c r="E77">
        <v>2018</v>
      </c>
      <c r="F77">
        <v>2499.9899999999998</v>
      </c>
      <c r="G77" t="str">
        <f>VLOOKUP(D77,categories!$A$1:$B$8,2,FALSE)</f>
        <v>Mountain Bikes</v>
      </c>
    </row>
    <row r="78" spans="1:7" x14ac:dyDescent="0.3">
      <c r="A78">
        <v>122</v>
      </c>
      <c r="B78" t="s">
        <v>121</v>
      </c>
      <c r="C78">
        <v>8</v>
      </c>
      <c r="D78">
        <v>6</v>
      </c>
      <c r="E78">
        <v>2018</v>
      </c>
      <c r="F78">
        <v>2499.9899999999998</v>
      </c>
      <c r="G78" t="str">
        <f>VLOOKUP(D78,categories!$A$1:$B$8,2,FALSE)</f>
        <v>Mountain Bikes</v>
      </c>
    </row>
    <row r="79" spans="1:7" x14ac:dyDescent="0.3">
      <c r="A79">
        <v>152</v>
      </c>
      <c r="B79" t="s">
        <v>151</v>
      </c>
      <c r="C79">
        <v>9</v>
      </c>
      <c r="D79">
        <v>7</v>
      </c>
      <c r="E79">
        <v>2018</v>
      </c>
      <c r="F79">
        <v>2499.9899999999998</v>
      </c>
      <c r="G79" t="str">
        <f>VLOOKUP(D79,categories!$A$1:$B$8,2,FALSE)</f>
        <v>Road Bikes</v>
      </c>
    </row>
    <row r="80" spans="1:7" x14ac:dyDescent="0.3">
      <c r="A80">
        <v>165</v>
      </c>
      <c r="B80" t="s">
        <v>164</v>
      </c>
      <c r="C80">
        <v>9</v>
      </c>
      <c r="D80">
        <v>7</v>
      </c>
      <c r="E80">
        <v>2018</v>
      </c>
      <c r="F80">
        <v>2499.9899999999998</v>
      </c>
      <c r="G80" t="str">
        <f>VLOOKUP(D80,categories!$A$1:$B$8,2,FALSE)</f>
        <v>Road Bikes</v>
      </c>
    </row>
    <row r="81" spans="1:7" x14ac:dyDescent="0.3">
      <c r="A81">
        <v>182</v>
      </c>
      <c r="B81" t="s">
        <v>181</v>
      </c>
      <c r="C81">
        <v>9</v>
      </c>
      <c r="D81">
        <v>7</v>
      </c>
      <c r="E81">
        <v>2018</v>
      </c>
      <c r="F81">
        <v>2499.9899999999998</v>
      </c>
      <c r="G81" t="str">
        <f>VLOOKUP(D81,categories!$A$1:$B$8,2,FALSE)</f>
        <v>Road Bikes</v>
      </c>
    </row>
    <row r="82" spans="1:7" x14ac:dyDescent="0.3">
      <c r="A82">
        <v>42</v>
      </c>
      <c r="B82" t="s">
        <v>45</v>
      </c>
      <c r="C82">
        <v>9</v>
      </c>
      <c r="D82">
        <v>6</v>
      </c>
      <c r="E82">
        <v>2017</v>
      </c>
      <c r="F82">
        <v>2299.9899999999998</v>
      </c>
      <c r="G82" t="str">
        <f>VLOOKUP(D82,categories!$A$1:$B$8,2,FALSE)</f>
        <v>Mountain Bikes</v>
      </c>
    </row>
    <row r="83" spans="1:7" x14ac:dyDescent="0.3">
      <c r="A83">
        <v>159</v>
      </c>
      <c r="B83" t="s">
        <v>158</v>
      </c>
      <c r="C83">
        <v>9</v>
      </c>
      <c r="D83">
        <v>7</v>
      </c>
      <c r="E83">
        <v>2018</v>
      </c>
      <c r="F83">
        <v>2299.9899999999998</v>
      </c>
      <c r="G83" t="str">
        <f>VLOOKUP(D83,categories!$A$1:$B$8,2,FALSE)</f>
        <v>Road Bikes</v>
      </c>
    </row>
    <row r="84" spans="1:7" x14ac:dyDescent="0.3">
      <c r="A84">
        <v>196</v>
      </c>
      <c r="B84" t="s">
        <v>195</v>
      </c>
      <c r="C84">
        <v>9</v>
      </c>
      <c r="D84">
        <v>5</v>
      </c>
      <c r="E84">
        <v>2018</v>
      </c>
      <c r="F84">
        <v>2299.9899999999998</v>
      </c>
      <c r="G84" t="str">
        <f>VLOOKUP(D84,categories!$A$1:$B$8,2,FALSE)</f>
        <v>Electric Bikes</v>
      </c>
    </row>
    <row r="85" spans="1:7" x14ac:dyDescent="0.3">
      <c r="A85">
        <v>197</v>
      </c>
      <c r="B85" t="s">
        <v>196</v>
      </c>
      <c r="C85">
        <v>9</v>
      </c>
      <c r="D85">
        <v>5</v>
      </c>
      <c r="E85">
        <v>2018</v>
      </c>
      <c r="F85">
        <v>2299.9899999999998</v>
      </c>
      <c r="G85" t="str">
        <f>VLOOKUP(D85,categories!$A$1:$B$8,2,FALSE)</f>
        <v>Electric Bikes</v>
      </c>
    </row>
    <row r="86" spans="1:7" x14ac:dyDescent="0.3">
      <c r="A86">
        <v>138</v>
      </c>
      <c r="B86" t="s">
        <v>137</v>
      </c>
      <c r="C86">
        <v>9</v>
      </c>
      <c r="D86">
        <v>6</v>
      </c>
      <c r="E86">
        <v>2018</v>
      </c>
      <c r="F86">
        <v>2249.9899999999998</v>
      </c>
      <c r="G86" t="str">
        <f>VLOOKUP(D86,categories!$A$1:$B$8,2,FALSE)</f>
        <v>Mountain Bikes</v>
      </c>
    </row>
    <row r="87" spans="1:7" x14ac:dyDescent="0.3">
      <c r="A87">
        <v>181</v>
      </c>
      <c r="B87" t="s">
        <v>180</v>
      </c>
      <c r="C87">
        <v>9</v>
      </c>
      <c r="D87">
        <v>7</v>
      </c>
      <c r="E87">
        <v>2018</v>
      </c>
      <c r="F87">
        <v>2199.9899999999998</v>
      </c>
      <c r="G87" t="str">
        <f>VLOOKUP(D87,categories!$A$1:$B$8,2,FALSE)</f>
        <v>Road Bikes</v>
      </c>
    </row>
    <row r="88" spans="1:7" x14ac:dyDescent="0.3">
      <c r="A88">
        <v>183</v>
      </c>
      <c r="B88" t="s">
        <v>182</v>
      </c>
      <c r="C88">
        <v>9</v>
      </c>
      <c r="D88">
        <v>7</v>
      </c>
      <c r="E88">
        <v>2018</v>
      </c>
      <c r="F88">
        <v>2199.9899999999998</v>
      </c>
      <c r="G88" t="str">
        <f>VLOOKUP(D88,categories!$A$1:$B$8,2,FALSE)</f>
        <v>Road Bikes</v>
      </c>
    </row>
    <row r="89" spans="1:7" x14ac:dyDescent="0.3">
      <c r="A89">
        <v>57</v>
      </c>
      <c r="B89" t="s">
        <v>60</v>
      </c>
      <c r="C89">
        <v>9</v>
      </c>
      <c r="D89">
        <v>7</v>
      </c>
      <c r="E89">
        <v>2017</v>
      </c>
      <c r="F89">
        <v>1999.99</v>
      </c>
      <c r="G89" t="str">
        <f>VLOOKUP(D89,categories!$A$1:$B$8,2,FALSE)</f>
        <v>Road Bikes</v>
      </c>
    </row>
    <row r="90" spans="1:7" x14ac:dyDescent="0.3">
      <c r="A90">
        <v>317</v>
      </c>
      <c r="B90" t="s">
        <v>294</v>
      </c>
      <c r="C90">
        <v>9</v>
      </c>
      <c r="D90">
        <v>7</v>
      </c>
      <c r="E90">
        <v>2019</v>
      </c>
      <c r="F90">
        <v>1999.99</v>
      </c>
      <c r="G90" t="str">
        <f>VLOOKUP(D90,categories!$A$1:$B$8,2,FALSE)</f>
        <v>Road Bikes</v>
      </c>
    </row>
    <row r="91" spans="1:7" x14ac:dyDescent="0.3">
      <c r="A91">
        <v>318</v>
      </c>
      <c r="B91" t="s">
        <v>295</v>
      </c>
      <c r="C91">
        <v>9</v>
      </c>
      <c r="D91">
        <v>7</v>
      </c>
      <c r="E91">
        <v>2019</v>
      </c>
      <c r="F91">
        <v>1999.99</v>
      </c>
      <c r="G91" t="str">
        <f>VLOOKUP(D91,categories!$A$1:$B$8,2,FALSE)</f>
        <v>Road Bikes</v>
      </c>
    </row>
    <row r="92" spans="1:7" x14ac:dyDescent="0.3">
      <c r="A92">
        <v>128</v>
      </c>
      <c r="B92" t="s">
        <v>127</v>
      </c>
      <c r="C92">
        <v>8</v>
      </c>
      <c r="D92">
        <v>6</v>
      </c>
      <c r="E92">
        <v>2018</v>
      </c>
      <c r="F92">
        <v>1899</v>
      </c>
      <c r="G92" t="str">
        <f>VLOOKUP(D92,categories!$A$1:$B$8,2,FALSE)</f>
        <v>Mountain Bikes</v>
      </c>
    </row>
    <row r="93" spans="1:7" x14ac:dyDescent="0.3">
      <c r="A93">
        <v>161</v>
      </c>
      <c r="B93" t="s">
        <v>160</v>
      </c>
      <c r="C93">
        <v>8</v>
      </c>
      <c r="D93">
        <v>7</v>
      </c>
      <c r="E93">
        <v>2018</v>
      </c>
      <c r="F93">
        <v>1899</v>
      </c>
      <c r="G93" t="str">
        <f>VLOOKUP(D93,categories!$A$1:$B$8,2,FALSE)</f>
        <v>Road Bikes</v>
      </c>
    </row>
    <row r="94" spans="1:7" x14ac:dyDescent="0.3">
      <c r="A94">
        <v>8</v>
      </c>
      <c r="B94" t="s">
        <v>15</v>
      </c>
      <c r="C94">
        <v>9</v>
      </c>
      <c r="D94">
        <v>6</v>
      </c>
      <c r="E94">
        <v>2016</v>
      </c>
      <c r="F94">
        <v>1799.99</v>
      </c>
      <c r="G94" t="str">
        <f>VLOOKUP(D94,categories!$A$1:$B$8,2,FALSE)</f>
        <v>Mountain Bikes</v>
      </c>
    </row>
    <row r="95" spans="1:7" x14ac:dyDescent="0.3">
      <c r="A95">
        <v>136</v>
      </c>
      <c r="B95" t="s">
        <v>135</v>
      </c>
      <c r="C95">
        <v>9</v>
      </c>
      <c r="D95">
        <v>6</v>
      </c>
      <c r="E95">
        <v>2018</v>
      </c>
      <c r="F95">
        <v>1799.99</v>
      </c>
      <c r="G95" t="str">
        <f>VLOOKUP(D95,categories!$A$1:$B$8,2,FALSE)</f>
        <v>Mountain Bikes</v>
      </c>
    </row>
    <row r="96" spans="1:7" x14ac:dyDescent="0.3">
      <c r="A96">
        <v>145</v>
      </c>
      <c r="B96" t="s">
        <v>144</v>
      </c>
      <c r="C96">
        <v>9</v>
      </c>
      <c r="D96">
        <v>7</v>
      </c>
      <c r="E96">
        <v>2018</v>
      </c>
      <c r="F96">
        <v>1799.99</v>
      </c>
      <c r="G96" t="str">
        <f>VLOOKUP(D96,categories!$A$1:$B$8,2,FALSE)</f>
        <v>Road Bikes</v>
      </c>
    </row>
    <row r="97" spans="1:7" x14ac:dyDescent="0.3">
      <c r="A97">
        <v>147</v>
      </c>
      <c r="B97" t="s">
        <v>146</v>
      </c>
      <c r="C97">
        <v>9</v>
      </c>
      <c r="D97">
        <v>7</v>
      </c>
      <c r="E97">
        <v>2018</v>
      </c>
      <c r="F97">
        <v>1799.99</v>
      </c>
      <c r="G97" t="str">
        <f>VLOOKUP(D97,categories!$A$1:$B$8,2,FALSE)</f>
        <v>Road Bikes</v>
      </c>
    </row>
    <row r="98" spans="1:7" x14ac:dyDescent="0.3">
      <c r="A98">
        <v>208</v>
      </c>
      <c r="B98" t="s">
        <v>207</v>
      </c>
      <c r="C98">
        <v>9</v>
      </c>
      <c r="D98">
        <v>4</v>
      </c>
      <c r="E98">
        <v>2018</v>
      </c>
      <c r="F98">
        <v>1799.99</v>
      </c>
      <c r="G98" t="str">
        <f>VLOOKUP(D98,categories!$A$1:$B$8,2,FALSE)</f>
        <v>Cyclocross Bicycles</v>
      </c>
    </row>
    <row r="99" spans="1:7" x14ac:dyDescent="0.3">
      <c r="A99">
        <v>316</v>
      </c>
      <c r="B99" t="s">
        <v>293</v>
      </c>
      <c r="C99">
        <v>9</v>
      </c>
      <c r="D99">
        <v>7</v>
      </c>
      <c r="E99">
        <v>2019</v>
      </c>
      <c r="F99">
        <v>1699.99</v>
      </c>
      <c r="G99" t="str">
        <f>VLOOKUP(D99,categories!$A$1:$B$8,2,FALSE)</f>
        <v>Road Bikes</v>
      </c>
    </row>
    <row r="100" spans="1:7" x14ac:dyDescent="0.3">
      <c r="A100">
        <v>11</v>
      </c>
      <c r="B100" t="s">
        <v>18</v>
      </c>
      <c r="C100">
        <v>8</v>
      </c>
      <c r="D100">
        <v>4</v>
      </c>
      <c r="E100">
        <v>2016</v>
      </c>
      <c r="F100">
        <v>1680.99</v>
      </c>
      <c r="G100" t="str">
        <f>VLOOKUP(D100,categories!$A$1:$B$8,2,FALSE)</f>
        <v>Cyclocross Bicycles</v>
      </c>
    </row>
    <row r="101" spans="1:7" x14ac:dyDescent="0.3">
      <c r="A101">
        <v>31</v>
      </c>
      <c r="B101" t="s">
        <v>34</v>
      </c>
      <c r="C101">
        <v>8</v>
      </c>
      <c r="D101">
        <v>6</v>
      </c>
      <c r="E101">
        <v>2017</v>
      </c>
      <c r="F101">
        <v>1632.99</v>
      </c>
      <c r="G101" t="str">
        <f>VLOOKUP(D101,categories!$A$1:$B$8,2,FALSE)</f>
        <v>Mountain Bikes</v>
      </c>
    </row>
    <row r="102" spans="1:7" x14ac:dyDescent="0.3">
      <c r="A102">
        <v>141</v>
      </c>
      <c r="B102" t="s">
        <v>140</v>
      </c>
      <c r="C102">
        <v>9</v>
      </c>
      <c r="D102">
        <v>6</v>
      </c>
      <c r="E102">
        <v>2018</v>
      </c>
      <c r="F102">
        <v>1599.99</v>
      </c>
      <c r="G102" t="str">
        <f>VLOOKUP(D102,categories!$A$1:$B$8,2,FALSE)</f>
        <v>Mountain Bikes</v>
      </c>
    </row>
    <row r="103" spans="1:7" x14ac:dyDescent="0.3">
      <c r="A103">
        <v>60</v>
      </c>
      <c r="B103" t="s">
        <v>63</v>
      </c>
      <c r="C103">
        <v>7</v>
      </c>
      <c r="D103">
        <v>5</v>
      </c>
      <c r="E103">
        <v>2017</v>
      </c>
      <c r="F103">
        <v>1559.99</v>
      </c>
      <c r="G103" t="str">
        <f>VLOOKUP(D103,categories!$A$1:$B$8,2,FALSE)</f>
        <v>Electric Bikes</v>
      </c>
    </row>
    <row r="104" spans="1:7" x14ac:dyDescent="0.3">
      <c r="A104">
        <v>144</v>
      </c>
      <c r="B104" t="s">
        <v>143</v>
      </c>
      <c r="C104">
        <v>9</v>
      </c>
      <c r="D104">
        <v>7</v>
      </c>
      <c r="E104">
        <v>2018</v>
      </c>
      <c r="F104">
        <v>1549.99</v>
      </c>
      <c r="G104" t="str">
        <f>VLOOKUP(D104,categories!$A$1:$B$8,2,FALSE)</f>
        <v>Road Bikes</v>
      </c>
    </row>
    <row r="105" spans="1:7" x14ac:dyDescent="0.3">
      <c r="A105">
        <v>151</v>
      </c>
      <c r="B105" t="s">
        <v>150</v>
      </c>
      <c r="C105">
        <v>9</v>
      </c>
      <c r="D105">
        <v>7</v>
      </c>
      <c r="E105">
        <v>2018</v>
      </c>
      <c r="F105">
        <v>1549.99</v>
      </c>
      <c r="G105" t="str">
        <f>VLOOKUP(D105,categories!$A$1:$B$8,2,FALSE)</f>
        <v>Road Bikes</v>
      </c>
    </row>
    <row r="106" spans="1:7" x14ac:dyDescent="0.3">
      <c r="A106">
        <v>10</v>
      </c>
      <c r="B106" t="s">
        <v>17</v>
      </c>
      <c r="C106">
        <v>8</v>
      </c>
      <c r="D106">
        <v>4</v>
      </c>
      <c r="E106">
        <v>2016</v>
      </c>
      <c r="F106">
        <v>1549</v>
      </c>
      <c r="G106" t="str">
        <f>VLOOKUP(D106,categories!$A$1:$B$8,2,FALSE)</f>
        <v>Cyclocross Bicycles</v>
      </c>
    </row>
    <row r="107" spans="1:7" x14ac:dyDescent="0.3">
      <c r="A107">
        <v>164</v>
      </c>
      <c r="B107" t="s">
        <v>163</v>
      </c>
      <c r="C107">
        <v>8</v>
      </c>
      <c r="D107">
        <v>7</v>
      </c>
      <c r="E107">
        <v>2018</v>
      </c>
      <c r="F107">
        <v>1549</v>
      </c>
      <c r="G107" t="str">
        <f>VLOOKUP(D107,categories!$A$1:$B$8,2,FALSE)</f>
        <v>Road Bikes</v>
      </c>
    </row>
    <row r="108" spans="1:7" x14ac:dyDescent="0.3">
      <c r="A108">
        <v>168</v>
      </c>
      <c r="B108" t="s">
        <v>167</v>
      </c>
      <c r="C108">
        <v>8</v>
      </c>
      <c r="D108">
        <v>7</v>
      </c>
      <c r="E108">
        <v>2018</v>
      </c>
      <c r="F108">
        <v>1549</v>
      </c>
      <c r="G108" t="str">
        <f>VLOOKUP(D108,categories!$A$1:$B$8,2,FALSE)</f>
        <v>Road Bikes</v>
      </c>
    </row>
    <row r="109" spans="1:7" x14ac:dyDescent="0.3">
      <c r="A109">
        <v>210</v>
      </c>
      <c r="B109" t="s">
        <v>167</v>
      </c>
      <c r="C109">
        <v>8</v>
      </c>
      <c r="D109">
        <v>4</v>
      </c>
      <c r="E109">
        <v>2018</v>
      </c>
      <c r="F109">
        <v>1549</v>
      </c>
      <c r="G109" t="str">
        <f>VLOOKUP(D109,categories!$A$1:$B$8,2,FALSE)</f>
        <v>Cyclocross Bicycles</v>
      </c>
    </row>
    <row r="110" spans="1:7" x14ac:dyDescent="0.3">
      <c r="A110">
        <v>211</v>
      </c>
      <c r="B110" t="s">
        <v>163</v>
      </c>
      <c r="C110">
        <v>8</v>
      </c>
      <c r="D110">
        <v>4</v>
      </c>
      <c r="E110">
        <v>2018</v>
      </c>
      <c r="F110">
        <v>1549</v>
      </c>
      <c r="G110" t="str">
        <f>VLOOKUP(D110,categories!$A$1:$B$8,2,FALSE)</f>
        <v>Cyclocross Bicycles</v>
      </c>
    </row>
    <row r="111" spans="1:7" x14ac:dyDescent="0.3">
      <c r="A111">
        <v>39</v>
      </c>
      <c r="B111" t="s">
        <v>42</v>
      </c>
      <c r="C111">
        <v>9</v>
      </c>
      <c r="D111">
        <v>6</v>
      </c>
      <c r="E111">
        <v>2017</v>
      </c>
      <c r="F111">
        <v>1499.99</v>
      </c>
      <c r="G111" t="str">
        <f>VLOOKUP(D111,categories!$A$1:$B$8,2,FALSE)</f>
        <v>Mountain Bikes</v>
      </c>
    </row>
    <row r="112" spans="1:7" x14ac:dyDescent="0.3">
      <c r="A112">
        <v>48</v>
      </c>
      <c r="B112" t="s">
        <v>51</v>
      </c>
      <c r="C112">
        <v>9</v>
      </c>
      <c r="D112">
        <v>7</v>
      </c>
      <c r="E112">
        <v>2017</v>
      </c>
      <c r="F112">
        <v>1499.99</v>
      </c>
      <c r="G112" t="str">
        <f>VLOOKUP(D112,categories!$A$1:$B$8,2,FALSE)</f>
        <v>Road Bikes</v>
      </c>
    </row>
    <row r="113" spans="1:7" x14ac:dyDescent="0.3">
      <c r="A113">
        <v>132</v>
      </c>
      <c r="B113" t="s">
        <v>131</v>
      </c>
      <c r="C113">
        <v>9</v>
      </c>
      <c r="D113">
        <v>6</v>
      </c>
      <c r="E113">
        <v>2018</v>
      </c>
      <c r="F113">
        <v>1499.99</v>
      </c>
      <c r="G113" t="str">
        <f>VLOOKUP(D113,categories!$A$1:$B$8,2,FALSE)</f>
        <v>Mountain Bikes</v>
      </c>
    </row>
    <row r="114" spans="1:7" x14ac:dyDescent="0.3">
      <c r="A114">
        <v>133</v>
      </c>
      <c r="B114" t="s">
        <v>132</v>
      </c>
      <c r="C114">
        <v>9</v>
      </c>
      <c r="D114">
        <v>6</v>
      </c>
      <c r="E114">
        <v>2018</v>
      </c>
      <c r="F114">
        <v>1499.99</v>
      </c>
      <c r="G114" t="str">
        <f>VLOOKUP(D114,categories!$A$1:$B$8,2,FALSE)</f>
        <v>Mountain Bikes</v>
      </c>
    </row>
    <row r="115" spans="1:7" x14ac:dyDescent="0.3">
      <c r="A115">
        <v>134</v>
      </c>
      <c r="B115" t="s">
        <v>133</v>
      </c>
      <c r="C115">
        <v>9</v>
      </c>
      <c r="D115">
        <v>6</v>
      </c>
      <c r="E115">
        <v>2018</v>
      </c>
      <c r="F115">
        <v>1499.99</v>
      </c>
      <c r="G115" t="str">
        <f>VLOOKUP(D115,categories!$A$1:$B$8,2,FALSE)</f>
        <v>Mountain Bikes</v>
      </c>
    </row>
    <row r="116" spans="1:7" x14ac:dyDescent="0.3">
      <c r="A116">
        <v>135</v>
      </c>
      <c r="B116" t="s">
        <v>134</v>
      </c>
      <c r="C116">
        <v>9</v>
      </c>
      <c r="D116">
        <v>6</v>
      </c>
      <c r="E116">
        <v>2018</v>
      </c>
      <c r="F116">
        <v>1499.99</v>
      </c>
      <c r="G116" t="str">
        <f>VLOOKUP(D116,categories!$A$1:$B$8,2,FALSE)</f>
        <v>Mountain Bikes</v>
      </c>
    </row>
    <row r="117" spans="1:7" x14ac:dyDescent="0.3">
      <c r="A117">
        <v>124</v>
      </c>
      <c r="B117" t="s">
        <v>123</v>
      </c>
      <c r="C117">
        <v>8</v>
      </c>
      <c r="D117">
        <v>6</v>
      </c>
      <c r="E117">
        <v>2018</v>
      </c>
      <c r="F117">
        <v>1499</v>
      </c>
      <c r="G117" t="str">
        <f>VLOOKUP(D117,categories!$A$1:$B$8,2,FALSE)</f>
        <v>Mountain Bikes</v>
      </c>
    </row>
    <row r="118" spans="1:7" x14ac:dyDescent="0.3">
      <c r="A118">
        <v>41</v>
      </c>
      <c r="B118" t="s">
        <v>44</v>
      </c>
      <c r="C118">
        <v>2</v>
      </c>
      <c r="D118">
        <v>6</v>
      </c>
      <c r="E118">
        <v>2017</v>
      </c>
      <c r="F118">
        <v>1469.99</v>
      </c>
      <c r="G118" t="str">
        <f>VLOOKUP(D118,categories!$A$1:$B$8,2,FALSE)</f>
        <v>Mountain Bikes</v>
      </c>
    </row>
    <row r="119" spans="1:7" x14ac:dyDescent="0.3">
      <c r="A119">
        <v>117</v>
      </c>
      <c r="B119" t="s">
        <v>116</v>
      </c>
      <c r="C119">
        <v>9</v>
      </c>
      <c r="D119">
        <v>6</v>
      </c>
      <c r="E119">
        <v>2018</v>
      </c>
      <c r="F119">
        <v>1469.99</v>
      </c>
      <c r="G119" t="str">
        <f>VLOOKUP(D119,categories!$A$1:$B$8,2,FALSE)</f>
        <v>Mountain Bikes</v>
      </c>
    </row>
    <row r="120" spans="1:7" x14ac:dyDescent="0.3">
      <c r="A120">
        <v>46</v>
      </c>
      <c r="B120" t="s">
        <v>49</v>
      </c>
      <c r="C120">
        <v>2</v>
      </c>
      <c r="D120">
        <v>6</v>
      </c>
      <c r="E120">
        <v>2017</v>
      </c>
      <c r="F120">
        <v>1409.99</v>
      </c>
      <c r="G120" t="str">
        <f>VLOOKUP(D120,categories!$A$1:$B$8,2,FALSE)</f>
        <v>Mountain Bikes</v>
      </c>
    </row>
    <row r="121" spans="1:7" x14ac:dyDescent="0.3">
      <c r="A121">
        <v>163</v>
      </c>
      <c r="B121" t="s">
        <v>162</v>
      </c>
      <c r="C121">
        <v>8</v>
      </c>
      <c r="D121">
        <v>7</v>
      </c>
      <c r="E121">
        <v>2018</v>
      </c>
      <c r="F121">
        <v>1349</v>
      </c>
      <c r="G121" t="str">
        <f>VLOOKUP(D121,categories!$A$1:$B$8,2,FALSE)</f>
        <v>Road Bikes</v>
      </c>
    </row>
    <row r="122" spans="1:7" x14ac:dyDescent="0.3">
      <c r="A122">
        <v>5</v>
      </c>
      <c r="B122" t="s">
        <v>12</v>
      </c>
      <c r="C122">
        <v>3</v>
      </c>
      <c r="D122">
        <v>6</v>
      </c>
      <c r="E122">
        <v>2016</v>
      </c>
      <c r="F122">
        <v>1320.99</v>
      </c>
      <c r="G122" t="str">
        <f>VLOOKUP(D122,categories!$A$1:$B$8,2,FALSE)</f>
        <v>Mountain Bikes</v>
      </c>
    </row>
    <row r="123" spans="1:7" x14ac:dyDescent="0.3">
      <c r="A123">
        <v>170</v>
      </c>
      <c r="B123" t="s">
        <v>169</v>
      </c>
      <c r="C123">
        <v>9</v>
      </c>
      <c r="D123">
        <v>7</v>
      </c>
      <c r="E123">
        <v>2018</v>
      </c>
      <c r="F123">
        <v>1299.99</v>
      </c>
      <c r="G123" t="str">
        <f>VLOOKUP(D123,categories!$A$1:$B$8,2,FALSE)</f>
        <v>Road Bikes</v>
      </c>
    </row>
    <row r="124" spans="1:7" x14ac:dyDescent="0.3">
      <c r="A124">
        <v>258</v>
      </c>
      <c r="B124" t="s">
        <v>251</v>
      </c>
      <c r="C124">
        <v>1</v>
      </c>
      <c r="D124">
        <v>3</v>
      </c>
      <c r="E124">
        <v>2018</v>
      </c>
      <c r="F124">
        <v>1259.9000000000001</v>
      </c>
      <c r="G124" t="str">
        <f>VLOOKUP(D124,categories!$A$1:$B$8,2,FALSE)</f>
        <v>Cruisers Bicycles</v>
      </c>
    </row>
    <row r="125" spans="1:7" x14ac:dyDescent="0.3">
      <c r="A125">
        <v>259</v>
      </c>
      <c r="B125" t="s">
        <v>252</v>
      </c>
      <c r="C125">
        <v>1</v>
      </c>
      <c r="D125">
        <v>3</v>
      </c>
      <c r="E125">
        <v>2018</v>
      </c>
      <c r="F125">
        <v>1199.99</v>
      </c>
      <c r="G125" t="str">
        <f>VLOOKUP(D125,categories!$A$1:$B$8,2,FALSE)</f>
        <v>Cruisers Bicycles</v>
      </c>
    </row>
    <row r="126" spans="1:7" x14ac:dyDescent="0.3">
      <c r="A126">
        <v>81</v>
      </c>
      <c r="B126" t="s">
        <v>84</v>
      </c>
      <c r="C126">
        <v>1</v>
      </c>
      <c r="D126">
        <v>3</v>
      </c>
      <c r="E126">
        <v>2017</v>
      </c>
      <c r="F126">
        <v>1099.99</v>
      </c>
      <c r="G126" t="str">
        <f>VLOOKUP(D126,categories!$A$1:$B$8,2,FALSE)</f>
        <v>Cruisers Bicycles</v>
      </c>
    </row>
    <row r="127" spans="1:7" x14ac:dyDescent="0.3">
      <c r="A127">
        <v>143</v>
      </c>
      <c r="B127" t="s">
        <v>142</v>
      </c>
      <c r="C127">
        <v>9</v>
      </c>
      <c r="D127">
        <v>7</v>
      </c>
      <c r="E127">
        <v>2018</v>
      </c>
      <c r="F127">
        <v>1099.99</v>
      </c>
      <c r="G127" t="str">
        <f>VLOOKUP(D127,categories!$A$1:$B$8,2,FALSE)</f>
        <v>Road Bikes</v>
      </c>
    </row>
    <row r="128" spans="1:7" x14ac:dyDescent="0.3">
      <c r="A128">
        <v>3</v>
      </c>
      <c r="B128" t="s">
        <v>10</v>
      </c>
      <c r="C128">
        <v>8</v>
      </c>
      <c r="D128">
        <v>6</v>
      </c>
      <c r="E128">
        <v>2016</v>
      </c>
      <c r="F128">
        <v>999.99</v>
      </c>
      <c r="G128" t="str">
        <f>VLOOKUP(D128,categories!$A$1:$B$8,2,FALSE)</f>
        <v>Mountain Bikes</v>
      </c>
    </row>
    <row r="129" spans="1:7" x14ac:dyDescent="0.3">
      <c r="A129">
        <v>27</v>
      </c>
      <c r="B129" t="s">
        <v>30</v>
      </c>
      <c r="C129">
        <v>8</v>
      </c>
      <c r="D129">
        <v>6</v>
      </c>
      <c r="E129">
        <v>2017</v>
      </c>
      <c r="F129">
        <v>999.99</v>
      </c>
      <c r="G129" t="str">
        <f>VLOOKUP(D129,categories!$A$1:$B$8,2,FALSE)</f>
        <v>Mountain Bikes</v>
      </c>
    </row>
    <row r="130" spans="1:7" x14ac:dyDescent="0.3">
      <c r="A130">
        <v>29</v>
      </c>
      <c r="B130" t="s">
        <v>32</v>
      </c>
      <c r="C130">
        <v>9</v>
      </c>
      <c r="D130">
        <v>6</v>
      </c>
      <c r="E130">
        <v>2017</v>
      </c>
      <c r="F130">
        <v>999.99</v>
      </c>
      <c r="G130" t="str">
        <f>VLOOKUP(D130,categories!$A$1:$B$8,2,FALSE)</f>
        <v>Mountain Bikes</v>
      </c>
    </row>
    <row r="131" spans="1:7" x14ac:dyDescent="0.3">
      <c r="A131">
        <v>30</v>
      </c>
      <c r="B131" t="s">
        <v>33</v>
      </c>
      <c r="C131">
        <v>8</v>
      </c>
      <c r="D131">
        <v>6</v>
      </c>
      <c r="E131">
        <v>2017</v>
      </c>
      <c r="F131">
        <v>999.99</v>
      </c>
      <c r="G131" t="str">
        <f>VLOOKUP(D131,categories!$A$1:$B$8,2,FALSE)</f>
        <v>Mountain Bikes</v>
      </c>
    </row>
    <row r="132" spans="1:7" x14ac:dyDescent="0.3">
      <c r="A132">
        <v>118</v>
      </c>
      <c r="B132" t="s">
        <v>117</v>
      </c>
      <c r="C132">
        <v>9</v>
      </c>
      <c r="D132">
        <v>6</v>
      </c>
      <c r="E132">
        <v>2018</v>
      </c>
      <c r="F132">
        <v>999.99</v>
      </c>
      <c r="G132" t="str">
        <f>VLOOKUP(D132,categories!$A$1:$B$8,2,FALSE)</f>
        <v>Mountain Bikes</v>
      </c>
    </row>
    <row r="133" spans="1:7" x14ac:dyDescent="0.3">
      <c r="A133">
        <v>123</v>
      </c>
      <c r="B133" t="s">
        <v>122</v>
      </c>
      <c r="C133">
        <v>9</v>
      </c>
      <c r="D133">
        <v>6</v>
      </c>
      <c r="E133">
        <v>2018</v>
      </c>
      <c r="F133">
        <v>999.99</v>
      </c>
      <c r="G133" t="str">
        <f>VLOOKUP(D133,categories!$A$1:$B$8,2,FALSE)</f>
        <v>Mountain Bikes</v>
      </c>
    </row>
    <row r="134" spans="1:7" x14ac:dyDescent="0.3">
      <c r="A134">
        <v>158</v>
      </c>
      <c r="B134" t="s">
        <v>157</v>
      </c>
      <c r="C134">
        <v>9</v>
      </c>
      <c r="D134">
        <v>7</v>
      </c>
      <c r="E134">
        <v>2018</v>
      </c>
      <c r="F134">
        <v>959.99</v>
      </c>
      <c r="G134" t="str">
        <f>VLOOKUP(D134,categories!$A$1:$B$8,2,FALSE)</f>
        <v>Road Bikes</v>
      </c>
    </row>
    <row r="135" spans="1:7" x14ac:dyDescent="0.3">
      <c r="A135">
        <v>225</v>
      </c>
      <c r="B135" t="s">
        <v>222</v>
      </c>
      <c r="C135">
        <v>1</v>
      </c>
      <c r="D135">
        <v>3</v>
      </c>
      <c r="E135">
        <v>2018</v>
      </c>
      <c r="F135">
        <v>959.99</v>
      </c>
      <c r="G135" t="str">
        <f>VLOOKUP(D135,categories!$A$1:$B$8,2,FALSE)</f>
        <v>Cruisers Bicycles</v>
      </c>
    </row>
    <row r="136" spans="1:7" x14ac:dyDescent="0.3">
      <c r="A136">
        <v>129</v>
      </c>
      <c r="B136" t="s">
        <v>128</v>
      </c>
      <c r="C136">
        <v>9</v>
      </c>
      <c r="D136">
        <v>6</v>
      </c>
      <c r="E136">
        <v>2018</v>
      </c>
      <c r="F136">
        <v>919.99</v>
      </c>
      <c r="G136" t="str">
        <f>VLOOKUP(D136,categories!$A$1:$B$8,2,FALSE)</f>
        <v>Mountain Bikes</v>
      </c>
    </row>
    <row r="137" spans="1:7" x14ac:dyDescent="0.3">
      <c r="A137">
        <v>130</v>
      </c>
      <c r="B137" t="s">
        <v>129</v>
      </c>
      <c r="C137">
        <v>9</v>
      </c>
      <c r="D137">
        <v>6</v>
      </c>
      <c r="E137">
        <v>2018</v>
      </c>
      <c r="F137">
        <v>919.99</v>
      </c>
      <c r="G137" t="str">
        <f>VLOOKUP(D137,categories!$A$1:$B$8,2,FALSE)</f>
        <v>Mountain Bikes</v>
      </c>
    </row>
    <row r="138" spans="1:7" x14ac:dyDescent="0.3">
      <c r="A138">
        <v>179</v>
      </c>
      <c r="B138" t="s">
        <v>178</v>
      </c>
      <c r="C138">
        <v>9</v>
      </c>
      <c r="D138">
        <v>7</v>
      </c>
      <c r="E138">
        <v>2018</v>
      </c>
      <c r="F138">
        <v>919.99</v>
      </c>
      <c r="G138" t="str">
        <f>VLOOKUP(D138,categories!$A$1:$B$8,2,FALSE)</f>
        <v>Road Bikes</v>
      </c>
    </row>
    <row r="139" spans="1:7" x14ac:dyDescent="0.3">
      <c r="A139">
        <v>180</v>
      </c>
      <c r="B139" t="s">
        <v>179</v>
      </c>
      <c r="C139">
        <v>9</v>
      </c>
      <c r="D139">
        <v>7</v>
      </c>
      <c r="E139">
        <v>2018</v>
      </c>
      <c r="F139">
        <v>919.99</v>
      </c>
      <c r="G139" t="str">
        <f>VLOOKUP(D139,categories!$A$1:$B$8,2,FALSE)</f>
        <v>Road Bikes</v>
      </c>
    </row>
    <row r="140" spans="1:7" x14ac:dyDescent="0.3">
      <c r="A140">
        <v>217</v>
      </c>
      <c r="B140" t="s">
        <v>214</v>
      </c>
      <c r="C140">
        <v>1</v>
      </c>
      <c r="D140">
        <v>3</v>
      </c>
      <c r="E140">
        <v>2018</v>
      </c>
      <c r="F140">
        <v>909.99</v>
      </c>
      <c r="G140" t="str">
        <f>VLOOKUP(D140,categories!$A$1:$B$8,2,FALSE)</f>
        <v>Cruisers Bicycles</v>
      </c>
    </row>
    <row r="141" spans="1:7" x14ac:dyDescent="0.3">
      <c r="A141">
        <v>214</v>
      </c>
      <c r="B141" t="s">
        <v>211</v>
      </c>
      <c r="C141">
        <v>1</v>
      </c>
      <c r="D141">
        <v>3</v>
      </c>
      <c r="E141">
        <v>2018</v>
      </c>
      <c r="F141">
        <v>899.99</v>
      </c>
      <c r="G141" t="str">
        <f>VLOOKUP(D141,categories!$A$1:$B$8,2,FALSE)</f>
        <v>Cruisers Bicycles</v>
      </c>
    </row>
    <row r="142" spans="1:7" x14ac:dyDescent="0.3">
      <c r="A142">
        <v>216</v>
      </c>
      <c r="B142" t="s">
        <v>213</v>
      </c>
      <c r="C142">
        <v>1</v>
      </c>
      <c r="D142">
        <v>3</v>
      </c>
      <c r="E142">
        <v>2018</v>
      </c>
      <c r="F142">
        <v>899.99</v>
      </c>
      <c r="G142" t="str">
        <f>VLOOKUP(D142,categories!$A$1:$B$8,2,FALSE)</f>
        <v>Cruisers Bicycles</v>
      </c>
    </row>
    <row r="143" spans="1:7" x14ac:dyDescent="0.3">
      <c r="A143">
        <v>234</v>
      </c>
      <c r="B143" t="s">
        <v>231</v>
      </c>
      <c r="C143">
        <v>1</v>
      </c>
      <c r="D143">
        <v>3</v>
      </c>
      <c r="E143">
        <v>2018</v>
      </c>
      <c r="F143">
        <v>899.99</v>
      </c>
      <c r="G143" t="str">
        <f>VLOOKUP(D143,categories!$A$1:$B$8,2,FALSE)</f>
        <v>Cruisers Bicycles</v>
      </c>
    </row>
    <row r="144" spans="1:7" x14ac:dyDescent="0.3">
      <c r="A144">
        <v>235</v>
      </c>
      <c r="B144" t="s">
        <v>232</v>
      </c>
      <c r="C144">
        <v>1</v>
      </c>
      <c r="D144">
        <v>3</v>
      </c>
      <c r="E144">
        <v>2018</v>
      </c>
      <c r="F144">
        <v>899.99</v>
      </c>
      <c r="G144" t="str">
        <f>VLOOKUP(D144,categories!$A$1:$B$8,2,FALSE)</f>
        <v>Cruisers Bicycles</v>
      </c>
    </row>
    <row r="145" spans="1:7" x14ac:dyDescent="0.3">
      <c r="A145">
        <v>240</v>
      </c>
      <c r="B145" t="s">
        <v>237</v>
      </c>
      <c r="C145">
        <v>1</v>
      </c>
      <c r="D145">
        <v>3</v>
      </c>
      <c r="E145">
        <v>2018</v>
      </c>
      <c r="F145">
        <v>899.99</v>
      </c>
      <c r="G145" t="str">
        <f>VLOOKUP(D145,categories!$A$1:$B$8,2,FALSE)</f>
        <v>Cruisers Bicycles</v>
      </c>
    </row>
    <row r="146" spans="1:7" x14ac:dyDescent="0.3">
      <c r="A146">
        <v>255</v>
      </c>
      <c r="B146" t="s">
        <v>248</v>
      </c>
      <c r="C146">
        <v>1</v>
      </c>
      <c r="D146">
        <v>3</v>
      </c>
      <c r="E146">
        <v>2018</v>
      </c>
      <c r="F146">
        <v>899.99</v>
      </c>
      <c r="G146" t="str">
        <f>VLOOKUP(D146,categories!$A$1:$B$8,2,FALSE)</f>
        <v>Cruisers Bicycles</v>
      </c>
    </row>
    <row r="147" spans="1:7" x14ac:dyDescent="0.3">
      <c r="A147">
        <v>256</v>
      </c>
      <c r="B147" t="s">
        <v>249</v>
      </c>
      <c r="C147">
        <v>1</v>
      </c>
      <c r="D147">
        <v>3</v>
      </c>
      <c r="E147">
        <v>2018</v>
      </c>
      <c r="F147">
        <v>899.99</v>
      </c>
      <c r="G147" t="str">
        <f>VLOOKUP(D147,categories!$A$1:$B$8,2,FALSE)</f>
        <v>Cruisers Bicycles</v>
      </c>
    </row>
    <row r="148" spans="1:7" x14ac:dyDescent="0.3">
      <c r="A148">
        <v>257</v>
      </c>
      <c r="B148" t="s">
        <v>250</v>
      </c>
      <c r="C148">
        <v>1</v>
      </c>
      <c r="D148">
        <v>3</v>
      </c>
      <c r="E148">
        <v>2018</v>
      </c>
      <c r="F148">
        <v>899.99</v>
      </c>
      <c r="G148" t="str">
        <f>VLOOKUP(D148,categories!$A$1:$B$8,2,FALSE)</f>
        <v>Cruisers Bicycles</v>
      </c>
    </row>
    <row r="149" spans="1:7" x14ac:dyDescent="0.3">
      <c r="A149">
        <v>261</v>
      </c>
      <c r="B149" t="s">
        <v>254</v>
      </c>
      <c r="C149">
        <v>1</v>
      </c>
      <c r="D149">
        <v>3</v>
      </c>
      <c r="E149">
        <v>2018</v>
      </c>
      <c r="F149">
        <v>899.99</v>
      </c>
      <c r="G149" t="str">
        <f>VLOOKUP(D149,categories!$A$1:$B$8,2,FALSE)</f>
        <v>Cruisers Bicycles</v>
      </c>
    </row>
    <row r="150" spans="1:7" x14ac:dyDescent="0.3">
      <c r="A150">
        <v>301</v>
      </c>
      <c r="B150" t="s">
        <v>254</v>
      </c>
      <c r="C150">
        <v>1</v>
      </c>
      <c r="D150">
        <v>2</v>
      </c>
      <c r="E150">
        <v>2018</v>
      </c>
      <c r="F150">
        <v>899.99</v>
      </c>
      <c r="G150" t="str">
        <f>VLOOKUP(D150,categories!$A$1:$B$8,2,FALSE)</f>
        <v>Comfort Bicycles</v>
      </c>
    </row>
    <row r="151" spans="1:7" x14ac:dyDescent="0.3">
      <c r="A151">
        <v>306</v>
      </c>
      <c r="B151" t="s">
        <v>248</v>
      </c>
      <c r="C151">
        <v>1</v>
      </c>
      <c r="D151">
        <v>2</v>
      </c>
      <c r="E151">
        <v>2018</v>
      </c>
      <c r="F151">
        <v>899.99</v>
      </c>
      <c r="G151" t="str">
        <f>VLOOKUP(D151,categories!$A$1:$B$8,2,FALSE)</f>
        <v>Comfort Bicycles</v>
      </c>
    </row>
    <row r="152" spans="1:7" x14ac:dyDescent="0.3">
      <c r="A152">
        <v>309</v>
      </c>
      <c r="B152" t="s">
        <v>249</v>
      </c>
      <c r="C152">
        <v>1</v>
      </c>
      <c r="D152">
        <v>2</v>
      </c>
      <c r="E152">
        <v>2018</v>
      </c>
      <c r="F152">
        <v>899.99</v>
      </c>
      <c r="G152" t="str">
        <f>VLOOKUP(D152,categories!$A$1:$B$8,2,FALSE)</f>
        <v>Comfort Bicycles</v>
      </c>
    </row>
    <row r="153" spans="1:7" x14ac:dyDescent="0.3">
      <c r="A153">
        <v>310</v>
      </c>
      <c r="B153" t="s">
        <v>237</v>
      </c>
      <c r="C153">
        <v>1</v>
      </c>
      <c r="D153">
        <v>2</v>
      </c>
      <c r="E153">
        <v>2018</v>
      </c>
      <c r="F153">
        <v>899.99</v>
      </c>
      <c r="G153" t="str">
        <f>VLOOKUP(D153,categories!$A$1:$B$8,2,FALSE)</f>
        <v>Comfort Bicycles</v>
      </c>
    </row>
    <row r="154" spans="1:7" x14ac:dyDescent="0.3">
      <c r="A154">
        <v>52</v>
      </c>
      <c r="B154" t="s">
        <v>55</v>
      </c>
      <c r="C154">
        <v>8</v>
      </c>
      <c r="D154">
        <v>7</v>
      </c>
      <c r="E154">
        <v>2017</v>
      </c>
      <c r="F154">
        <v>875.99</v>
      </c>
      <c r="G154" t="str">
        <f>VLOOKUP(D154,categories!$A$1:$B$8,2,FALSE)</f>
        <v>Road Bikes</v>
      </c>
    </row>
    <row r="155" spans="1:7" x14ac:dyDescent="0.3">
      <c r="A155">
        <v>45</v>
      </c>
      <c r="B155" t="s">
        <v>48</v>
      </c>
      <c r="C155">
        <v>2</v>
      </c>
      <c r="D155">
        <v>6</v>
      </c>
      <c r="E155">
        <v>2017</v>
      </c>
      <c r="F155">
        <v>869.99</v>
      </c>
      <c r="G155" t="str">
        <f>VLOOKUP(D155,categories!$A$1:$B$8,2,FALSE)</f>
        <v>Mountain Bikes</v>
      </c>
    </row>
    <row r="156" spans="1:7" x14ac:dyDescent="0.3">
      <c r="A156">
        <v>237</v>
      </c>
      <c r="B156" t="s">
        <v>234</v>
      </c>
      <c r="C156">
        <v>1</v>
      </c>
      <c r="D156">
        <v>3</v>
      </c>
      <c r="E156">
        <v>2018</v>
      </c>
      <c r="F156">
        <v>849.99</v>
      </c>
      <c r="G156" t="str">
        <f>VLOOKUP(D156,categories!$A$1:$B$8,2,FALSE)</f>
        <v>Cruisers Bicycles</v>
      </c>
    </row>
    <row r="157" spans="1:7" x14ac:dyDescent="0.3">
      <c r="A157">
        <v>35</v>
      </c>
      <c r="B157" t="s">
        <v>38</v>
      </c>
      <c r="C157">
        <v>7</v>
      </c>
      <c r="D157">
        <v>6</v>
      </c>
      <c r="E157">
        <v>2017</v>
      </c>
      <c r="F157">
        <v>832.99</v>
      </c>
      <c r="G157" t="str">
        <f>VLOOKUP(D157,categories!$A$1:$B$8,2,FALSE)</f>
        <v>Mountain Bikes</v>
      </c>
    </row>
    <row r="158" spans="1:7" x14ac:dyDescent="0.3">
      <c r="A158">
        <v>36</v>
      </c>
      <c r="B158" t="s">
        <v>39</v>
      </c>
      <c r="C158">
        <v>8</v>
      </c>
      <c r="D158">
        <v>6</v>
      </c>
      <c r="E158">
        <v>2017</v>
      </c>
      <c r="F158">
        <v>832.99</v>
      </c>
      <c r="G158" t="str">
        <f>VLOOKUP(D158,categories!$A$1:$B$8,2,FALSE)</f>
        <v>Mountain Bikes</v>
      </c>
    </row>
    <row r="159" spans="1:7" x14ac:dyDescent="0.3">
      <c r="A159">
        <v>77</v>
      </c>
      <c r="B159" t="s">
        <v>80</v>
      </c>
      <c r="C159">
        <v>1</v>
      </c>
      <c r="D159">
        <v>3</v>
      </c>
      <c r="E159">
        <v>2017</v>
      </c>
      <c r="F159">
        <v>799.99</v>
      </c>
      <c r="G159" t="str">
        <f>VLOOKUP(D159,categories!$A$1:$B$8,2,FALSE)</f>
        <v>Cruisers Bicycles</v>
      </c>
    </row>
    <row r="160" spans="1:7" x14ac:dyDescent="0.3">
      <c r="A160">
        <v>260</v>
      </c>
      <c r="B160" t="s">
        <v>253</v>
      </c>
      <c r="C160">
        <v>1</v>
      </c>
      <c r="D160">
        <v>3</v>
      </c>
      <c r="E160">
        <v>2018</v>
      </c>
      <c r="F160">
        <v>799.99</v>
      </c>
      <c r="G160" t="str">
        <f>VLOOKUP(D160,categories!$A$1:$B$8,2,FALSE)</f>
        <v>Cruisers Bicycles</v>
      </c>
    </row>
    <row r="161" spans="1:7" x14ac:dyDescent="0.3">
      <c r="A161">
        <v>300</v>
      </c>
      <c r="B161" t="s">
        <v>253</v>
      </c>
      <c r="C161">
        <v>1</v>
      </c>
      <c r="D161">
        <v>2</v>
      </c>
      <c r="E161">
        <v>2018</v>
      </c>
      <c r="F161">
        <v>799.99</v>
      </c>
      <c r="G161" t="str">
        <f>VLOOKUP(D161,categories!$A$1:$B$8,2,FALSE)</f>
        <v>Comfort Bicycles</v>
      </c>
    </row>
    <row r="162" spans="1:7" x14ac:dyDescent="0.3">
      <c r="A162">
        <v>80</v>
      </c>
      <c r="B162" t="s">
        <v>83</v>
      </c>
      <c r="C162">
        <v>7</v>
      </c>
      <c r="D162">
        <v>3</v>
      </c>
      <c r="E162">
        <v>2017</v>
      </c>
      <c r="F162">
        <v>761.99</v>
      </c>
      <c r="G162" t="str">
        <f>VLOOKUP(D162,categories!$A$1:$B$8,2,FALSE)</f>
        <v>Cruisers Bicycles</v>
      </c>
    </row>
    <row r="163" spans="1:7" x14ac:dyDescent="0.3">
      <c r="A163">
        <v>2</v>
      </c>
      <c r="B163" t="s">
        <v>9</v>
      </c>
      <c r="C163">
        <v>5</v>
      </c>
      <c r="D163">
        <v>6</v>
      </c>
      <c r="E163">
        <v>2016</v>
      </c>
      <c r="F163">
        <v>749.99</v>
      </c>
      <c r="G163" t="str">
        <f>VLOOKUP(D163,categories!$A$1:$B$8,2,FALSE)</f>
        <v>Mountain Bikes</v>
      </c>
    </row>
    <row r="164" spans="1:7" x14ac:dyDescent="0.3">
      <c r="A164">
        <v>53</v>
      </c>
      <c r="B164" t="s">
        <v>56</v>
      </c>
      <c r="C164">
        <v>8</v>
      </c>
      <c r="D164">
        <v>7</v>
      </c>
      <c r="E164">
        <v>2017</v>
      </c>
      <c r="F164">
        <v>749.99</v>
      </c>
      <c r="G164" t="str">
        <f>VLOOKUP(D164,categories!$A$1:$B$8,2,FALSE)</f>
        <v>Road Bikes</v>
      </c>
    </row>
    <row r="165" spans="1:7" x14ac:dyDescent="0.3">
      <c r="A165">
        <v>73</v>
      </c>
      <c r="B165" t="s">
        <v>76</v>
      </c>
      <c r="C165">
        <v>7</v>
      </c>
      <c r="D165">
        <v>3</v>
      </c>
      <c r="E165">
        <v>2017</v>
      </c>
      <c r="F165">
        <v>749.99</v>
      </c>
      <c r="G165" t="str">
        <f>VLOOKUP(D165,categories!$A$1:$B$8,2,FALSE)</f>
        <v>Cruisers Bicycles</v>
      </c>
    </row>
    <row r="166" spans="1:7" x14ac:dyDescent="0.3">
      <c r="A166">
        <v>116</v>
      </c>
      <c r="B166" t="s">
        <v>115</v>
      </c>
      <c r="C166">
        <v>9</v>
      </c>
      <c r="D166">
        <v>6</v>
      </c>
      <c r="E166">
        <v>2018</v>
      </c>
      <c r="F166">
        <v>749.99</v>
      </c>
      <c r="G166" t="str">
        <f>VLOOKUP(D166,categories!$A$1:$B$8,2,FALSE)</f>
        <v>Mountain Bikes</v>
      </c>
    </row>
    <row r="167" spans="1:7" x14ac:dyDescent="0.3">
      <c r="A167">
        <v>166</v>
      </c>
      <c r="B167" t="s">
        <v>165</v>
      </c>
      <c r="C167">
        <v>9</v>
      </c>
      <c r="D167">
        <v>7</v>
      </c>
      <c r="E167">
        <v>2018</v>
      </c>
      <c r="F167">
        <v>749.99</v>
      </c>
      <c r="G167" t="str">
        <f>VLOOKUP(D167,categories!$A$1:$B$8,2,FALSE)</f>
        <v>Road Bikes</v>
      </c>
    </row>
    <row r="168" spans="1:7" x14ac:dyDescent="0.3">
      <c r="A168">
        <v>167</v>
      </c>
      <c r="B168" t="s">
        <v>166</v>
      </c>
      <c r="C168">
        <v>8</v>
      </c>
      <c r="D168">
        <v>7</v>
      </c>
      <c r="E168">
        <v>2018</v>
      </c>
      <c r="F168">
        <v>749.99</v>
      </c>
      <c r="G168" t="str">
        <f>VLOOKUP(D168,categories!$A$1:$B$8,2,FALSE)</f>
        <v>Road Bikes</v>
      </c>
    </row>
    <row r="169" spans="1:7" x14ac:dyDescent="0.3">
      <c r="A169">
        <v>178</v>
      </c>
      <c r="B169" t="s">
        <v>177</v>
      </c>
      <c r="C169">
        <v>9</v>
      </c>
      <c r="D169">
        <v>7</v>
      </c>
      <c r="E169">
        <v>2018</v>
      </c>
      <c r="F169">
        <v>749.99</v>
      </c>
      <c r="G169" t="str">
        <f>VLOOKUP(D169,categories!$A$1:$B$8,2,FALSE)</f>
        <v>Road Bikes</v>
      </c>
    </row>
    <row r="170" spans="1:7" x14ac:dyDescent="0.3">
      <c r="A170">
        <v>215</v>
      </c>
      <c r="B170" t="s">
        <v>212</v>
      </c>
      <c r="C170">
        <v>1</v>
      </c>
      <c r="D170">
        <v>3</v>
      </c>
      <c r="E170">
        <v>2018</v>
      </c>
      <c r="F170">
        <v>749.99</v>
      </c>
      <c r="G170" t="str">
        <f>VLOOKUP(D170,categories!$A$1:$B$8,2,FALSE)</f>
        <v>Cruisers Bicycles</v>
      </c>
    </row>
    <row r="171" spans="1:7" x14ac:dyDescent="0.3">
      <c r="A171">
        <v>236</v>
      </c>
      <c r="B171" t="s">
        <v>233</v>
      </c>
      <c r="C171">
        <v>1</v>
      </c>
      <c r="D171">
        <v>3</v>
      </c>
      <c r="E171">
        <v>2018</v>
      </c>
      <c r="F171">
        <v>749.99</v>
      </c>
      <c r="G171" t="str">
        <f>VLOOKUP(D171,categories!$A$1:$B$8,2,FALSE)</f>
        <v>Cruisers Bicycles</v>
      </c>
    </row>
    <row r="172" spans="1:7" x14ac:dyDescent="0.3">
      <c r="A172">
        <v>238</v>
      </c>
      <c r="B172" t="s">
        <v>235</v>
      </c>
      <c r="C172">
        <v>1</v>
      </c>
      <c r="D172">
        <v>3</v>
      </c>
      <c r="E172">
        <v>2018</v>
      </c>
      <c r="F172">
        <v>749.99</v>
      </c>
      <c r="G172" t="str">
        <f>VLOOKUP(D172,categories!$A$1:$B$8,2,FALSE)</f>
        <v>Cruisers Bicycles</v>
      </c>
    </row>
    <row r="173" spans="1:7" x14ac:dyDescent="0.3">
      <c r="A173">
        <v>239</v>
      </c>
      <c r="B173" t="s">
        <v>236</v>
      </c>
      <c r="C173">
        <v>1</v>
      </c>
      <c r="D173">
        <v>3</v>
      </c>
      <c r="E173">
        <v>2018</v>
      </c>
      <c r="F173">
        <v>749.99</v>
      </c>
      <c r="G173" t="str">
        <f>VLOOKUP(D173,categories!$A$1:$B$8,2,FALSE)</f>
        <v>Cruisers Bicycles</v>
      </c>
    </row>
    <row r="174" spans="1:7" x14ac:dyDescent="0.3">
      <c r="A174">
        <v>241</v>
      </c>
      <c r="B174" t="s">
        <v>238</v>
      </c>
      <c r="C174">
        <v>1</v>
      </c>
      <c r="D174">
        <v>3</v>
      </c>
      <c r="E174">
        <v>2018</v>
      </c>
      <c r="F174">
        <v>749.99</v>
      </c>
      <c r="G174" t="str">
        <f>VLOOKUP(D174,categories!$A$1:$B$8,2,FALSE)</f>
        <v>Cruisers Bicycles</v>
      </c>
    </row>
    <row r="175" spans="1:7" x14ac:dyDescent="0.3">
      <c r="A175">
        <v>249</v>
      </c>
      <c r="B175" t="s">
        <v>246</v>
      </c>
      <c r="C175">
        <v>1</v>
      </c>
      <c r="D175">
        <v>3</v>
      </c>
      <c r="E175">
        <v>2018</v>
      </c>
      <c r="F175">
        <v>749.99</v>
      </c>
      <c r="G175" t="str">
        <f>VLOOKUP(D175,categories!$A$1:$B$8,2,FALSE)</f>
        <v>Cruisers Bicycles</v>
      </c>
    </row>
    <row r="176" spans="1:7" x14ac:dyDescent="0.3">
      <c r="A176">
        <v>254</v>
      </c>
      <c r="B176" t="s">
        <v>247</v>
      </c>
      <c r="C176">
        <v>1</v>
      </c>
      <c r="D176">
        <v>3</v>
      </c>
      <c r="E176">
        <v>2018</v>
      </c>
      <c r="F176">
        <v>749.99</v>
      </c>
      <c r="G176" t="str">
        <f>VLOOKUP(D176,categories!$A$1:$B$8,2,FALSE)</f>
        <v>Cruisers Bicycles</v>
      </c>
    </row>
    <row r="177" spans="1:7" x14ac:dyDescent="0.3">
      <c r="A177">
        <v>305</v>
      </c>
      <c r="B177" t="s">
        <v>247</v>
      </c>
      <c r="C177">
        <v>1</v>
      </c>
      <c r="D177">
        <v>2</v>
      </c>
      <c r="E177">
        <v>2018</v>
      </c>
      <c r="F177">
        <v>749.99</v>
      </c>
      <c r="G177" t="str">
        <f>VLOOKUP(D177,categories!$A$1:$B$8,2,FALSE)</f>
        <v>Comfort Bicycles</v>
      </c>
    </row>
    <row r="178" spans="1:7" x14ac:dyDescent="0.3">
      <c r="A178">
        <v>307</v>
      </c>
      <c r="B178" t="s">
        <v>235</v>
      </c>
      <c r="C178">
        <v>1</v>
      </c>
      <c r="D178">
        <v>2</v>
      </c>
      <c r="E178">
        <v>2018</v>
      </c>
      <c r="F178">
        <v>749.99</v>
      </c>
      <c r="G178" t="str">
        <f>VLOOKUP(D178,categories!$A$1:$B$8,2,FALSE)</f>
        <v>Comfort Bicycles</v>
      </c>
    </row>
    <row r="179" spans="1:7" x14ac:dyDescent="0.3">
      <c r="A179">
        <v>308</v>
      </c>
      <c r="B179" t="s">
        <v>236</v>
      </c>
      <c r="C179">
        <v>1</v>
      </c>
      <c r="D179">
        <v>2</v>
      </c>
      <c r="E179">
        <v>2018</v>
      </c>
      <c r="F179">
        <v>749.99</v>
      </c>
      <c r="G179" t="str">
        <f>VLOOKUP(D179,categories!$A$1:$B$8,2,FALSE)</f>
        <v>Comfort Bicycles</v>
      </c>
    </row>
    <row r="180" spans="1:7" x14ac:dyDescent="0.3">
      <c r="A180">
        <v>311</v>
      </c>
      <c r="B180" t="s">
        <v>238</v>
      </c>
      <c r="C180">
        <v>1</v>
      </c>
      <c r="D180">
        <v>2</v>
      </c>
      <c r="E180">
        <v>2018</v>
      </c>
      <c r="F180">
        <v>749.99</v>
      </c>
      <c r="G180" t="str">
        <f>VLOOKUP(D180,categories!$A$1:$B$8,2,FALSE)</f>
        <v>Comfort Bicycles</v>
      </c>
    </row>
    <row r="181" spans="1:7" x14ac:dyDescent="0.3">
      <c r="A181">
        <v>242</v>
      </c>
      <c r="B181" t="s">
        <v>239</v>
      </c>
      <c r="C181">
        <v>1</v>
      </c>
      <c r="D181">
        <v>3</v>
      </c>
      <c r="E181">
        <v>2018</v>
      </c>
      <c r="F181">
        <v>699.99</v>
      </c>
      <c r="G181" t="str">
        <f>VLOOKUP(D181,categories!$A$1:$B$8,2,FALSE)</f>
        <v>Cruisers Bicycles</v>
      </c>
    </row>
    <row r="182" spans="1:7" x14ac:dyDescent="0.3">
      <c r="A182">
        <v>312</v>
      </c>
      <c r="B182" t="s">
        <v>239</v>
      </c>
      <c r="C182">
        <v>1</v>
      </c>
      <c r="D182">
        <v>2</v>
      </c>
      <c r="E182">
        <v>2018</v>
      </c>
      <c r="F182">
        <v>699.99</v>
      </c>
      <c r="G182" t="str">
        <f>VLOOKUP(D182,categories!$A$1:$B$8,2,FALSE)</f>
        <v>Comfort Bicycles</v>
      </c>
    </row>
    <row r="183" spans="1:7" x14ac:dyDescent="0.3">
      <c r="A183">
        <v>226</v>
      </c>
      <c r="B183" t="s">
        <v>223</v>
      </c>
      <c r="C183">
        <v>1</v>
      </c>
      <c r="D183">
        <v>3</v>
      </c>
      <c r="E183">
        <v>2018</v>
      </c>
      <c r="F183">
        <v>679.99</v>
      </c>
      <c r="G183" t="str">
        <f>VLOOKUP(D183,categories!$A$1:$B$8,2,FALSE)</f>
        <v>Cruisers Bicycles</v>
      </c>
    </row>
    <row r="184" spans="1:7" x14ac:dyDescent="0.3">
      <c r="A184">
        <v>243</v>
      </c>
      <c r="B184" t="s">
        <v>240</v>
      </c>
      <c r="C184">
        <v>1</v>
      </c>
      <c r="D184">
        <v>3</v>
      </c>
      <c r="E184">
        <v>2018</v>
      </c>
      <c r="F184">
        <v>679.99</v>
      </c>
      <c r="G184" t="str">
        <f>VLOOKUP(D184,categories!$A$1:$B$8,2,FALSE)</f>
        <v>Cruisers Bicycles</v>
      </c>
    </row>
    <row r="185" spans="1:7" x14ac:dyDescent="0.3">
      <c r="A185">
        <v>304</v>
      </c>
      <c r="B185" t="s">
        <v>223</v>
      </c>
      <c r="C185">
        <v>1</v>
      </c>
      <c r="D185">
        <v>2</v>
      </c>
      <c r="E185">
        <v>2018</v>
      </c>
      <c r="F185">
        <v>679.99</v>
      </c>
      <c r="G185" t="str">
        <f>VLOOKUP(D185,categories!$A$1:$B$8,2,FALSE)</f>
        <v>Comfort Bicycles</v>
      </c>
    </row>
    <row r="186" spans="1:7" x14ac:dyDescent="0.3">
      <c r="A186">
        <v>314</v>
      </c>
      <c r="B186" t="s">
        <v>240</v>
      </c>
      <c r="C186">
        <v>1</v>
      </c>
      <c r="D186">
        <v>2</v>
      </c>
      <c r="E186">
        <v>2018</v>
      </c>
      <c r="F186">
        <v>679.99</v>
      </c>
      <c r="G186" t="str">
        <f>VLOOKUP(D186,categories!$A$1:$B$8,2,FALSE)</f>
        <v>Comfort Bicycles</v>
      </c>
    </row>
    <row r="187" spans="1:7" x14ac:dyDescent="0.3">
      <c r="A187">
        <v>70</v>
      </c>
      <c r="B187" t="s">
        <v>73</v>
      </c>
      <c r="C187">
        <v>1</v>
      </c>
      <c r="D187">
        <v>3</v>
      </c>
      <c r="E187">
        <v>2017</v>
      </c>
      <c r="F187">
        <v>659.99</v>
      </c>
      <c r="G187" t="str">
        <f>VLOOKUP(D187,categories!$A$1:$B$8,2,FALSE)</f>
        <v>Cruisers Bicycles</v>
      </c>
    </row>
    <row r="188" spans="1:7" x14ac:dyDescent="0.3">
      <c r="A188">
        <v>82</v>
      </c>
      <c r="B188" t="s">
        <v>85</v>
      </c>
      <c r="C188">
        <v>1</v>
      </c>
      <c r="D188">
        <v>3</v>
      </c>
      <c r="E188">
        <v>2017</v>
      </c>
      <c r="F188">
        <v>659.99</v>
      </c>
      <c r="G188" t="str">
        <f>VLOOKUP(D188,categories!$A$1:$B$8,2,FALSE)</f>
        <v>Cruisers Bicycles</v>
      </c>
    </row>
    <row r="189" spans="1:7" x14ac:dyDescent="0.3">
      <c r="A189">
        <v>245</v>
      </c>
      <c r="B189" t="s">
        <v>242</v>
      </c>
      <c r="C189">
        <v>1</v>
      </c>
      <c r="D189">
        <v>3</v>
      </c>
      <c r="E189">
        <v>2018</v>
      </c>
      <c r="F189">
        <v>659.99</v>
      </c>
      <c r="G189" t="str">
        <f>VLOOKUP(D189,categories!$A$1:$B$8,2,FALSE)</f>
        <v>Cruisers Bicycles</v>
      </c>
    </row>
    <row r="190" spans="1:7" x14ac:dyDescent="0.3">
      <c r="A190">
        <v>78</v>
      </c>
      <c r="B190" t="s">
        <v>81</v>
      </c>
      <c r="C190">
        <v>7</v>
      </c>
      <c r="D190">
        <v>3</v>
      </c>
      <c r="E190">
        <v>2017</v>
      </c>
      <c r="F190">
        <v>647.99</v>
      </c>
      <c r="G190" t="str">
        <f>VLOOKUP(D190,categories!$A$1:$B$8,2,FALSE)</f>
        <v>Cruisers Bicycles</v>
      </c>
    </row>
    <row r="191" spans="1:7" x14ac:dyDescent="0.3">
      <c r="A191">
        <v>219</v>
      </c>
      <c r="B191" t="s">
        <v>216</v>
      </c>
      <c r="C191">
        <v>1</v>
      </c>
      <c r="D191">
        <v>3</v>
      </c>
      <c r="E191">
        <v>2018</v>
      </c>
      <c r="F191">
        <v>639.99</v>
      </c>
      <c r="G191" t="str">
        <f>VLOOKUP(D191,categories!$A$1:$B$8,2,FALSE)</f>
        <v>Cruisers Bicycles</v>
      </c>
    </row>
    <row r="192" spans="1:7" x14ac:dyDescent="0.3">
      <c r="A192">
        <v>233</v>
      </c>
      <c r="B192" t="s">
        <v>230</v>
      </c>
      <c r="C192">
        <v>1</v>
      </c>
      <c r="D192">
        <v>3</v>
      </c>
      <c r="E192">
        <v>2018</v>
      </c>
      <c r="F192">
        <v>639.99</v>
      </c>
      <c r="G192" t="str">
        <f>VLOOKUP(D192,categories!$A$1:$B$8,2,FALSE)</f>
        <v>Cruisers Bicycles</v>
      </c>
    </row>
    <row r="193" spans="1:7" x14ac:dyDescent="0.3">
      <c r="A193">
        <v>246</v>
      </c>
      <c r="B193" t="s">
        <v>243</v>
      </c>
      <c r="C193">
        <v>1</v>
      </c>
      <c r="D193">
        <v>3</v>
      </c>
      <c r="E193">
        <v>2018</v>
      </c>
      <c r="F193">
        <v>639.99</v>
      </c>
      <c r="G193" t="str">
        <f>VLOOKUP(D193,categories!$A$1:$B$8,2,FALSE)</f>
        <v>Cruisers Bicycles</v>
      </c>
    </row>
    <row r="194" spans="1:7" x14ac:dyDescent="0.3">
      <c r="A194">
        <v>72</v>
      </c>
      <c r="B194" t="s">
        <v>75</v>
      </c>
      <c r="C194">
        <v>7</v>
      </c>
      <c r="D194">
        <v>3</v>
      </c>
      <c r="E194">
        <v>2017</v>
      </c>
      <c r="F194">
        <v>619.99</v>
      </c>
      <c r="G194" t="str">
        <f>VLOOKUP(D194,categories!$A$1:$B$8,2,FALSE)</f>
        <v>Cruisers Bicycles</v>
      </c>
    </row>
    <row r="195" spans="1:7" x14ac:dyDescent="0.3">
      <c r="A195">
        <v>16</v>
      </c>
      <c r="B195" t="s">
        <v>23</v>
      </c>
      <c r="C195">
        <v>1</v>
      </c>
      <c r="D195">
        <v>3</v>
      </c>
      <c r="E195">
        <v>2016</v>
      </c>
      <c r="F195">
        <v>599.99</v>
      </c>
      <c r="G195" t="str">
        <f>VLOOKUP(D195,categories!$A$1:$B$8,2,FALSE)</f>
        <v>Cruisers Bicycles</v>
      </c>
    </row>
    <row r="196" spans="1:7" x14ac:dyDescent="0.3">
      <c r="A196">
        <v>20</v>
      </c>
      <c r="B196" t="s">
        <v>27</v>
      </c>
      <c r="C196">
        <v>1</v>
      </c>
      <c r="D196">
        <v>3</v>
      </c>
      <c r="E196">
        <v>2016</v>
      </c>
      <c r="F196">
        <v>599.99</v>
      </c>
      <c r="G196" t="str">
        <f>VLOOKUP(D196,categories!$A$1:$B$8,2,FALSE)</f>
        <v>Cruisers Bicycles</v>
      </c>
    </row>
    <row r="197" spans="1:7" x14ac:dyDescent="0.3">
      <c r="A197">
        <v>26</v>
      </c>
      <c r="B197" t="s">
        <v>23</v>
      </c>
      <c r="C197">
        <v>1</v>
      </c>
      <c r="D197">
        <v>2</v>
      </c>
      <c r="E197">
        <v>2016</v>
      </c>
      <c r="F197">
        <v>599.99</v>
      </c>
      <c r="G197" t="str">
        <f>VLOOKUP(D197,categories!$A$1:$B$8,2,FALSE)</f>
        <v>Comfort Bicycles</v>
      </c>
    </row>
    <row r="198" spans="1:7" x14ac:dyDescent="0.3">
      <c r="A198">
        <v>75</v>
      </c>
      <c r="B198" t="s">
        <v>78</v>
      </c>
      <c r="C198">
        <v>1</v>
      </c>
      <c r="D198">
        <v>3</v>
      </c>
      <c r="E198">
        <v>2017</v>
      </c>
      <c r="F198">
        <v>599.99</v>
      </c>
      <c r="G198" t="str">
        <f>VLOOKUP(D198,categories!$A$1:$B$8,2,FALSE)</f>
        <v>Cruisers Bicycles</v>
      </c>
    </row>
    <row r="199" spans="1:7" x14ac:dyDescent="0.3">
      <c r="A199">
        <v>247</v>
      </c>
      <c r="B199" t="s">
        <v>244</v>
      </c>
      <c r="C199">
        <v>1</v>
      </c>
      <c r="D199">
        <v>3</v>
      </c>
      <c r="E199">
        <v>2018</v>
      </c>
      <c r="F199">
        <v>599.99</v>
      </c>
      <c r="G199" t="str">
        <f>VLOOKUP(D199,categories!$A$1:$B$8,2,FALSE)</f>
        <v>Cruisers Bicycles</v>
      </c>
    </row>
    <row r="200" spans="1:7" x14ac:dyDescent="0.3">
      <c r="A200">
        <v>248</v>
      </c>
      <c r="B200" t="s">
        <v>245</v>
      </c>
      <c r="C200">
        <v>1</v>
      </c>
      <c r="D200">
        <v>3</v>
      </c>
      <c r="E200">
        <v>2018</v>
      </c>
      <c r="F200">
        <v>599.99</v>
      </c>
      <c r="G200" t="str">
        <f>VLOOKUP(D200,categories!$A$1:$B$8,2,FALSE)</f>
        <v>Cruisers Bicycles</v>
      </c>
    </row>
    <row r="201" spans="1:7" x14ac:dyDescent="0.3">
      <c r="A201">
        <v>114</v>
      </c>
      <c r="B201" t="s">
        <v>113</v>
      </c>
      <c r="C201">
        <v>9</v>
      </c>
      <c r="D201">
        <v>6</v>
      </c>
      <c r="E201">
        <v>2018</v>
      </c>
      <c r="F201">
        <v>579.99</v>
      </c>
      <c r="G201" t="str">
        <f>VLOOKUP(D201,categories!$A$1:$B$8,2,FALSE)</f>
        <v>Mountain Bikes</v>
      </c>
    </row>
    <row r="202" spans="1:7" x14ac:dyDescent="0.3">
      <c r="A202">
        <v>212</v>
      </c>
      <c r="B202" t="s">
        <v>209</v>
      </c>
      <c r="C202">
        <v>1</v>
      </c>
      <c r="D202">
        <v>3</v>
      </c>
      <c r="E202">
        <v>2018</v>
      </c>
      <c r="F202">
        <v>559.99</v>
      </c>
      <c r="G202" t="str">
        <f>VLOOKUP(D202,categories!$A$1:$B$8,2,FALSE)</f>
        <v>Cruisers Bicycles</v>
      </c>
    </row>
    <row r="203" spans="1:7" x14ac:dyDescent="0.3">
      <c r="A203">
        <v>244</v>
      </c>
      <c r="B203" t="s">
        <v>241</v>
      </c>
      <c r="C203">
        <v>1</v>
      </c>
      <c r="D203">
        <v>3</v>
      </c>
      <c r="E203">
        <v>2018</v>
      </c>
      <c r="F203">
        <v>559.99</v>
      </c>
      <c r="G203" t="str">
        <f>VLOOKUP(D203,categories!$A$1:$B$8,2,FALSE)</f>
        <v>Cruisers Bicycles</v>
      </c>
    </row>
    <row r="204" spans="1:7" x14ac:dyDescent="0.3">
      <c r="A204">
        <v>299</v>
      </c>
      <c r="B204" t="s">
        <v>209</v>
      </c>
      <c r="C204">
        <v>1</v>
      </c>
      <c r="D204">
        <v>2</v>
      </c>
      <c r="E204">
        <v>2018</v>
      </c>
      <c r="F204">
        <v>559.99</v>
      </c>
      <c r="G204" t="str">
        <f>VLOOKUP(D204,categories!$A$1:$B$8,2,FALSE)</f>
        <v>Comfort Bicycles</v>
      </c>
    </row>
    <row r="205" spans="1:7" x14ac:dyDescent="0.3">
      <c r="A205">
        <v>315</v>
      </c>
      <c r="B205" t="s">
        <v>241</v>
      </c>
      <c r="C205">
        <v>1</v>
      </c>
      <c r="D205">
        <v>2</v>
      </c>
      <c r="E205">
        <v>2018</v>
      </c>
      <c r="F205">
        <v>559.99</v>
      </c>
      <c r="G205" t="str">
        <f>VLOOKUP(D205,categories!$A$1:$B$8,2,FALSE)</f>
        <v>Comfort Bicycles</v>
      </c>
    </row>
    <row r="206" spans="1:7" x14ac:dyDescent="0.3">
      <c r="A206">
        <v>103</v>
      </c>
      <c r="B206" t="s">
        <v>104</v>
      </c>
      <c r="C206">
        <v>7</v>
      </c>
      <c r="D206">
        <v>2</v>
      </c>
      <c r="E206">
        <v>2017</v>
      </c>
      <c r="F206">
        <v>551.99</v>
      </c>
      <c r="G206" t="str">
        <f>VLOOKUP(D206,categories!$A$1:$B$8,2,FALSE)</f>
        <v>Comfort Bicycles</v>
      </c>
    </row>
    <row r="207" spans="1:7" x14ac:dyDescent="0.3">
      <c r="A207">
        <v>12</v>
      </c>
      <c r="B207" t="s">
        <v>19</v>
      </c>
      <c r="C207">
        <v>1</v>
      </c>
      <c r="D207">
        <v>3</v>
      </c>
      <c r="E207">
        <v>2016</v>
      </c>
      <c r="F207">
        <v>549.99</v>
      </c>
      <c r="G207" t="str">
        <f>VLOOKUP(D207,categories!$A$1:$B$8,2,FALSE)</f>
        <v>Cruisers Bicycles</v>
      </c>
    </row>
    <row r="208" spans="1:7" x14ac:dyDescent="0.3">
      <c r="A208">
        <v>24</v>
      </c>
      <c r="B208" t="s">
        <v>19</v>
      </c>
      <c r="C208">
        <v>1</v>
      </c>
      <c r="D208">
        <v>2</v>
      </c>
      <c r="E208">
        <v>2016</v>
      </c>
      <c r="F208">
        <v>549.99</v>
      </c>
      <c r="G208" t="str">
        <f>VLOOKUP(D208,categories!$A$1:$B$8,2,FALSE)</f>
        <v>Comfort Bicycles</v>
      </c>
    </row>
    <row r="209" spans="1:7" x14ac:dyDescent="0.3">
      <c r="A209">
        <v>38</v>
      </c>
      <c r="B209" t="s">
        <v>41</v>
      </c>
      <c r="C209">
        <v>2</v>
      </c>
      <c r="D209">
        <v>6</v>
      </c>
      <c r="E209">
        <v>2017</v>
      </c>
      <c r="F209">
        <v>549.99</v>
      </c>
      <c r="G209" t="str">
        <f>VLOOKUP(D209,categories!$A$1:$B$8,2,FALSE)</f>
        <v>Mountain Bikes</v>
      </c>
    </row>
    <row r="210" spans="1:7" x14ac:dyDescent="0.3">
      <c r="A210">
        <v>44</v>
      </c>
      <c r="B210" t="s">
        <v>47</v>
      </c>
      <c r="C210">
        <v>2</v>
      </c>
      <c r="D210">
        <v>6</v>
      </c>
      <c r="E210">
        <v>2017</v>
      </c>
      <c r="F210">
        <v>539.99</v>
      </c>
      <c r="G210" t="str">
        <f>VLOOKUP(D210,categories!$A$1:$B$8,2,FALSE)</f>
        <v>Mountain Bikes</v>
      </c>
    </row>
    <row r="211" spans="1:7" x14ac:dyDescent="0.3">
      <c r="A211">
        <v>105</v>
      </c>
      <c r="B211" t="s">
        <v>106</v>
      </c>
      <c r="C211">
        <v>7</v>
      </c>
      <c r="D211">
        <v>2</v>
      </c>
      <c r="E211">
        <v>2017</v>
      </c>
      <c r="F211">
        <v>533.99</v>
      </c>
      <c r="G211" t="str">
        <f>VLOOKUP(D211,categories!$A$1:$B$8,2,FALSE)</f>
        <v>Comfort Bicycles</v>
      </c>
    </row>
    <row r="212" spans="1:7" x14ac:dyDescent="0.3">
      <c r="A212">
        <v>15</v>
      </c>
      <c r="B212" t="s">
        <v>22</v>
      </c>
      <c r="C212">
        <v>1</v>
      </c>
      <c r="D212">
        <v>3</v>
      </c>
      <c r="E212">
        <v>2016</v>
      </c>
      <c r="F212">
        <v>529.99</v>
      </c>
      <c r="G212" t="str">
        <f>VLOOKUP(D212,categories!$A$1:$B$8,2,FALSE)</f>
        <v>Cruisers Bicycles</v>
      </c>
    </row>
    <row r="213" spans="1:7" x14ac:dyDescent="0.3">
      <c r="A213">
        <v>223</v>
      </c>
      <c r="B213" t="s">
        <v>220</v>
      </c>
      <c r="C213">
        <v>1</v>
      </c>
      <c r="D213">
        <v>3</v>
      </c>
      <c r="E213">
        <v>2018</v>
      </c>
      <c r="F213">
        <v>529.99</v>
      </c>
      <c r="G213" t="str">
        <f>VLOOKUP(D213,categories!$A$1:$B$8,2,FALSE)</f>
        <v>Cruisers Bicycles</v>
      </c>
    </row>
    <row r="214" spans="1:7" x14ac:dyDescent="0.3">
      <c r="A214">
        <v>231</v>
      </c>
      <c r="B214" t="s">
        <v>228</v>
      </c>
      <c r="C214">
        <v>1</v>
      </c>
      <c r="D214">
        <v>3</v>
      </c>
      <c r="E214">
        <v>2018</v>
      </c>
      <c r="F214">
        <v>529.99</v>
      </c>
      <c r="G214" t="str">
        <f>VLOOKUP(D214,categories!$A$1:$B$8,2,FALSE)</f>
        <v>Cruisers Bicycles</v>
      </c>
    </row>
    <row r="215" spans="1:7" x14ac:dyDescent="0.3">
      <c r="A215">
        <v>25</v>
      </c>
      <c r="B215" t="s">
        <v>29</v>
      </c>
      <c r="C215">
        <v>1</v>
      </c>
      <c r="D215">
        <v>2</v>
      </c>
      <c r="E215">
        <v>2016</v>
      </c>
      <c r="F215">
        <v>499.99</v>
      </c>
      <c r="G215" t="str">
        <f>VLOOKUP(D215,categories!$A$1:$B$8,2,FALSE)</f>
        <v>Comfort Bicycles</v>
      </c>
    </row>
    <row r="216" spans="1:7" x14ac:dyDescent="0.3">
      <c r="A216">
        <v>64</v>
      </c>
      <c r="B216" t="s">
        <v>67</v>
      </c>
      <c r="C216">
        <v>1</v>
      </c>
      <c r="D216">
        <v>3</v>
      </c>
      <c r="E216">
        <v>2017</v>
      </c>
      <c r="F216">
        <v>489.99</v>
      </c>
      <c r="G216" t="str">
        <f>VLOOKUP(D216,categories!$A$1:$B$8,2,FALSE)</f>
        <v>Cruisers Bicycles</v>
      </c>
    </row>
    <row r="217" spans="1:7" x14ac:dyDescent="0.3">
      <c r="A217">
        <v>98</v>
      </c>
      <c r="B217" t="s">
        <v>100</v>
      </c>
      <c r="C217">
        <v>1</v>
      </c>
      <c r="D217">
        <v>1</v>
      </c>
      <c r="E217">
        <v>2017</v>
      </c>
      <c r="F217">
        <v>489.99</v>
      </c>
      <c r="G217" t="str">
        <f>VLOOKUP(D217,categories!$A$1:$B$8,2,FALSE)</f>
        <v>Children Bicycles</v>
      </c>
    </row>
    <row r="218" spans="1:7" x14ac:dyDescent="0.3">
      <c r="A218">
        <v>100</v>
      </c>
      <c r="B218" t="s">
        <v>102</v>
      </c>
      <c r="C218">
        <v>1</v>
      </c>
      <c r="D218">
        <v>1</v>
      </c>
      <c r="E218">
        <v>2017</v>
      </c>
      <c r="F218">
        <v>489.99</v>
      </c>
      <c r="G218" t="str">
        <f>VLOOKUP(D218,categories!$A$1:$B$8,2,FALSE)</f>
        <v>Children Bicycles</v>
      </c>
    </row>
    <row r="219" spans="1:7" x14ac:dyDescent="0.3">
      <c r="A219">
        <v>102</v>
      </c>
      <c r="B219" t="s">
        <v>67</v>
      </c>
      <c r="C219">
        <v>1</v>
      </c>
      <c r="D219">
        <v>2</v>
      </c>
      <c r="E219">
        <v>2017</v>
      </c>
      <c r="F219">
        <v>489.99</v>
      </c>
      <c r="G219" t="str">
        <f>VLOOKUP(D219,categories!$A$1:$B$8,2,FALSE)</f>
        <v>Comfort Bicycles</v>
      </c>
    </row>
    <row r="220" spans="1:7" x14ac:dyDescent="0.3">
      <c r="A220">
        <v>113</v>
      </c>
      <c r="B220" t="s">
        <v>112</v>
      </c>
      <c r="C220">
        <v>9</v>
      </c>
      <c r="D220">
        <v>6</v>
      </c>
      <c r="E220">
        <v>2018</v>
      </c>
      <c r="F220">
        <v>489.99</v>
      </c>
      <c r="G220" t="str">
        <f>VLOOKUP(D220,categories!$A$1:$B$8,2,FALSE)</f>
        <v>Mountain Bikes</v>
      </c>
    </row>
    <row r="221" spans="1:7" x14ac:dyDescent="0.3">
      <c r="A221">
        <v>280</v>
      </c>
      <c r="B221" t="s">
        <v>273</v>
      </c>
      <c r="C221">
        <v>9</v>
      </c>
      <c r="D221">
        <v>1</v>
      </c>
      <c r="E221">
        <v>2018</v>
      </c>
      <c r="F221">
        <v>489.99</v>
      </c>
      <c r="G221" t="str">
        <f>VLOOKUP(D221,categories!$A$1:$B$8,2,FALSE)</f>
        <v>Children Bicycles</v>
      </c>
    </row>
    <row r="222" spans="1:7" x14ac:dyDescent="0.3">
      <c r="A222">
        <v>104</v>
      </c>
      <c r="B222" t="s">
        <v>105</v>
      </c>
      <c r="C222">
        <v>7</v>
      </c>
      <c r="D222">
        <v>2</v>
      </c>
      <c r="E222">
        <v>2017</v>
      </c>
      <c r="F222">
        <v>481.99</v>
      </c>
      <c r="G222" t="str">
        <f>VLOOKUP(D222,categories!$A$1:$B$8,2,FALSE)</f>
        <v>Comfort Bicycles</v>
      </c>
    </row>
    <row r="223" spans="1:7" x14ac:dyDescent="0.3">
      <c r="A223">
        <v>224</v>
      </c>
      <c r="B223" t="s">
        <v>221</v>
      </c>
      <c r="C223">
        <v>1</v>
      </c>
      <c r="D223">
        <v>3</v>
      </c>
      <c r="E223">
        <v>2018</v>
      </c>
      <c r="F223">
        <v>479.99</v>
      </c>
      <c r="G223" t="str">
        <f>VLOOKUP(D223,categories!$A$1:$B$8,2,FALSE)</f>
        <v>Cruisers Bicycles</v>
      </c>
    </row>
    <row r="224" spans="1:7" x14ac:dyDescent="0.3">
      <c r="A224">
        <v>232</v>
      </c>
      <c r="B224" t="s">
        <v>229</v>
      </c>
      <c r="C224">
        <v>1</v>
      </c>
      <c r="D224">
        <v>3</v>
      </c>
      <c r="E224">
        <v>2018</v>
      </c>
      <c r="F224">
        <v>479.99</v>
      </c>
      <c r="G224" t="str">
        <f>VLOOKUP(D224,categories!$A$1:$B$8,2,FALSE)</f>
        <v>Cruisers Bicycles</v>
      </c>
    </row>
    <row r="225" spans="1:7" x14ac:dyDescent="0.3">
      <c r="A225">
        <v>110</v>
      </c>
      <c r="B225" t="s">
        <v>109</v>
      </c>
      <c r="C225">
        <v>7</v>
      </c>
      <c r="D225">
        <v>2</v>
      </c>
      <c r="E225">
        <v>2017</v>
      </c>
      <c r="F225">
        <v>470.99</v>
      </c>
      <c r="G225" t="str">
        <f>VLOOKUP(D225,categories!$A$1:$B$8,2,FALSE)</f>
        <v>Comfort Bicycles</v>
      </c>
    </row>
    <row r="226" spans="1:7" x14ac:dyDescent="0.3">
      <c r="A226">
        <v>111</v>
      </c>
      <c r="B226" t="s">
        <v>110</v>
      </c>
      <c r="C226">
        <v>7</v>
      </c>
      <c r="D226">
        <v>2</v>
      </c>
      <c r="E226">
        <v>2017</v>
      </c>
      <c r="F226">
        <v>470.99</v>
      </c>
      <c r="G226" t="str">
        <f>VLOOKUP(D226,categories!$A$1:$B$8,2,FALSE)</f>
        <v>Comfort Bicycles</v>
      </c>
    </row>
    <row r="227" spans="1:7" x14ac:dyDescent="0.3">
      <c r="A227">
        <v>6</v>
      </c>
      <c r="B227" t="s">
        <v>13</v>
      </c>
      <c r="C227">
        <v>8</v>
      </c>
      <c r="D227">
        <v>6</v>
      </c>
      <c r="E227">
        <v>2016</v>
      </c>
      <c r="F227">
        <v>469.99</v>
      </c>
      <c r="G227" t="str">
        <f>VLOOKUP(D227,categories!$A$1:$B$8,2,FALSE)</f>
        <v>Mountain Bikes</v>
      </c>
    </row>
    <row r="228" spans="1:7" x14ac:dyDescent="0.3">
      <c r="A228">
        <v>32</v>
      </c>
      <c r="B228" t="s">
        <v>35</v>
      </c>
      <c r="C228">
        <v>9</v>
      </c>
      <c r="D228">
        <v>6</v>
      </c>
      <c r="E228">
        <v>2017</v>
      </c>
      <c r="F228">
        <v>469.99</v>
      </c>
      <c r="G228" t="str">
        <f>VLOOKUP(D228,categories!$A$1:$B$8,2,FALSE)</f>
        <v>Mountain Bikes</v>
      </c>
    </row>
    <row r="229" spans="1:7" x14ac:dyDescent="0.3">
      <c r="A229">
        <v>33</v>
      </c>
      <c r="B229" t="s">
        <v>36</v>
      </c>
      <c r="C229">
        <v>8</v>
      </c>
      <c r="D229">
        <v>6</v>
      </c>
      <c r="E229">
        <v>2017</v>
      </c>
      <c r="F229">
        <v>469.99</v>
      </c>
      <c r="G229" t="str">
        <f>VLOOKUP(D229,categories!$A$1:$B$8,2,FALSE)</f>
        <v>Mountain Bikes</v>
      </c>
    </row>
    <row r="230" spans="1:7" x14ac:dyDescent="0.3">
      <c r="A230">
        <v>34</v>
      </c>
      <c r="B230" t="s">
        <v>37</v>
      </c>
      <c r="C230">
        <v>9</v>
      </c>
      <c r="D230">
        <v>6</v>
      </c>
      <c r="E230">
        <v>2017</v>
      </c>
      <c r="F230">
        <v>469.99</v>
      </c>
      <c r="G230" t="str">
        <f>VLOOKUP(D230,categories!$A$1:$B$8,2,FALSE)</f>
        <v>Mountain Bikes</v>
      </c>
    </row>
    <row r="231" spans="1:7" x14ac:dyDescent="0.3">
      <c r="A231">
        <v>119</v>
      </c>
      <c r="B231" t="s">
        <v>118</v>
      </c>
      <c r="C231">
        <v>9</v>
      </c>
      <c r="D231">
        <v>6</v>
      </c>
      <c r="E231">
        <v>2018</v>
      </c>
      <c r="F231">
        <v>469.99</v>
      </c>
      <c r="G231" t="str">
        <f>VLOOKUP(D231,categories!$A$1:$B$8,2,FALSE)</f>
        <v>Mountain Bikes</v>
      </c>
    </row>
    <row r="232" spans="1:7" x14ac:dyDescent="0.3">
      <c r="A232">
        <v>125</v>
      </c>
      <c r="B232" t="s">
        <v>124</v>
      </c>
      <c r="C232">
        <v>9</v>
      </c>
      <c r="D232">
        <v>6</v>
      </c>
      <c r="E232">
        <v>2018</v>
      </c>
      <c r="F232">
        <v>469.99</v>
      </c>
      <c r="G232" t="str">
        <f>VLOOKUP(D232,categories!$A$1:$B$8,2,FALSE)</f>
        <v>Mountain Bikes</v>
      </c>
    </row>
    <row r="233" spans="1:7" x14ac:dyDescent="0.3">
      <c r="A233">
        <v>126</v>
      </c>
      <c r="B233" t="s">
        <v>125</v>
      </c>
      <c r="C233">
        <v>8</v>
      </c>
      <c r="D233">
        <v>6</v>
      </c>
      <c r="E233">
        <v>2018</v>
      </c>
      <c r="F233">
        <v>469.99</v>
      </c>
      <c r="G233" t="str">
        <f>VLOOKUP(D233,categories!$A$1:$B$8,2,FALSE)</f>
        <v>Mountain Bikes</v>
      </c>
    </row>
    <row r="234" spans="1:7" x14ac:dyDescent="0.3">
      <c r="A234">
        <v>127</v>
      </c>
      <c r="B234" t="s">
        <v>126</v>
      </c>
      <c r="C234">
        <v>8</v>
      </c>
      <c r="D234">
        <v>6</v>
      </c>
      <c r="E234">
        <v>2018</v>
      </c>
      <c r="F234">
        <v>469.99</v>
      </c>
      <c r="G234" t="str">
        <f>VLOOKUP(D234,categories!$A$1:$B$8,2,FALSE)</f>
        <v>Mountain Bikes</v>
      </c>
    </row>
    <row r="235" spans="1:7" x14ac:dyDescent="0.3">
      <c r="A235">
        <v>68</v>
      </c>
      <c r="B235" t="s">
        <v>71</v>
      </c>
      <c r="C235">
        <v>7</v>
      </c>
      <c r="D235">
        <v>3</v>
      </c>
      <c r="E235">
        <v>2017</v>
      </c>
      <c r="F235">
        <v>449.99</v>
      </c>
      <c r="G235" t="str">
        <f>VLOOKUP(D235,categories!$A$1:$B$8,2,FALSE)</f>
        <v>Cruisers Bicycles</v>
      </c>
    </row>
    <row r="236" spans="1:7" x14ac:dyDescent="0.3">
      <c r="A236">
        <v>106</v>
      </c>
      <c r="B236" t="s">
        <v>71</v>
      </c>
      <c r="C236">
        <v>7</v>
      </c>
      <c r="D236">
        <v>2</v>
      </c>
      <c r="E236">
        <v>2017</v>
      </c>
      <c r="F236">
        <v>449.99</v>
      </c>
      <c r="G236" t="str">
        <f>VLOOKUP(D236,categories!$A$1:$B$8,2,FALSE)</f>
        <v>Comfort Bicycles</v>
      </c>
    </row>
    <row r="237" spans="1:7" x14ac:dyDescent="0.3">
      <c r="A237">
        <v>108</v>
      </c>
      <c r="B237" t="s">
        <v>107</v>
      </c>
      <c r="C237">
        <v>7</v>
      </c>
      <c r="D237">
        <v>2</v>
      </c>
      <c r="E237">
        <v>2017</v>
      </c>
      <c r="F237">
        <v>449.99</v>
      </c>
      <c r="G237" t="str">
        <f>VLOOKUP(D237,categories!$A$1:$B$8,2,FALSE)</f>
        <v>Comfort Bicycles</v>
      </c>
    </row>
    <row r="238" spans="1:7" x14ac:dyDescent="0.3">
      <c r="A238">
        <v>302</v>
      </c>
      <c r="B238" t="s">
        <v>291</v>
      </c>
      <c r="C238">
        <v>1</v>
      </c>
      <c r="D238">
        <v>2</v>
      </c>
      <c r="E238">
        <v>2018</v>
      </c>
      <c r="F238">
        <v>449.99</v>
      </c>
      <c r="G238" t="str">
        <f>VLOOKUP(D238,categories!$A$1:$B$8,2,FALSE)</f>
        <v>Comfort Bicycles</v>
      </c>
    </row>
    <row r="239" spans="1:7" x14ac:dyDescent="0.3">
      <c r="A239">
        <v>313</v>
      </c>
      <c r="B239" t="s">
        <v>292</v>
      </c>
      <c r="C239">
        <v>1</v>
      </c>
      <c r="D239">
        <v>2</v>
      </c>
      <c r="E239">
        <v>2018</v>
      </c>
      <c r="F239">
        <v>449.99</v>
      </c>
      <c r="G239" t="str">
        <f>VLOOKUP(D239,categories!$A$1:$B$8,2,FALSE)</f>
        <v>Comfort Bicycles</v>
      </c>
    </row>
    <row r="240" spans="1:7" x14ac:dyDescent="0.3">
      <c r="A240">
        <v>18</v>
      </c>
      <c r="B240" t="s">
        <v>25</v>
      </c>
      <c r="C240">
        <v>4</v>
      </c>
      <c r="D240">
        <v>3</v>
      </c>
      <c r="E240">
        <v>2016</v>
      </c>
      <c r="F240">
        <v>449</v>
      </c>
      <c r="G240" t="str">
        <f>VLOOKUP(D240,categories!$A$1:$B$8,2,FALSE)</f>
        <v>Cruisers Bicycles</v>
      </c>
    </row>
    <row r="241" spans="1:7" x14ac:dyDescent="0.3">
      <c r="A241">
        <v>19</v>
      </c>
      <c r="B241" t="s">
        <v>26</v>
      </c>
      <c r="C241">
        <v>4</v>
      </c>
      <c r="D241">
        <v>3</v>
      </c>
      <c r="E241">
        <v>2016</v>
      </c>
      <c r="F241">
        <v>449</v>
      </c>
      <c r="G241" t="str">
        <f>VLOOKUP(D241,categories!$A$1:$B$8,2,FALSE)</f>
        <v>Cruisers Bicycles</v>
      </c>
    </row>
    <row r="242" spans="1:7" x14ac:dyDescent="0.3">
      <c r="A242">
        <v>74</v>
      </c>
      <c r="B242" t="s">
        <v>77</v>
      </c>
      <c r="C242">
        <v>1</v>
      </c>
      <c r="D242">
        <v>3</v>
      </c>
      <c r="E242">
        <v>2017</v>
      </c>
      <c r="F242">
        <v>439.99</v>
      </c>
      <c r="G242" t="str">
        <f>VLOOKUP(D242,categories!$A$1:$B$8,2,FALSE)</f>
        <v>Cruisers Bicycles</v>
      </c>
    </row>
    <row r="243" spans="1:7" x14ac:dyDescent="0.3">
      <c r="A243">
        <v>229</v>
      </c>
      <c r="B243" t="s">
        <v>226</v>
      </c>
      <c r="C243">
        <v>1</v>
      </c>
      <c r="D243">
        <v>3</v>
      </c>
      <c r="E243">
        <v>2018</v>
      </c>
      <c r="F243">
        <v>429.99</v>
      </c>
      <c r="G243" t="str">
        <f>VLOOKUP(D243,categories!$A$1:$B$8,2,FALSE)</f>
        <v>Cruisers Bicycles</v>
      </c>
    </row>
    <row r="244" spans="1:7" x14ac:dyDescent="0.3">
      <c r="A244">
        <v>230</v>
      </c>
      <c r="B244" t="s">
        <v>227</v>
      </c>
      <c r="C244">
        <v>1</v>
      </c>
      <c r="D244">
        <v>3</v>
      </c>
      <c r="E244">
        <v>2018</v>
      </c>
      <c r="F244">
        <v>429.99</v>
      </c>
      <c r="G244" t="str">
        <f>VLOOKUP(D244,categories!$A$1:$B$8,2,FALSE)</f>
        <v>Cruisers Bicycles</v>
      </c>
    </row>
    <row r="245" spans="1:7" x14ac:dyDescent="0.3">
      <c r="A245">
        <v>17</v>
      </c>
      <c r="B245" t="s">
        <v>24</v>
      </c>
      <c r="C245">
        <v>4</v>
      </c>
      <c r="D245">
        <v>3</v>
      </c>
      <c r="E245">
        <v>2016</v>
      </c>
      <c r="F245">
        <v>429</v>
      </c>
      <c r="G245" t="str">
        <f>VLOOKUP(D245,categories!$A$1:$B$8,2,FALSE)</f>
        <v>Cruisers Bicycles</v>
      </c>
    </row>
    <row r="246" spans="1:7" x14ac:dyDescent="0.3">
      <c r="A246">
        <v>69</v>
      </c>
      <c r="B246" t="s">
        <v>72</v>
      </c>
      <c r="C246">
        <v>7</v>
      </c>
      <c r="D246">
        <v>3</v>
      </c>
      <c r="E246">
        <v>2017</v>
      </c>
      <c r="F246">
        <v>416.99</v>
      </c>
      <c r="G246" t="str">
        <f>VLOOKUP(D246,categories!$A$1:$B$8,2,FALSE)</f>
        <v>Cruisers Bicycles</v>
      </c>
    </row>
    <row r="247" spans="1:7" x14ac:dyDescent="0.3">
      <c r="A247">
        <v>71</v>
      </c>
      <c r="B247" t="s">
        <v>74</v>
      </c>
      <c r="C247">
        <v>7</v>
      </c>
      <c r="D247">
        <v>3</v>
      </c>
      <c r="E247">
        <v>2017</v>
      </c>
      <c r="F247">
        <v>416.99</v>
      </c>
      <c r="G247" t="str">
        <f>VLOOKUP(D247,categories!$A$1:$B$8,2,FALSE)</f>
        <v>Cruisers Bicycles</v>
      </c>
    </row>
    <row r="248" spans="1:7" x14ac:dyDescent="0.3">
      <c r="A248">
        <v>107</v>
      </c>
      <c r="B248" t="s">
        <v>72</v>
      </c>
      <c r="C248">
        <v>7</v>
      </c>
      <c r="D248">
        <v>2</v>
      </c>
      <c r="E248">
        <v>2017</v>
      </c>
      <c r="F248">
        <v>416.99</v>
      </c>
      <c r="G248" t="str">
        <f>VLOOKUP(D248,categories!$A$1:$B$8,2,FALSE)</f>
        <v>Comfort Bicycles</v>
      </c>
    </row>
    <row r="249" spans="1:7" x14ac:dyDescent="0.3">
      <c r="A249">
        <v>109</v>
      </c>
      <c r="B249" t="s">
        <v>108</v>
      </c>
      <c r="C249">
        <v>7</v>
      </c>
      <c r="D249">
        <v>2</v>
      </c>
      <c r="E249">
        <v>2017</v>
      </c>
      <c r="F249">
        <v>416.99</v>
      </c>
      <c r="G249" t="str">
        <f>VLOOKUP(D249,categories!$A$1:$B$8,2,FALSE)</f>
        <v>Comfort Bicycles</v>
      </c>
    </row>
    <row r="250" spans="1:7" x14ac:dyDescent="0.3">
      <c r="A250">
        <v>79</v>
      </c>
      <c r="B250" t="s">
        <v>82</v>
      </c>
      <c r="C250">
        <v>7</v>
      </c>
      <c r="D250">
        <v>3</v>
      </c>
      <c r="E250">
        <v>2017</v>
      </c>
      <c r="F250">
        <v>402.99</v>
      </c>
      <c r="G250" t="str">
        <f>VLOOKUP(D250,categories!$A$1:$B$8,2,FALSE)</f>
        <v>Cruisers Bicycles</v>
      </c>
    </row>
    <row r="251" spans="1:7" x14ac:dyDescent="0.3">
      <c r="A251">
        <v>266</v>
      </c>
      <c r="B251" t="s">
        <v>259</v>
      </c>
      <c r="C251">
        <v>9</v>
      </c>
      <c r="D251">
        <v>1</v>
      </c>
      <c r="E251">
        <v>2018</v>
      </c>
      <c r="F251">
        <v>399.99</v>
      </c>
      <c r="G251" t="str">
        <f>VLOOKUP(D251,categories!$A$1:$B$8,2,FALSE)</f>
        <v>Children Bicycles</v>
      </c>
    </row>
    <row r="252" spans="1:7" x14ac:dyDescent="0.3">
      <c r="A252">
        <v>288</v>
      </c>
      <c r="B252" t="s">
        <v>280</v>
      </c>
      <c r="C252">
        <v>1</v>
      </c>
      <c r="D252">
        <v>1</v>
      </c>
      <c r="E252">
        <v>2018</v>
      </c>
      <c r="F252">
        <v>389.99</v>
      </c>
      <c r="G252" t="str">
        <f>VLOOKUP(D252,categories!$A$1:$B$8,2,FALSE)</f>
        <v>Children Bicycles</v>
      </c>
    </row>
    <row r="253" spans="1:7" x14ac:dyDescent="0.3">
      <c r="A253">
        <v>1</v>
      </c>
      <c r="B253" t="s">
        <v>8</v>
      </c>
      <c r="C253">
        <v>9</v>
      </c>
      <c r="D253">
        <v>6</v>
      </c>
      <c r="E253">
        <v>2016</v>
      </c>
      <c r="F253">
        <v>379.99</v>
      </c>
      <c r="G253" t="str">
        <f>VLOOKUP(D253,categories!$A$1:$B$8,2,FALSE)</f>
        <v>Mountain Bikes</v>
      </c>
    </row>
    <row r="254" spans="1:7" x14ac:dyDescent="0.3">
      <c r="A254">
        <v>37</v>
      </c>
      <c r="B254" t="s">
        <v>40</v>
      </c>
      <c r="C254">
        <v>2</v>
      </c>
      <c r="D254">
        <v>6</v>
      </c>
      <c r="E254">
        <v>2017</v>
      </c>
      <c r="F254">
        <v>379.99</v>
      </c>
      <c r="G254" t="str">
        <f>VLOOKUP(D254,categories!$A$1:$B$8,2,FALSE)</f>
        <v>Mountain Bikes</v>
      </c>
    </row>
    <row r="255" spans="1:7" x14ac:dyDescent="0.3">
      <c r="A255">
        <v>112</v>
      </c>
      <c r="B255" t="s">
        <v>111</v>
      </c>
      <c r="C255">
        <v>9</v>
      </c>
      <c r="D255">
        <v>6</v>
      </c>
      <c r="E255">
        <v>2018</v>
      </c>
      <c r="F255">
        <v>379.99</v>
      </c>
      <c r="G255" t="str">
        <f>VLOOKUP(D255,categories!$A$1:$B$8,2,FALSE)</f>
        <v>Mountain Bikes</v>
      </c>
    </row>
    <row r="256" spans="1:7" x14ac:dyDescent="0.3">
      <c r="A256">
        <v>277</v>
      </c>
      <c r="B256" t="s">
        <v>270</v>
      </c>
      <c r="C256">
        <v>9</v>
      </c>
      <c r="D256">
        <v>1</v>
      </c>
      <c r="E256">
        <v>2018</v>
      </c>
      <c r="F256">
        <v>369.99</v>
      </c>
      <c r="G256" t="str">
        <f>VLOOKUP(D256,categories!$A$1:$B$8,2,FALSE)</f>
        <v>Children Bicycles</v>
      </c>
    </row>
    <row r="257" spans="1:7" x14ac:dyDescent="0.3">
      <c r="A257">
        <v>278</v>
      </c>
      <c r="B257" t="s">
        <v>271</v>
      </c>
      <c r="C257">
        <v>9</v>
      </c>
      <c r="D257">
        <v>1</v>
      </c>
      <c r="E257">
        <v>2018</v>
      </c>
      <c r="F257">
        <v>369.99</v>
      </c>
      <c r="G257" t="str">
        <f>VLOOKUP(D257,categories!$A$1:$B$8,2,FALSE)</f>
        <v>Children Bicycles</v>
      </c>
    </row>
    <row r="258" spans="1:7" x14ac:dyDescent="0.3">
      <c r="A258">
        <v>290</v>
      </c>
      <c r="B258" t="s">
        <v>282</v>
      </c>
      <c r="C258">
        <v>1</v>
      </c>
      <c r="D258">
        <v>1</v>
      </c>
      <c r="E258">
        <v>2018</v>
      </c>
      <c r="F258">
        <v>369.99</v>
      </c>
      <c r="G258" t="str">
        <f>VLOOKUP(D258,categories!$A$1:$B$8,2,FALSE)</f>
        <v>Children Bicycles</v>
      </c>
    </row>
    <row r="259" spans="1:7" x14ac:dyDescent="0.3">
      <c r="A259">
        <v>292</v>
      </c>
      <c r="B259" t="s">
        <v>284</v>
      </c>
      <c r="C259">
        <v>1</v>
      </c>
      <c r="D259">
        <v>1</v>
      </c>
      <c r="E259">
        <v>2018</v>
      </c>
      <c r="F259">
        <v>369.99</v>
      </c>
      <c r="G259" t="str">
        <f>VLOOKUP(D259,categories!$A$1:$B$8,2,FALSE)</f>
        <v>Children Bicycles</v>
      </c>
    </row>
    <row r="260" spans="1:7" x14ac:dyDescent="0.3">
      <c r="A260">
        <v>294</v>
      </c>
      <c r="B260" t="s">
        <v>286</v>
      </c>
      <c r="C260">
        <v>1</v>
      </c>
      <c r="D260">
        <v>1</v>
      </c>
      <c r="E260">
        <v>2018</v>
      </c>
      <c r="F260">
        <v>369.99</v>
      </c>
      <c r="G260" t="str">
        <f>VLOOKUP(D260,categories!$A$1:$B$8,2,FALSE)</f>
        <v>Children Bicycles</v>
      </c>
    </row>
    <row r="261" spans="1:7" x14ac:dyDescent="0.3">
      <c r="A261">
        <v>296</v>
      </c>
      <c r="B261" t="s">
        <v>288</v>
      </c>
      <c r="C261">
        <v>1</v>
      </c>
      <c r="D261">
        <v>1</v>
      </c>
      <c r="E261">
        <v>2018</v>
      </c>
      <c r="F261">
        <v>369.99</v>
      </c>
      <c r="G261" t="str">
        <f>VLOOKUP(D261,categories!$A$1:$B$8,2,FALSE)</f>
        <v>Children Bicycles</v>
      </c>
    </row>
    <row r="262" spans="1:7" x14ac:dyDescent="0.3">
      <c r="A262">
        <v>91</v>
      </c>
      <c r="B262" t="s">
        <v>94</v>
      </c>
      <c r="C262">
        <v>9</v>
      </c>
      <c r="D262">
        <v>1</v>
      </c>
      <c r="E262">
        <v>2017</v>
      </c>
      <c r="F262">
        <v>349.99</v>
      </c>
      <c r="G262" t="str">
        <f>VLOOKUP(D262,categories!$A$1:$B$8,2,FALSE)</f>
        <v>Children Bicycles</v>
      </c>
    </row>
    <row r="263" spans="1:7" x14ac:dyDescent="0.3">
      <c r="A263">
        <v>96</v>
      </c>
      <c r="B263" t="s">
        <v>98</v>
      </c>
      <c r="C263">
        <v>1</v>
      </c>
      <c r="D263">
        <v>1</v>
      </c>
      <c r="E263">
        <v>2017</v>
      </c>
      <c r="F263">
        <v>349.99</v>
      </c>
      <c r="G263" t="str">
        <f>VLOOKUP(D263,categories!$A$1:$B$8,2,FALSE)</f>
        <v>Children Bicycles</v>
      </c>
    </row>
    <row r="264" spans="1:7" x14ac:dyDescent="0.3">
      <c r="A264">
        <v>97</v>
      </c>
      <c r="B264" t="s">
        <v>99</v>
      </c>
      <c r="C264">
        <v>1</v>
      </c>
      <c r="D264">
        <v>1</v>
      </c>
      <c r="E264">
        <v>2017</v>
      </c>
      <c r="F264">
        <v>349.99</v>
      </c>
      <c r="G264" t="str">
        <f>VLOOKUP(D264,categories!$A$1:$B$8,2,FALSE)</f>
        <v>Children Bicycles</v>
      </c>
    </row>
    <row r="265" spans="1:7" x14ac:dyDescent="0.3">
      <c r="A265">
        <v>65</v>
      </c>
      <c r="B265" t="s">
        <v>68</v>
      </c>
      <c r="C265">
        <v>7</v>
      </c>
      <c r="D265">
        <v>3</v>
      </c>
      <c r="E265">
        <v>2017</v>
      </c>
      <c r="F265">
        <v>346.99</v>
      </c>
      <c r="G265" t="str">
        <f>VLOOKUP(D265,categories!$A$1:$B$8,2,FALSE)</f>
        <v>Cruisers Bicycles</v>
      </c>
    </row>
    <row r="266" spans="1:7" x14ac:dyDescent="0.3">
      <c r="A266">
        <v>101</v>
      </c>
      <c r="B266" t="s">
        <v>103</v>
      </c>
      <c r="C266">
        <v>1</v>
      </c>
      <c r="D266">
        <v>1</v>
      </c>
      <c r="E266">
        <v>2017</v>
      </c>
      <c r="F266">
        <v>339.99</v>
      </c>
      <c r="G266" t="str">
        <f>VLOOKUP(D266,categories!$A$1:$B$8,2,FALSE)</f>
        <v>Children Bicycles</v>
      </c>
    </row>
    <row r="267" spans="1:7" x14ac:dyDescent="0.3">
      <c r="A267">
        <v>85</v>
      </c>
      <c r="B267" t="s">
        <v>88</v>
      </c>
      <c r="C267">
        <v>2</v>
      </c>
      <c r="D267">
        <v>1</v>
      </c>
      <c r="E267">
        <v>2017</v>
      </c>
      <c r="F267">
        <v>329.99</v>
      </c>
      <c r="G267" t="str">
        <f>VLOOKUP(D267,categories!$A$1:$B$8,2,FALSE)</f>
        <v>Children Bicycles</v>
      </c>
    </row>
    <row r="268" spans="1:7" x14ac:dyDescent="0.3">
      <c r="A268">
        <v>218</v>
      </c>
      <c r="B268" t="s">
        <v>215</v>
      </c>
      <c r="C268">
        <v>1</v>
      </c>
      <c r="D268">
        <v>3</v>
      </c>
      <c r="E268">
        <v>2018</v>
      </c>
      <c r="F268">
        <v>319.99</v>
      </c>
      <c r="G268" t="str">
        <f>VLOOKUP(D268,categories!$A$1:$B$8,2,FALSE)</f>
        <v>Cruisers Bicycles</v>
      </c>
    </row>
    <row r="269" spans="1:7" x14ac:dyDescent="0.3">
      <c r="A269">
        <v>221</v>
      </c>
      <c r="B269" t="s">
        <v>218</v>
      </c>
      <c r="C269">
        <v>1</v>
      </c>
      <c r="D269">
        <v>3</v>
      </c>
      <c r="E269">
        <v>2018</v>
      </c>
      <c r="F269">
        <v>319.99</v>
      </c>
      <c r="G269" t="str">
        <f>VLOOKUP(D269,categories!$A$1:$B$8,2,FALSE)</f>
        <v>Cruisers Bicycles</v>
      </c>
    </row>
    <row r="270" spans="1:7" x14ac:dyDescent="0.3">
      <c r="A270">
        <v>227</v>
      </c>
      <c r="B270" t="s">
        <v>224</v>
      </c>
      <c r="C270">
        <v>1</v>
      </c>
      <c r="D270">
        <v>3</v>
      </c>
      <c r="E270">
        <v>2018</v>
      </c>
      <c r="F270">
        <v>319.99</v>
      </c>
      <c r="G270" t="str">
        <f>VLOOKUP(D270,categories!$A$1:$B$8,2,FALSE)</f>
        <v>Cruisers Bicycles</v>
      </c>
    </row>
    <row r="271" spans="1:7" x14ac:dyDescent="0.3">
      <c r="A271">
        <v>228</v>
      </c>
      <c r="B271" t="s">
        <v>225</v>
      </c>
      <c r="C271">
        <v>1</v>
      </c>
      <c r="D271">
        <v>3</v>
      </c>
      <c r="E271">
        <v>2018</v>
      </c>
      <c r="F271">
        <v>319.99</v>
      </c>
      <c r="G271" t="str">
        <f>VLOOKUP(D271,categories!$A$1:$B$8,2,FALSE)</f>
        <v>Cruisers Bicycles</v>
      </c>
    </row>
    <row r="272" spans="1:7" x14ac:dyDescent="0.3">
      <c r="A272">
        <v>276</v>
      </c>
      <c r="B272" t="s">
        <v>269</v>
      </c>
      <c r="C272">
        <v>9</v>
      </c>
      <c r="D272">
        <v>1</v>
      </c>
      <c r="E272">
        <v>2018</v>
      </c>
      <c r="F272">
        <v>319.99</v>
      </c>
      <c r="G272" t="str">
        <f>VLOOKUP(D272,categories!$A$1:$B$8,2,FALSE)</f>
        <v>Children Bicycles</v>
      </c>
    </row>
    <row r="273" spans="1:7" x14ac:dyDescent="0.3">
      <c r="A273">
        <v>279</v>
      </c>
      <c r="B273" t="s">
        <v>272</v>
      </c>
      <c r="C273">
        <v>9</v>
      </c>
      <c r="D273">
        <v>1</v>
      </c>
      <c r="E273">
        <v>2018</v>
      </c>
      <c r="F273">
        <v>319.99</v>
      </c>
      <c r="G273" t="str">
        <f>VLOOKUP(D273,categories!$A$1:$B$8,2,FALSE)</f>
        <v>Children Bicycles</v>
      </c>
    </row>
    <row r="274" spans="1:7" x14ac:dyDescent="0.3">
      <c r="A274">
        <v>281</v>
      </c>
      <c r="B274" t="s">
        <v>224</v>
      </c>
      <c r="C274">
        <v>1</v>
      </c>
      <c r="D274">
        <v>1</v>
      </c>
      <c r="E274">
        <v>2018</v>
      </c>
      <c r="F274">
        <v>319.99</v>
      </c>
      <c r="G274" t="str">
        <f>VLOOKUP(D274,categories!$A$1:$B$8,2,FALSE)</f>
        <v>Children Bicycles</v>
      </c>
    </row>
    <row r="275" spans="1:7" x14ac:dyDescent="0.3">
      <c r="A275">
        <v>283</v>
      </c>
      <c r="B275" t="s">
        <v>275</v>
      </c>
      <c r="C275">
        <v>1</v>
      </c>
      <c r="D275">
        <v>1</v>
      </c>
      <c r="E275">
        <v>2018</v>
      </c>
      <c r="F275">
        <v>319.99</v>
      </c>
      <c r="G275" t="str">
        <f>VLOOKUP(D275,categories!$A$1:$B$8,2,FALSE)</f>
        <v>Children Bicycles</v>
      </c>
    </row>
    <row r="276" spans="1:7" x14ac:dyDescent="0.3">
      <c r="A276">
        <v>284</v>
      </c>
      <c r="B276" t="s">
        <v>276</v>
      </c>
      <c r="C276">
        <v>1</v>
      </c>
      <c r="D276">
        <v>1</v>
      </c>
      <c r="E276">
        <v>2018</v>
      </c>
      <c r="F276">
        <v>319.99</v>
      </c>
      <c r="G276" t="str">
        <f>VLOOKUP(D276,categories!$A$1:$B$8,2,FALSE)</f>
        <v>Children Bicycles</v>
      </c>
    </row>
    <row r="277" spans="1:7" x14ac:dyDescent="0.3">
      <c r="A277">
        <v>289</v>
      </c>
      <c r="B277" t="s">
        <v>281</v>
      </c>
      <c r="C277">
        <v>1</v>
      </c>
      <c r="D277">
        <v>1</v>
      </c>
      <c r="E277">
        <v>2018</v>
      </c>
      <c r="F277">
        <v>319.99</v>
      </c>
      <c r="G277" t="str">
        <f>VLOOKUP(D277,categories!$A$1:$B$8,2,FALSE)</f>
        <v>Children Bicycles</v>
      </c>
    </row>
    <row r="278" spans="1:7" x14ac:dyDescent="0.3">
      <c r="A278">
        <v>291</v>
      </c>
      <c r="B278" t="s">
        <v>283</v>
      </c>
      <c r="C278">
        <v>1</v>
      </c>
      <c r="D278">
        <v>1</v>
      </c>
      <c r="E278">
        <v>2018</v>
      </c>
      <c r="F278">
        <v>319.99</v>
      </c>
      <c r="G278" t="str">
        <f>VLOOKUP(D278,categories!$A$1:$B$8,2,FALSE)</f>
        <v>Children Bicycles</v>
      </c>
    </row>
    <row r="279" spans="1:7" x14ac:dyDescent="0.3">
      <c r="A279">
        <v>293</v>
      </c>
      <c r="B279" t="s">
        <v>285</v>
      </c>
      <c r="C279">
        <v>1</v>
      </c>
      <c r="D279">
        <v>1</v>
      </c>
      <c r="E279">
        <v>2018</v>
      </c>
      <c r="F279">
        <v>319.99</v>
      </c>
      <c r="G279" t="str">
        <f>VLOOKUP(D279,categories!$A$1:$B$8,2,FALSE)</f>
        <v>Children Bicycles</v>
      </c>
    </row>
    <row r="280" spans="1:7" x14ac:dyDescent="0.3">
      <c r="A280">
        <v>295</v>
      </c>
      <c r="B280" t="s">
        <v>287</v>
      </c>
      <c r="C280">
        <v>1</v>
      </c>
      <c r="D280">
        <v>1</v>
      </c>
      <c r="E280">
        <v>2018</v>
      </c>
      <c r="F280">
        <v>319.99</v>
      </c>
      <c r="G280" t="str">
        <f>VLOOKUP(D280,categories!$A$1:$B$8,2,FALSE)</f>
        <v>Children Bicycles</v>
      </c>
    </row>
    <row r="281" spans="1:7" x14ac:dyDescent="0.3">
      <c r="A281">
        <v>23</v>
      </c>
      <c r="B281" t="s">
        <v>28</v>
      </c>
      <c r="C281">
        <v>1</v>
      </c>
      <c r="D281">
        <v>1</v>
      </c>
      <c r="E281">
        <v>2016</v>
      </c>
      <c r="F281">
        <v>299.99</v>
      </c>
      <c r="G281" t="str">
        <f>VLOOKUP(D281,categories!$A$1:$B$8,2,FALSE)</f>
        <v>Children Bicycles</v>
      </c>
    </row>
    <row r="282" spans="1:7" x14ac:dyDescent="0.3">
      <c r="A282">
        <v>76</v>
      </c>
      <c r="B282" t="s">
        <v>79</v>
      </c>
      <c r="C282">
        <v>1</v>
      </c>
      <c r="D282">
        <v>3</v>
      </c>
      <c r="E282">
        <v>2017</v>
      </c>
      <c r="F282">
        <v>299.99</v>
      </c>
      <c r="G282" t="str">
        <f>VLOOKUP(D282,categories!$A$1:$B$8,2,FALSE)</f>
        <v>Cruisers Bicycles</v>
      </c>
    </row>
    <row r="283" spans="1:7" x14ac:dyDescent="0.3">
      <c r="A283">
        <v>95</v>
      </c>
      <c r="B283" t="s">
        <v>79</v>
      </c>
      <c r="C283">
        <v>1</v>
      </c>
      <c r="D283">
        <v>1</v>
      </c>
      <c r="E283">
        <v>2017</v>
      </c>
      <c r="F283">
        <v>299.99</v>
      </c>
      <c r="G283" t="str">
        <f>VLOOKUP(D283,categories!$A$1:$B$8,2,FALSE)</f>
        <v>Children Bicycles</v>
      </c>
    </row>
    <row r="284" spans="1:7" x14ac:dyDescent="0.3">
      <c r="A284">
        <v>99</v>
      </c>
      <c r="B284" t="s">
        <v>101</v>
      </c>
      <c r="C284">
        <v>1</v>
      </c>
      <c r="D284">
        <v>1</v>
      </c>
      <c r="E284">
        <v>2017</v>
      </c>
      <c r="F284">
        <v>299.99</v>
      </c>
      <c r="G284" t="str">
        <f>VLOOKUP(D284,categories!$A$1:$B$8,2,FALSE)</f>
        <v>Children Bicycles</v>
      </c>
    </row>
    <row r="285" spans="1:7" x14ac:dyDescent="0.3">
      <c r="A285">
        <v>265</v>
      </c>
      <c r="B285" t="s">
        <v>258</v>
      </c>
      <c r="C285">
        <v>6</v>
      </c>
      <c r="D285">
        <v>1</v>
      </c>
      <c r="E285">
        <v>2018</v>
      </c>
      <c r="F285">
        <v>289.99</v>
      </c>
      <c r="G285" t="str">
        <f>VLOOKUP(D285,categories!$A$1:$B$8,2,FALSE)</f>
        <v>Children Bicycles</v>
      </c>
    </row>
    <row r="286" spans="1:7" x14ac:dyDescent="0.3">
      <c r="A286">
        <v>272</v>
      </c>
      <c r="B286" t="s">
        <v>265</v>
      </c>
      <c r="C286">
        <v>9</v>
      </c>
      <c r="D286">
        <v>1</v>
      </c>
      <c r="E286">
        <v>2018</v>
      </c>
      <c r="F286">
        <v>289.99</v>
      </c>
      <c r="G286" t="str">
        <f>VLOOKUP(D286,categories!$A$1:$B$8,2,FALSE)</f>
        <v>Children Bicycles</v>
      </c>
    </row>
    <row r="287" spans="1:7" x14ac:dyDescent="0.3">
      <c r="A287">
        <v>273</v>
      </c>
      <c r="B287" t="s">
        <v>266</v>
      </c>
      <c r="C287">
        <v>9</v>
      </c>
      <c r="D287">
        <v>1</v>
      </c>
      <c r="E287">
        <v>2018</v>
      </c>
      <c r="F287">
        <v>289.99</v>
      </c>
      <c r="G287" t="str">
        <f>VLOOKUP(D287,categories!$A$1:$B$8,2,FALSE)</f>
        <v>Children Bicycles</v>
      </c>
    </row>
    <row r="288" spans="1:7" x14ac:dyDescent="0.3">
      <c r="A288">
        <v>282</v>
      </c>
      <c r="B288" t="s">
        <v>274</v>
      </c>
      <c r="C288">
        <v>1</v>
      </c>
      <c r="D288">
        <v>1</v>
      </c>
      <c r="E288">
        <v>2018</v>
      </c>
      <c r="F288">
        <v>279.99</v>
      </c>
      <c r="G288" t="str">
        <f>VLOOKUP(D288,categories!$A$1:$B$8,2,FALSE)</f>
        <v>Children Bicycles</v>
      </c>
    </row>
    <row r="289" spans="1:7" x14ac:dyDescent="0.3">
      <c r="A289">
        <v>285</v>
      </c>
      <c r="B289" t="s">
        <v>277</v>
      </c>
      <c r="C289">
        <v>1</v>
      </c>
      <c r="D289">
        <v>1</v>
      </c>
      <c r="E289">
        <v>2018</v>
      </c>
      <c r="F289">
        <v>279.99</v>
      </c>
      <c r="G289" t="str">
        <f>VLOOKUP(D289,categories!$A$1:$B$8,2,FALSE)</f>
        <v>Children Bicycles</v>
      </c>
    </row>
    <row r="290" spans="1:7" x14ac:dyDescent="0.3">
      <c r="A290">
        <v>286</v>
      </c>
      <c r="B290" t="s">
        <v>278</v>
      </c>
      <c r="C290">
        <v>1</v>
      </c>
      <c r="D290">
        <v>1</v>
      </c>
      <c r="E290">
        <v>2018</v>
      </c>
      <c r="F290">
        <v>279.99</v>
      </c>
      <c r="G290" t="str">
        <f>VLOOKUP(D290,categories!$A$1:$B$8,2,FALSE)</f>
        <v>Children Bicycles</v>
      </c>
    </row>
    <row r="291" spans="1:7" x14ac:dyDescent="0.3">
      <c r="A291">
        <v>287</v>
      </c>
      <c r="B291" t="s">
        <v>279</v>
      </c>
      <c r="C291">
        <v>1</v>
      </c>
      <c r="D291">
        <v>1</v>
      </c>
      <c r="E291">
        <v>2018</v>
      </c>
      <c r="F291">
        <v>279.99</v>
      </c>
      <c r="G291" t="str">
        <f>VLOOKUP(D291,categories!$A$1:$B$8,2,FALSE)</f>
        <v>Children Bicycles</v>
      </c>
    </row>
    <row r="292" spans="1:7" x14ac:dyDescent="0.3">
      <c r="A292">
        <v>297</v>
      </c>
      <c r="B292" t="s">
        <v>289</v>
      </c>
      <c r="C292">
        <v>1</v>
      </c>
      <c r="D292">
        <v>1</v>
      </c>
      <c r="E292">
        <v>2018</v>
      </c>
      <c r="F292">
        <v>279.99</v>
      </c>
      <c r="G292" t="str">
        <f>VLOOKUP(D292,categories!$A$1:$B$8,2,FALSE)</f>
        <v>Children Bicycles</v>
      </c>
    </row>
    <row r="293" spans="1:7" x14ac:dyDescent="0.3">
      <c r="A293">
        <v>298</v>
      </c>
      <c r="B293" t="s">
        <v>290</v>
      </c>
      <c r="C293">
        <v>1</v>
      </c>
      <c r="D293">
        <v>1</v>
      </c>
      <c r="E293">
        <v>2018</v>
      </c>
      <c r="F293">
        <v>279.99</v>
      </c>
      <c r="G293" t="str">
        <f>VLOOKUP(D293,categories!$A$1:$B$8,2,FALSE)</f>
        <v>Children Bicycles</v>
      </c>
    </row>
    <row r="294" spans="1:7" x14ac:dyDescent="0.3">
      <c r="A294">
        <v>13</v>
      </c>
      <c r="B294" t="s">
        <v>20</v>
      </c>
      <c r="C294">
        <v>1</v>
      </c>
      <c r="D294">
        <v>3</v>
      </c>
      <c r="E294">
        <v>2016</v>
      </c>
      <c r="F294">
        <v>269.99</v>
      </c>
      <c r="G294" t="str">
        <f>VLOOKUP(D294,categories!$A$1:$B$8,2,FALSE)</f>
        <v>Cruisers Bicycles</v>
      </c>
    </row>
    <row r="295" spans="1:7" x14ac:dyDescent="0.3">
      <c r="A295">
        <v>14</v>
      </c>
      <c r="B295" t="s">
        <v>21</v>
      </c>
      <c r="C295">
        <v>1</v>
      </c>
      <c r="D295">
        <v>3</v>
      </c>
      <c r="E295">
        <v>2016</v>
      </c>
      <c r="F295">
        <v>269.99</v>
      </c>
      <c r="G295" t="str">
        <f>VLOOKUP(D295,categories!$A$1:$B$8,2,FALSE)</f>
        <v>Cruisers Bicycles</v>
      </c>
    </row>
    <row r="296" spans="1:7" x14ac:dyDescent="0.3">
      <c r="A296">
        <v>21</v>
      </c>
      <c r="B296" t="s">
        <v>20</v>
      </c>
      <c r="C296">
        <v>1</v>
      </c>
      <c r="D296">
        <v>1</v>
      </c>
      <c r="E296">
        <v>2016</v>
      </c>
      <c r="F296">
        <v>269.99</v>
      </c>
      <c r="G296" t="str">
        <f>VLOOKUP(D296,categories!$A$1:$B$8,2,FALSE)</f>
        <v>Children Bicycles</v>
      </c>
    </row>
    <row r="297" spans="1:7" x14ac:dyDescent="0.3">
      <c r="A297">
        <v>22</v>
      </c>
      <c r="B297" t="s">
        <v>21</v>
      </c>
      <c r="C297">
        <v>1</v>
      </c>
      <c r="D297">
        <v>1</v>
      </c>
      <c r="E297">
        <v>2016</v>
      </c>
      <c r="F297">
        <v>269.99</v>
      </c>
      <c r="G297" t="str">
        <f>VLOOKUP(D297,categories!$A$1:$B$8,2,FALSE)</f>
        <v>Children Bicycles</v>
      </c>
    </row>
    <row r="298" spans="1:7" x14ac:dyDescent="0.3">
      <c r="A298">
        <v>213</v>
      </c>
      <c r="B298" t="s">
        <v>210</v>
      </c>
      <c r="C298">
        <v>1</v>
      </c>
      <c r="D298">
        <v>3</v>
      </c>
      <c r="E298">
        <v>2018</v>
      </c>
      <c r="F298">
        <v>269.99</v>
      </c>
      <c r="G298" t="str">
        <f>VLOOKUP(D298,categories!$A$1:$B$8,2,FALSE)</f>
        <v>Cruisers Bicycles</v>
      </c>
    </row>
    <row r="299" spans="1:7" x14ac:dyDescent="0.3">
      <c r="A299">
        <v>220</v>
      </c>
      <c r="B299" t="s">
        <v>217</v>
      </c>
      <c r="C299">
        <v>1</v>
      </c>
      <c r="D299">
        <v>3</v>
      </c>
      <c r="E299">
        <v>2018</v>
      </c>
      <c r="F299">
        <v>269.99</v>
      </c>
      <c r="G299" t="str">
        <f>VLOOKUP(D299,categories!$A$1:$B$8,2,FALSE)</f>
        <v>Cruisers Bicycles</v>
      </c>
    </row>
    <row r="300" spans="1:7" x14ac:dyDescent="0.3">
      <c r="A300">
        <v>222</v>
      </c>
      <c r="B300" t="s">
        <v>219</v>
      </c>
      <c r="C300">
        <v>1</v>
      </c>
      <c r="D300">
        <v>3</v>
      </c>
      <c r="E300">
        <v>2018</v>
      </c>
      <c r="F300">
        <v>269.99</v>
      </c>
      <c r="G300" t="str">
        <f>VLOOKUP(D300,categories!$A$1:$B$8,2,FALSE)</f>
        <v>Cruisers Bicycles</v>
      </c>
    </row>
    <row r="301" spans="1:7" x14ac:dyDescent="0.3">
      <c r="A301">
        <v>66</v>
      </c>
      <c r="B301" t="s">
        <v>69</v>
      </c>
      <c r="C301">
        <v>7</v>
      </c>
      <c r="D301">
        <v>3</v>
      </c>
      <c r="E301">
        <v>2017</v>
      </c>
      <c r="F301">
        <v>250.99</v>
      </c>
      <c r="G301" t="str">
        <f>VLOOKUP(D301,categories!$A$1:$B$8,2,FALSE)</f>
        <v>Cruisers Bicycles</v>
      </c>
    </row>
    <row r="302" spans="1:7" x14ac:dyDescent="0.3">
      <c r="A302">
        <v>67</v>
      </c>
      <c r="B302" t="s">
        <v>70</v>
      </c>
      <c r="C302">
        <v>7</v>
      </c>
      <c r="D302">
        <v>3</v>
      </c>
      <c r="E302">
        <v>2017</v>
      </c>
      <c r="F302">
        <v>250.99</v>
      </c>
      <c r="G302" t="str">
        <f>VLOOKUP(D302,categories!$A$1:$B$8,2,FALSE)</f>
        <v>Cruisers Bicycles</v>
      </c>
    </row>
    <row r="303" spans="1:7" x14ac:dyDescent="0.3">
      <c r="A303">
        <v>94</v>
      </c>
      <c r="B303" t="s">
        <v>97</v>
      </c>
      <c r="C303">
        <v>2</v>
      </c>
      <c r="D303">
        <v>1</v>
      </c>
      <c r="E303">
        <v>2017</v>
      </c>
      <c r="F303">
        <v>249.99</v>
      </c>
      <c r="G303" t="str">
        <f>VLOOKUP(D303,categories!$A$1:$B$8,2,FALSE)</f>
        <v>Children Bicycles</v>
      </c>
    </row>
    <row r="304" spans="1:7" x14ac:dyDescent="0.3">
      <c r="A304">
        <v>262</v>
      </c>
      <c r="B304" t="s">
        <v>255</v>
      </c>
      <c r="C304">
        <v>9</v>
      </c>
      <c r="D304">
        <v>1</v>
      </c>
      <c r="E304">
        <v>2018</v>
      </c>
      <c r="F304">
        <v>249.99</v>
      </c>
      <c r="G304" t="str">
        <f>VLOOKUP(D304,categories!$A$1:$B$8,2,FALSE)</f>
        <v>Children Bicycles</v>
      </c>
    </row>
    <row r="305" spans="1:7" x14ac:dyDescent="0.3">
      <c r="A305">
        <v>264</v>
      </c>
      <c r="B305" t="s">
        <v>257</v>
      </c>
      <c r="C305">
        <v>6</v>
      </c>
      <c r="D305">
        <v>1</v>
      </c>
      <c r="E305">
        <v>2018</v>
      </c>
      <c r="F305">
        <v>249.99</v>
      </c>
      <c r="G305" t="str">
        <f>VLOOKUP(D305,categories!$A$1:$B$8,2,FALSE)</f>
        <v>Children Bicycles</v>
      </c>
    </row>
    <row r="306" spans="1:7" x14ac:dyDescent="0.3">
      <c r="A306">
        <v>274</v>
      </c>
      <c r="B306" t="s">
        <v>267</v>
      </c>
      <c r="C306">
        <v>9</v>
      </c>
      <c r="D306">
        <v>1</v>
      </c>
      <c r="E306">
        <v>2018</v>
      </c>
      <c r="F306">
        <v>229.99</v>
      </c>
      <c r="G306" t="str">
        <f>VLOOKUP(D306,categories!$A$1:$B$8,2,FALSE)</f>
        <v>Children Bicycles</v>
      </c>
    </row>
    <row r="307" spans="1:7" x14ac:dyDescent="0.3">
      <c r="A307">
        <v>275</v>
      </c>
      <c r="B307" t="s">
        <v>268</v>
      </c>
      <c r="C307">
        <v>9</v>
      </c>
      <c r="D307">
        <v>1</v>
      </c>
      <c r="E307">
        <v>2018</v>
      </c>
      <c r="F307">
        <v>229.99</v>
      </c>
      <c r="G307" t="str">
        <f>VLOOKUP(D307,categories!$A$1:$B$8,2,FALSE)</f>
        <v>Children Bicycles</v>
      </c>
    </row>
    <row r="308" spans="1:7" x14ac:dyDescent="0.3">
      <c r="A308">
        <v>89</v>
      </c>
      <c r="B308" t="s">
        <v>92</v>
      </c>
      <c r="C308">
        <v>9</v>
      </c>
      <c r="D308">
        <v>1</v>
      </c>
      <c r="E308">
        <v>2017</v>
      </c>
      <c r="F308">
        <v>209.99</v>
      </c>
      <c r="G308" t="str">
        <f>VLOOKUP(D308,categories!$A$1:$B$8,2,FALSE)</f>
        <v>Children Bicycles</v>
      </c>
    </row>
    <row r="309" spans="1:7" x14ac:dyDescent="0.3">
      <c r="A309">
        <v>90</v>
      </c>
      <c r="B309" t="s">
        <v>93</v>
      </c>
      <c r="C309">
        <v>9</v>
      </c>
      <c r="D309">
        <v>1</v>
      </c>
      <c r="E309">
        <v>2017</v>
      </c>
      <c r="F309">
        <v>209.99</v>
      </c>
      <c r="G309" t="str">
        <f>VLOOKUP(D309,categories!$A$1:$B$8,2,FALSE)</f>
        <v>Children Bicycles</v>
      </c>
    </row>
    <row r="310" spans="1:7" x14ac:dyDescent="0.3">
      <c r="A310">
        <v>92</v>
      </c>
      <c r="B310" t="s">
        <v>95</v>
      </c>
      <c r="C310">
        <v>2</v>
      </c>
      <c r="D310">
        <v>1</v>
      </c>
      <c r="E310">
        <v>2017</v>
      </c>
      <c r="F310">
        <v>209.99</v>
      </c>
      <c r="G310" t="str">
        <f>VLOOKUP(D310,categories!$A$1:$B$8,2,FALSE)</f>
        <v>Children Bicycles</v>
      </c>
    </row>
    <row r="311" spans="1:7" x14ac:dyDescent="0.3">
      <c r="A311">
        <v>93</v>
      </c>
      <c r="B311" t="s">
        <v>96</v>
      </c>
      <c r="C311">
        <v>2</v>
      </c>
      <c r="D311">
        <v>1</v>
      </c>
      <c r="E311">
        <v>2017</v>
      </c>
      <c r="F311">
        <v>209.99</v>
      </c>
      <c r="G311" t="str">
        <f>VLOOKUP(D311,categories!$A$1:$B$8,2,FALSE)</f>
        <v>Children Bicycles</v>
      </c>
    </row>
    <row r="312" spans="1:7" x14ac:dyDescent="0.3">
      <c r="A312">
        <v>270</v>
      </c>
      <c r="B312" t="s">
        <v>263</v>
      </c>
      <c r="C312">
        <v>9</v>
      </c>
      <c r="D312">
        <v>1</v>
      </c>
      <c r="E312">
        <v>2018</v>
      </c>
      <c r="F312">
        <v>209.99</v>
      </c>
      <c r="G312" t="str">
        <f>VLOOKUP(D312,categories!$A$1:$B$8,2,FALSE)</f>
        <v>Children Bicycles</v>
      </c>
    </row>
    <row r="313" spans="1:7" x14ac:dyDescent="0.3">
      <c r="A313">
        <v>271</v>
      </c>
      <c r="B313" t="s">
        <v>264</v>
      </c>
      <c r="C313">
        <v>9</v>
      </c>
      <c r="D313">
        <v>1</v>
      </c>
      <c r="E313">
        <v>2018</v>
      </c>
      <c r="F313">
        <v>209.99</v>
      </c>
      <c r="G313" t="str">
        <f>VLOOKUP(D313,categories!$A$1:$B$8,2,FALSE)</f>
        <v>Children Bicycles</v>
      </c>
    </row>
    <row r="314" spans="1:7" x14ac:dyDescent="0.3">
      <c r="A314">
        <v>267</v>
      </c>
      <c r="B314" t="s">
        <v>260</v>
      </c>
      <c r="C314">
        <v>9</v>
      </c>
      <c r="D314">
        <v>1</v>
      </c>
      <c r="E314">
        <v>2018</v>
      </c>
      <c r="F314">
        <v>199.99</v>
      </c>
      <c r="G314" t="str">
        <f>VLOOKUP(D314,categories!$A$1:$B$8,2,FALSE)</f>
        <v>Children Bicycles</v>
      </c>
    </row>
    <row r="315" spans="1:7" x14ac:dyDescent="0.3">
      <c r="A315">
        <v>269</v>
      </c>
      <c r="B315" t="s">
        <v>262</v>
      </c>
      <c r="C315">
        <v>9</v>
      </c>
      <c r="D315">
        <v>1</v>
      </c>
      <c r="E315">
        <v>2018</v>
      </c>
      <c r="F315">
        <v>199.99</v>
      </c>
      <c r="G315" t="str">
        <f>VLOOKUP(D315,categories!$A$1:$B$8,2,FALSE)</f>
        <v>Children Bicycles</v>
      </c>
    </row>
    <row r="316" spans="1:7" x14ac:dyDescent="0.3">
      <c r="A316">
        <v>87</v>
      </c>
      <c r="B316" t="s">
        <v>90</v>
      </c>
      <c r="C316">
        <v>9</v>
      </c>
      <c r="D316">
        <v>1</v>
      </c>
      <c r="E316">
        <v>2017</v>
      </c>
      <c r="F316">
        <v>189.99</v>
      </c>
      <c r="G316" t="str">
        <f>VLOOKUP(D316,categories!$A$1:$B$8,2,FALSE)</f>
        <v>Children Bicycles</v>
      </c>
    </row>
    <row r="317" spans="1:7" x14ac:dyDescent="0.3">
      <c r="A317">
        <v>88</v>
      </c>
      <c r="B317" t="s">
        <v>91</v>
      </c>
      <c r="C317">
        <v>9</v>
      </c>
      <c r="D317">
        <v>1</v>
      </c>
      <c r="E317">
        <v>2017</v>
      </c>
      <c r="F317">
        <v>189.99</v>
      </c>
      <c r="G317" t="str">
        <f>VLOOKUP(D317,categories!$A$1:$B$8,2,FALSE)</f>
        <v>Children Bicycles</v>
      </c>
    </row>
    <row r="318" spans="1:7" x14ac:dyDescent="0.3">
      <c r="A318">
        <v>268</v>
      </c>
      <c r="B318" t="s">
        <v>261</v>
      </c>
      <c r="C318">
        <v>9</v>
      </c>
      <c r="D318">
        <v>1</v>
      </c>
      <c r="E318">
        <v>2018</v>
      </c>
      <c r="F318">
        <v>159.99</v>
      </c>
      <c r="G318" t="str">
        <f>VLOOKUP(D318,categories!$A$1:$B$8,2,FALSE)</f>
        <v>Children Bicycles</v>
      </c>
    </row>
    <row r="319" spans="1:7" x14ac:dyDescent="0.3">
      <c r="A319">
        <v>83</v>
      </c>
      <c r="B319" t="s">
        <v>86</v>
      </c>
      <c r="C319">
        <v>9</v>
      </c>
      <c r="D319">
        <v>1</v>
      </c>
      <c r="E319">
        <v>2017</v>
      </c>
      <c r="F319">
        <v>149.99</v>
      </c>
      <c r="G319" t="str">
        <f>VLOOKUP(D319,categories!$A$1:$B$8,2,FALSE)</f>
        <v>Children Bicycles</v>
      </c>
    </row>
    <row r="320" spans="1:7" x14ac:dyDescent="0.3">
      <c r="A320">
        <v>86</v>
      </c>
      <c r="B320" t="s">
        <v>89</v>
      </c>
      <c r="C320">
        <v>9</v>
      </c>
      <c r="D320">
        <v>1</v>
      </c>
      <c r="E320">
        <v>2017</v>
      </c>
      <c r="F320">
        <v>149.99</v>
      </c>
      <c r="G320" t="str">
        <f>VLOOKUP(D320,categories!$A$1:$B$8,2,FALSE)</f>
        <v>Children Bicycles</v>
      </c>
    </row>
    <row r="321" spans="1:7" x14ac:dyDescent="0.3">
      <c r="A321">
        <v>84</v>
      </c>
      <c r="B321" t="s">
        <v>87</v>
      </c>
      <c r="C321">
        <v>7</v>
      </c>
      <c r="D321">
        <v>1</v>
      </c>
      <c r="E321">
        <v>2017</v>
      </c>
      <c r="F321">
        <v>109.99</v>
      </c>
      <c r="G321" t="str">
        <f>VLOOKUP(D321,categories!$A$1:$B$8,2,FALSE)</f>
        <v>Children Bicycles</v>
      </c>
    </row>
    <row r="322" spans="1:7" x14ac:dyDescent="0.3">
      <c r="A322">
        <v>263</v>
      </c>
      <c r="B322" t="s">
        <v>256</v>
      </c>
      <c r="C322">
        <v>6</v>
      </c>
      <c r="D322">
        <v>1</v>
      </c>
      <c r="E322">
        <v>2018</v>
      </c>
      <c r="F322">
        <v>89.99</v>
      </c>
      <c r="G322" t="str">
        <f>VLOOKUP(D322,categories!$A$1:$B$8,2,FALSE)</f>
        <v>Children Bicycles</v>
      </c>
    </row>
  </sheetData>
  <phoneticPr fontId="1" type="noConversion"/>
  <conditionalFormatting sqref="F2">
    <cfRule type="cellIs" dxfId="2" priority="3" operator="greaterThan">
      <formula>11000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22">
    <cfRule type="cellIs" dxfId="1" priority="1" operator="lessThan">
      <formula>100</formula>
    </cfRule>
    <cfRule type="cellIs" dxfId="0" priority="2" operator="lessThan">
      <formula>50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1007-CB07-4C86-B1BA-C785D91B0453}">
  <dimension ref="A1:H4"/>
  <sheetViews>
    <sheetView workbookViewId="0">
      <selection activeCell="F7" sqref="F7"/>
    </sheetView>
  </sheetViews>
  <sheetFormatPr defaultRowHeight="14.4" x14ac:dyDescent="0.3"/>
  <cols>
    <col min="1" max="1" width="9.88671875" bestFit="1" customWidth="1"/>
    <col min="2" max="2" width="14.33203125" bestFit="1" customWidth="1"/>
    <col min="3" max="3" width="13.21875" bestFit="1" customWidth="1"/>
    <col min="4" max="4" width="19.44140625" bestFit="1" customWidth="1"/>
    <col min="5" max="5" width="18" bestFit="1" customWidth="1"/>
    <col min="6" max="6" width="9.5546875" bestFit="1" customWidth="1"/>
    <col min="7" max="7" width="7.44140625" bestFit="1" customWidth="1"/>
    <col min="8" max="8" width="10.6640625" bestFit="1" customWidth="1"/>
  </cols>
  <sheetData>
    <row r="1" spans="1:8" x14ac:dyDescent="0.3">
      <c r="A1" t="s">
        <v>0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</row>
    <row r="2" spans="1:8" x14ac:dyDescent="0.3">
      <c r="A2">
        <v>1</v>
      </c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  <c r="H2">
        <v>95060</v>
      </c>
    </row>
    <row r="3" spans="1:8" x14ac:dyDescent="0.3">
      <c r="A3">
        <v>2</v>
      </c>
      <c r="B3" t="s">
        <v>315</v>
      </c>
      <c r="C3" t="s">
        <v>316</v>
      </c>
      <c r="D3" t="s">
        <v>317</v>
      </c>
      <c r="E3" t="s">
        <v>318</v>
      </c>
      <c r="F3" t="s">
        <v>319</v>
      </c>
      <c r="G3" t="s">
        <v>320</v>
      </c>
      <c r="H3">
        <v>11432</v>
      </c>
    </row>
    <row r="4" spans="1:8" x14ac:dyDescent="0.3">
      <c r="A4">
        <v>3</v>
      </c>
      <c r="B4" t="s">
        <v>321</v>
      </c>
      <c r="C4" t="s">
        <v>322</v>
      </c>
      <c r="D4" t="s">
        <v>323</v>
      </c>
      <c r="E4" t="s">
        <v>324</v>
      </c>
      <c r="F4" t="s">
        <v>325</v>
      </c>
      <c r="G4" t="s">
        <v>326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7352-61C8-4B7E-9F4E-27A1E359F0EC}">
  <dimension ref="A1:H11"/>
  <sheetViews>
    <sheetView workbookViewId="0">
      <selection activeCell="J9" sqref="J9"/>
    </sheetView>
  </sheetViews>
  <sheetFormatPr defaultRowHeight="14.4" x14ac:dyDescent="0.3"/>
  <cols>
    <col min="1" max="1" width="9.33203125" bestFit="1" customWidth="1"/>
    <col min="2" max="2" width="12" bestFit="1" customWidth="1"/>
    <col min="3" max="3" width="11.77734375" bestFit="1" customWidth="1"/>
    <col min="4" max="4" width="27.5546875" bestFit="1" customWidth="1"/>
    <col min="5" max="5" width="13.21875" bestFit="1" customWidth="1"/>
    <col min="6" max="6" width="8.33203125" bestFit="1" customWidth="1"/>
    <col min="7" max="7" width="9.88671875" bestFit="1" customWidth="1"/>
    <col min="8" max="8" width="12.88671875" bestFit="1" customWidth="1"/>
  </cols>
  <sheetData>
    <row r="1" spans="1:8" x14ac:dyDescent="0.3">
      <c r="A1" t="s">
        <v>327</v>
      </c>
      <c r="B1" t="s">
        <v>328</v>
      </c>
      <c r="C1" t="s">
        <v>329</v>
      </c>
      <c r="D1" t="s">
        <v>304</v>
      </c>
      <c r="E1" t="s">
        <v>303</v>
      </c>
      <c r="F1" t="s">
        <v>330</v>
      </c>
      <c r="G1" t="s">
        <v>0</v>
      </c>
      <c r="H1" t="s">
        <v>331</v>
      </c>
    </row>
    <row r="2" spans="1:8" x14ac:dyDescent="0.3">
      <c r="A2">
        <v>1</v>
      </c>
      <c r="B2" t="s">
        <v>332</v>
      </c>
      <c r="C2" t="s">
        <v>333</v>
      </c>
      <c r="D2" t="s">
        <v>334</v>
      </c>
      <c r="E2" t="s">
        <v>335</v>
      </c>
      <c r="F2">
        <v>1</v>
      </c>
      <c r="G2">
        <v>1</v>
      </c>
      <c r="H2" t="s">
        <v>6299</v>
      </c>
    </row>
    <row r="3" spans="1:8" x14ac:dyDescent="0.3">
      <c r="A3">
        <v>2</v>
      </c>
      <c r="B3" t="s">
        <v>336</v>
      </c>
      <c r="C3" t="s">
        <v>337</v>
      </c>
      <c r="D3" t="s">
        <v>338</v>
      </c>
      <c r="E3" t="s">
        <v>339</v>
      </c>
      <c r="F3">
        <v>1</v>
      </c>
      <c r="G3">
        <v>1</v>
      </c>
      <c r="H3" t="s">
        <v>340</v>
      </c>
    </row>
    <row r="4" spans="1:8" x14ac:dyDescent="0.3">
      <c r="A4">
        <v>3</v>
      </c>
      <c r="B4" t="s">
        <v>341</v>
      </c>
      <c r="C4" t="s">
        <v>342</v>
      </c>
      <c r="D4" t="s">
        <v>343</v>
      </c>
      <c r="E4" t="s">
        <v>344</v>
      </c>
      <c r="F4">
        <v>1</v>
      </c>
      <c r="G4">
        <v>1</v>
      </c>
      <c r="H4" t="s">
        <v>345</v>
      </c>
    </row>
    <row r="5" spans="1:8" x14ac:dyDescent="0.3">
      <c r="A5">
        <v>4</v>
      </c>
      <c r="B5" t="s">
        <v>346</v>
      </c>
      <c r="C5" t="s">
        <v>347</v>
      </c>
      <c r="D5" t="s">
        <v>348</v>
      </c>
      <c r="E5" t="s">
        <v>349</v>
      </c>
      <c r="F5">
        <v>1</v>
      </c>
      <c r="G5">
        <v>1</v>
      </c>
      <c r="H5" t="s">
        <v>345</v>
      </c>
    </row>
    <row r="6" spans="1:8" x14ac:dyDescent="0.3">
      <c r="A6">
        <v>5</v>
      </c>
      <c r="B6" t="s">
        <v>350</v>
      </c>
      <c r="C6" t="s">
        <v>351</v>
      </c>
      <c r="D6" t="s">
        <v>352</v>
      </c>
      <c r="E6" t="s">
        <v>353</v>
      </c>
      <c r="F6">
        <v>1</v>
      </c>
      <c r="G6">
        <v>2</v>
      </c>
      <c r="H6" t="s">
        <v>340</v>
      </c>
    </row>
    <row r="7" spans="1:8" x14ac:dyDescent="0.3">
      <c r="A7">
        <v>6</v>
      </c>
      <c r="B7" t="s">
        <v>354</v>
      </c>
      <c r="C7" t="s">
        <v>355</v>
      </c>
      <c r="D7" t="s">
        <v>356</v>
      </c>
      <c r="E7" t="s">
        <v>357</v>
      </c>
      <c r="F7">
        <v>1</v>
      </c>
      <c r="G7">
        <v>2</v>
      </c>
      <c r="H7" t="s">
        <v>358</v>
      </c>
    </row>
    <row r="8" spans="1:8" x14ac:dyDescent="0.3">
      <c r="A8">
        <v>7</v>
      </c>
      <c r="B8" t="s">
        <v>359</v>
      </c>
      <c r="C8" t="s">
        <v>360</v>
      </c>
      <c r="D8" t="s">
        <v>361</v>
      </c>
      <c r="E8" t="s">
        <v>362</v>
      </c>
      <c r="F8">
        <v>1</v>
      </c>
      <c r="G8">
        <v>2</v>
      </c>
      <c r="H8" t="s">
        <v>358</v>
      </c>
    </row>
    <row r="9" spans="1:8" x14ac:dyDescent="0.3">
      <c r="A9">
        <v>8</v>
      </c>
      <c r="B9" t="s">
        <v>363</v>
      </c>
      <c r="C9" t="s">
        <v>364</v>
      </c>
      <c r="D9" t="s">
        <v>365</v>
      </c>
      <c r="E9" t="s">
        <v>322</v>
      </c>
      <c r="F9">
        <v>1</v>
      </c>
      <c r="G9">
        <v>3</v>
      </c>
      <c r="H9" t="s">
        <v>340</v>
      </c>
    </row>
    <row r="10" spans="1:8" x14ac:dyDescent="0.3">
      <c r="A10">
        <v>9</v>
      </c>
      <c r="B10" t="s">
        <v>366</v>
      </c>
      <c r="C10" t="s">
        <v>367</v>
      </c>
      <c r="D10" t="s">
        <v>368</v>
      </c>
      <c r="E10" t="s">
        <v>369</v>
      </c>
      <c r="F10">
        <v>1</v>
      </c>
      <c r="G10">
        <v>3</v>
      </c>
      <c r="H10" t="s">
        <v>370</v>
      </c>
    </row>
    <row r="11" spans="1:8" x14ac:dyDescent="0.3">
      <c r="A11">
        <v>10</v>
      </c>
      <c r="B11" t="s">
        <v>371</v>
      </c>
      <c r="C11" t="s">
        <v>372</v>
      </c>
      <c r="D11" t="s">
        <v>373</v>
      </c>
      <c r="E11" t="s">
        <v>374</v>
      </c>
      <c r="F11">
        <v>1</v>
      </c>
      <c r="G11">
        <v>3</v>
      </c>
      <c r="H11" t="s">
        <v>370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DF2A-FFFB-4DEF-91F3-B1DC843A6EBA}">
  <dimension ref="A1:I1446"/>
  <sheetViews>
    <sheetView workbookViewId="0">
      <selection activeCell="K17" sqref="K17"/>
    </sheetView>
  </sheetViews>
  <sheetFormatPr defaultRowHeight="14.4" x14ac:dyDescent="0.3"/>
  <cols>
    <col min="1" max="1" width="13.5546875" bestFit="1" customWidth="1"/>
    <col min="2" max="2" width="12" bestFit="1" customWidth="1"/>
    <col min="3" max="3" width="11.77734375" bestFit="1" customWidth="1"/>
    <col min="4" max="4" width="13.21875" bestFit="1" customWidth="1"/>
    <col min="5" max="5" width="31.77734375" bestFit="1" customWidth="1"/>
    <col min="6" max="6" width="26.6640625" bestFit="1" customWidth="1"/>
    <col min="7" max="7" width="19.88671875" bestFit="1" customWidth="1"/>
    <col min="8" max="8" width="7.44140625" bestFit="1" customWidth="1"/>
    <col min="9" max="9" width="10.6640625" bestFit="1" customWidth="1"/>
  </cols>
  <sheetData>
    <row r="1" spans="1:9" x14ac:dyDescent="0.3">
      <c r="A1" t="s">
        <v>375</v>
      </c>
      <c r="B1" t="s">
        <v>328</v>
      </c>
      <c r="C1" t="s">
        <v>329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</row>
    <row r="2" spans="1:9" x14ac:dyDescent="0.3">
      <c r="A2">
        <v>1</v>
      </c>
      <c r="B2" t="s">
        <v>1055</v>
      </c>
      <c r="C2" t="s">
        <v>1056</v>
      </c>
      <c r="D2" t="s">
        <v>6299</v>
      </c>
      <c r="E2" t="s">
        <v>1057</v>
      </c>
      <c r="F2" t="s">
        <v>1058</v>
      </c>
      <c r="G2" t="s">
        <v>1059</v>
      </c>
      <c r="H2" t="s">
        <v>320</v>
      </c>
      <c r="I2">
        <v>14127</v>
      </c>
    </row>
    <row r="3" spans="1:9" x14ac:dyDescent="0.3">
      <c r="A3">
        <v>2</v>
      </c>
      <c r="B3" t="s">
        <v>1060</v>
      </c>
      <c r="C3" t="s">
        <v>1061</v>
      </c>
      <c r="D3" t="s">
        <v>6299</v>
      </c>
      <c r="E3" t="s">
        <v>1062</v>
      </c>
      <c r="F3" t="s">
        <v>1063</v>
      </c>
      <c r="G3" t="s">
        <v>1064</v>
      </c>
      <c r="H3" t="s">
        <v>314</v>
      </c>
      <c r="I3">
        <v>95008</v>
      </c>
    </row>
    <row r="4" spans="1:9" x14ac:dyDescent="0.3">
      <c r="A4">
        <v>3</v>
      </c>
      <c r="B4" t="s">
        <v>1065</v>
      </c>
      <c r="C4" t="s">
        <v>1066</v>
      </c>
      <c r="D4" t="s">
        <v>6299</v>
      </c>
      <c r="E4" t="s">
        <v>1067</v>
      </c>
      <c r="F4" t="s">
        <v>1068</v>
      </c>
      <c r="G4" t="s">
        <v>1069</v>
      </c>
      <c r="H4" t="s">
        <v>314</v>
      </c>
      <c r="I4">
        <v>90278</v>
      </c>
    </row>
    <row r="5" spans="1:9" x14ac:dyDescent="0.3">
      <c r="A5">
        <v>4</v>
      </c>
      <c r="B5" t="s">
        <v>1070</v>
      </c>
      <c r="C5" t="s">
        <v>1071</v>
      </c>
      <c r="D5" t="s">
        <v>6299</v>
      </c>
      <c r="E5" t="s">
        <v>1072</v>
      </c>
      <c r="F5" t="s">
        <v>1073</v>
      </c>
      <c r="G5" t="s">
        <v>1074</v>
      </c>
      <c r="H5" t="s">
        <v>320</v>
      </c>
      <c r="I5">
        <v>11553</v>
      </c>
    </row>
    <row r="6" spans="1:9" x14ac:dyDescent="0.3">
      <c r="A6">
        <v>5</v>
      </c>
      <c r="B6" t="s">
        <v>1075</v>
      </c>
      <c r="C6" t="s">
        <v>1076</v>
      </c>
      <c r="D6" t="s">
        <v>1077</v>
      </c>
      <c r="E6" t="s">
        <v>1078</v>
      </c>
      <c r="F6" t="s">
        <v>1079</v>
      </c>
      <c r="G6" t="s">
        <v>1080</v>
      </c>
      <c r="H6" t="s">
        <v>314</v>
      </c>
      <c r="I6">
        <v>95820</v>
      </c>
    </row>
    <row r="7" spans="1:9" x14ac:dyDescent="0.3">
      <c r="A7">
        <v>6</v>
      </c>
      <c r="B7" t="s">
        <v>1081</v>
      </c>
      <c r="C7" t="s">
        <v>1082</v>
      </c>
      <c r="D7" t="s">
        <v>6299</v>
      </c>
      <c r="E7" t="s">
        <v>1083</v>
      </c>
      <c r="F7" t="s">
        <v>1084</v>
      </c>
      <c r="G7" t="s">
        <v>1085</v>
      </c>
      <c r="H7" t="s">
        <v>320</v>
      </c>
      <c r="I7">
        <v>14450</v>
      </c>
    </row>
    <row r="8" spans="1:9" x14ac:dyDescent="0.3">
      <c r="A8">
        <v>7</v>
      </c>
      <c r="B8" t="s">
        <v>1086</v>
      </c>
      <c r="C8" t="s">
        <v>1087</v>
      </c>
      <c r="D8" t="s">
        <v>1088</v>
      </c>
      <c r="E8" t="s">
        <v>1089</v>
      </c>
      <c r="F8" t="s">
        <v>1090</v>
      </c>
      <c r="G8" t="s">
        <v>1091</v>
      </c>
      <c r="H8" t="s">
        <v>320</v>
      </c>
      <c r="I8">
        <v>14215</v>
      </c>
    </row>
    <row r="9" spans="1:9" x14ac:dyDescent="0.3">
      <c r="A9">
        <v>8</v>
      </c>
      <c r="B9" t="s">
        <v>1092</v>
      </c>
      <c r="C9" t="s">
        <v>1093</v>
      </c>
      <c r="D9" t="s">
        <v>6299</v>
      </c>
      <c r="E9" t="s">
        <v>1094</v>
      </c>
      <c r="F9" t="s">
        <v>1095</v>
      </c>
      <c r="G9" t="s">
        <v>1096</v>
      </c>
      <c r="H9" t="s">
        <v>320</v>
      </c>
      <c r="I9">
        <v>11372</v>
      </c>
    </row>
    <row r="10" spans="1:9" x14ac:dyDescent="0.3">
      <c r="A10">
        <v>9</v>
      </c>
      <c r="B10" t="s">
        <v>1097</v>
      </c>
      <c r="C10" t="s">
        <v>319</v>
      </c>
      <c r="D10" t="s">
        <v>6299</v>
      </c>
      <c r="E10" t="s">
        <v>1098</v>
      </c>
      <c r="F10" t="s">
        <v>1099</v>
      </c>
      <c r="G10" t="s">
        <v>1100</v>
      </c>
      <c r="H10" t="s">
        <v>320</v>
      </c>
      <c r="I10">
        <v>11050</v>
      </c>
    </row>
    <row r="11" spans="1:9" x14ac:dyDescent="0.3">
      <c r="A11">
        <v>10</v>
      </c>
      <c r="B11" t="s">
        <v>1101</v>
      </c>
      <c r="C11" t="s">
        <v>1102</v>
      </c>
      <c r="D11" t="s">
        <v>6299</v>
      </c>
      <c r="E11" t="s">
        <v>1103</v>
      </c>
      <c r="F11" t="s">
        <v>1104</v>
      </c>
      <c r="G11" t="s">
        <v>1105</v>
      </c>
      <c r="H11" t="s">
        <v>320</v>
      </c>
      <c r="I11">
        <v>10950</v>
      </c>
    </row>
    <row r="12" spans="1:9" x14ac:dyDescent="0.3">
      <c r="A12">
        <v>11</v>
      </c>
      <c r="B12" t="s">
        <v>1106</v>
      </c>
      <c r="C12" t="s">
        <v>1107</v>
      </c>
      <c r="D12" t="s">
        <v>6299</v>
      </c>
      <c r="E12" t="s">
        <v>1108</v>
      </c>
      <c r="F12" t="s">
        <v>1109</v>
      </c>
      <c r="G12" t="s">
        <v>1110</v>
      </c>
      <c r="H12" t="s">
        <v>320</v>
      </c>
      <c r="I12">
        <v>10952</v>
      </c>
    </row>
    <row r="13" spans="1:9" x14ac:dyDescent="0.3">
      <c r="A13">
        <v>12</v>
      </c>
      <c r="B13" t="s">
        <v>1111</v>
      </c>
      <c r="C13" t="s">
        <v>1112</v>
      </c>
      <c r="D13" t="s">
        <v>1113</v>
      </c>
      <c r="E13" t="s">
        <v>1114</v>
      </c>
      <c r="F13" t="s">
        <v>1115</v>
      </c>
      <c r="G13" t="s">
        <v>1116</v>
      </c>
      <c r="H13" t="s">
        <v>320</v>
      </c>
      <c r="I13">
        <v>11550</v>
      </c>
    </row>
    <row r="14" spans="1:9" x14ac:dyDescent="0.3">
      <c r="A14">
        <v>13</v>
      </c>
      <c r="B14" t="s">
        <v>1117</v>
      </c>
      <c r="C14" t="s">
        <v>1118</v>
      </c>
      <c r="D14" t="s">
        <v>6299</v>
      </c>
      <c r="E14" t="s">
        <v>1119</v>
      </c>
      <c r="F14" t="s">
        <v>1120</v>
      </c>
      <c r="G14" t="s">
        <v>1121</v>
      </c>
      <c r="H14" t="s">
        <v>326</v>
      </c>
      <c r="I14">
        <v>75604</v>
      </c>
    </row>
    <row r="15" spans="1:9" x14ac:dyDescent="0.3">
      <c r="A15">
        <v>14</v>
      </c>
      <c r="B15" t="s">
        <v>1122</v>
      </c>
      <c r="C15" t="s">
        <v>1123</v>
      </c>
      <c r="D15" t="s">
        <v>6299</v>
      </c>
      <c r="E15" t="s">
        <v>1124</v>
      </c>
      <c r="F15" t="s">
        <v>1125</v>
      </c>
      <c r="G15" t="s">
        <v>1126</v>
      </c>
      <c r="H15" t="s">
        <v>326</v>
      </c>
      <c r="I15">
        <v>75126</v>
      </c>
    </row>
    <row r="16" spans="1:9" x14ac:dyDescent="0.3">
      <c r="A16">
        <v>15</v>
      </c>
      <c r="B16" t="s">
        <v>1127</v>
      </c>
      <c r="C16" t="s">
        <v>1128</v>
      </c>
      <c r="D16" t="s">
        <v>6299</v>
      </c>
      <c r="E16" t="s">
        <v>1129</v>
      </c>
      <c r="F16" t="s">
        <v>1130</v>
      </c>
      <c r="G16" t="s">
        <v>1131</v>
      </c>
      <c r="H16" t="s">
        <v>320</v>
      </c>
      <c r="I16">
        <v>12901</v>
      </c>
    </row>
    <row r="17" spans="1:9" x14ac:dyDescent="0.3">
      <c r="A17">
        <v>16</v>
      </c>
      <c r="B17" t="s">
        <v>1132</v>
      </c>
      <c r="C17" t="s">
        <v>1133</v>
      </c>
      <c r="D17" t="s">
        <v>1134</v>
      </c>
      <c r="E17" t="s">
        <v>1135</v>
      </c>
      <c r="F17" t="s">
        <v>1136</v>
      </c>
      <c r="G17" t="s">
        <v>1137</v>
      </c>
      <c r="H17" t="s">
        <v>320</v>
      </c>
      <c r="I17">
        <v>10002</v>
      </c>
    </row>
    <row r="18" spans="1:9" x14ac:dyDescent="0.3">
      <c r="A18">
        <v>17</v>
      </c>
      <c r="B18" t="s">
        <v>1138</v>
      </c>
      <c r="C18" t="s">
        <v>1139</v>
      </c>
      <c r="D18" t="s">
        <v>6299</v>
      </c>
      <c r="E18" t="s">
        <v>1140</v>
      </c>
      <c r="F18" t="s">
        <v>1141</v>
      </c>
      <c r="G18" t="s">
        <v>1142</v>
      </c>
      <c r="H18" t="s">
        <v>320</v>
      </c>
      <c r="I18">
        <v>10583</v>
      </c>
    </row>
    <row r="19" spans="1:9" x14ac:dyDescent="0.3">
      <c r="A19">
        <v>18</v>
      </c>
      <c r="B19" t="s">
        <v>1143</v>
      </c>
      <c r="C19" t="s">
        <v>1144</v>
      </c>
      <c r="D19" t="s">
        <v>6299</v>
      </c>
      <c r="E19" t="s">
        <v>1145</v>
      </c>
      <c r="F19" t="s">
        <v>1146</v>
      </c>
      <c r="G19" t="s">
        <v>1147</v>
      </c>
      <c r="H19" t="s">
        <v>320</v>
      </c>
      <c r="I19">
        <v>14424</v>
      </c>
    </row>
    <row r="20" spans="1:9" x14ac:dyDescent="0.3">
      <c r="A20">
        <v>19</v>
      </c>
      <c r="B20" t="s">
        <v>1148</v>
      </c>
      <c r="C20" t="s">
        <v>1149</v>
      </c>
      <c r="D20" t="s">
        <v>6299</v>
      </c>
      <c r="E20" t="s">
        <v>1150</v>
      </c>
      <c r="F20" t="s">
        <v>1151</v>
      </c>
      <c r="G20" t="s">
        <v>1059</v>
      </c>
      <c r="H20" t="s">
        <v>320</v>
      </c>
      <c r="I20">
        <v>14127</v>
      </c>
    </row>
    <row r="21" spans="1:9" x14ac:dyDescent="0.3">
      <c r="A21">
        <v>20</v>
      </c>
      <c r="B21" t="s">
        <v>1152</v>
      </c>
      <c r="C21" t="s">
        <v>1153</v>
      </c>
      <c r="D21" t="s">
        <v>6299</v>
      </c>
      <c r="E21" t="s">
        <v>1154</v>
      </c>
      <c r="F21" t="s">
        <v>1155</v>
      </c>
      <c r="G21" t="s">
        <v>1156</v>
      </c>
      <c r="H21" t="s">
        <v>326</v>
      </c>
      <c r="I21">
        <v>77478</v>
      </c>
    </row>
    <row r="22" spans="1:9" x14ac:dyDescent="0.3">
      <c r="A22">
        <v>21</v>
      </c>
      <c r="B22" t="s">
        <v>1157</v>
      </c>
      <c r="C22" t="s">
        <v>1158</v>
      </c>
      <c r="D22" t="s">
        <v>6299</v>
      </c>
      <c r="E22" t="s">
        <v>1159</v>
      </c>
      <c r="F22" t="s">
        <v>1160</v>
      </c>
      <c r="G22" t="s">
        <v>1161</v>
      </c>
      <c r="H22" t="s">
        <v>326</v>
      </c>
      <c r="I22">
        <v>77904</v>
      </c>
    </row>
    <row r="23" spans="1:9" x14ac:dyDescent="0.3">
      <c r="A23">
        <v>22</v>
      </c>
      <c r="B23" t="s">
        <v>1162</v>
      </c>
      <c r="C23" t="s">
        <v>1163</v>
      </c>
      <c r="D23" t="s">
        <v>6299</v>
      </c>
      <c r="E23" t="s">
        <v>1164</v>
      </c>
      <c r="F23" t="s">
        <v>1165</v>
      </c>
      <c r="G23" t="s">
        <v>1166</v>
      </c>
      <c r="H23" t="s">
        <v>320</v>
      </c>
      <c r="I23">
        <v>11731</v>
      </c>
    </row>
    <row r="24" spans="1:9" x14ac:dyDescent="0.3">
      <c r="A24">
        <v>23</v>
      </c>
      <c r="B24" t="s">
        <v>1167</v>
      </c>
      <c r="C24" t="s">
        <v>1168</v>
      </c>
      <c r="D24" t="s">
        <v>6299</v>
      </c>
      <c r="E24" t="s">
        <v>1169</v>
      </c>
      <c r="F24" t="s">
        <v>1170</v>
      </c>
      <c r="G24" t="s">
        <v>1171</v>
      </c>
      <c r="H24" t="s">
        <v>320</v>
      </c>
      <c r="I24">
        <v>11423</v>
      </c>
    </row>
    <row r="25" spans="1:9" x14ac:dyDescent="0.3">
      <c r="A25">
        <v>24</v>
      </c>
      <c r="B25" t="s">
        <v>1172</v>
      </c>
      <c r="C25" t="s">
        <v>1173</v>
      </c>
      <c r="D25" t="s">
        <v>6299</v>
      </c>
      <c r="E25" t="s">
        <v>1174</v>
      </c>
      <c r="F25" t="s">
        <v>1175</v>
      </c>
      <c r="G25" t="s">
        <v>1176</v>
      </c>
      <c r="H25" t="s">
        <v>314</v>
      </c>
      <c r="I25">
        <v>95301</v>
      </c>
    </row>
    <row r="26" spans="1:9" x14ac:dyDescent="0.3">
      <c r="A26">
        <v>25</v>
      </c>
      <c r="B26" t="s">
        <v>1177</v>
      </c>
      <c r="C26" t="s">
        <v>1178</v>
      </c>
      <c r="D26" t="s">
        <v>6299</v>
      </c>
      <c r="E26" t="s">
        <v>1179</v>
      </c>
      <c r="F26" t="s">
        <v>1180</v>
      </c>
      <c r="G26" t="s">
        <v>1181</v>
      </c>
      <c r="H26" t="s">
        <v>320</v>
      </c>
      <c r="I26">
        <v>10541</v>
      </c>
    </row>
    <row r="27" spans="1:9" x14ac:dyDescent="0.3">
      <c r="A27">
        <v>26</v>
      </c>
      <c r="B27" t="s">
        <v>1182</v>
      </c>
      <c r="C27" t="s">
        <v>1183</v>
      </c>
      <c r="D27" t="s">
        <v>1184</v>
      </c>
      <c r="E27" t="s">
        <v>1185</v>
      </c>
      <c r="F27" t="s">
        <v>1186</v>
      </c>
      <c r="G27" t="s">
        <v>1187</v>
      </c>
      <c r="H27" t="s">
        <v>320</v>
      </c>
      <c r="I27">
        <v>11561</v>
      </c>
    </row>
    <row r="28" spans="1:9" x14ac:dyDescent="0.3">
      <c r="A28">
        <v>27</v>
      </c>
      <c r="B28" t="s">
        <v>1188</v>
      </c>
      <c r="C28" t="s">
        <v>1189</v>
      </c>
      <c r="D28" t="s">
        <v>6299</v>
      </c>
      <c r="E28" t="s">
        <v>1190</v>
      </c>
      <c r="F28" t="s">
        <v>1191</v>
      </c>
      <c r="G28" t="s">
        <v>1192</v>
      </c>
      <c r="H28" t="s">
        <v>320</v>
      </c>
      <c r="I28">
        <v>11104</v>
      </c>
    </row>
    <row r="29" spans="1:9" x14ac:dyDescent="0.3">
      <c r="A29">
        <v>28</v>
      </c>
      <c r="B29" t="s">
        <v>1193</v>
      </c>
      <c r="C29" t="s">
        <v>1194</v>
      </c>
      <c r="D29" t="s">
        <v>6299</v>
      </c>
      <c r="E29" t="s">
        <v>1195</v>
      </c>
      <c r="F29" t="s">
        <v>1196</v>
      </c>
      <c r="G29" t="s">
        <v>1197</v>
      </c>
      <c r="H29" t="s">
        <v>320</v>
      </c>
      <c r="I29">
        <v>10562</v>
      </c>
    </row>
    <row r="30" spans="1:9" x14ac:dyDescent="0.3">
      <c r="A30">
        <v>29</v>
      </c>
      <c r="B30" t="s">
        <v>1198</v>
      </c>
      <c r="C30" t="s">
        <v>1199</v>
      </c>
      <c r="D30" t="s">
        <v>6299</v>
      </c>
      <c r="E30" t="s">
        <v>1200</v>
      </c>
      <c r="F30" t="s">
        <v>1201</v>
      </c>
      <c r="G30" t="s">
        <v>1181</v>
      </c>
      <c r="H30" t="s">
        <v>320</v>
      </c>
      <c r="I30">
        <v>10541</v>
      </c>
    </row>
    <row r="31" spans="1:9" x14ac:dyDescent="0.3">
      <c r="A31">
        <v>30</v>
      </c>
      <c r="B31" t="s">
        <v>1202</v>
      </c>
      <c r="C31" t="s">
        <v>1203</v>
      </c>
      <c r="D31" t="s">
        <v>6299</v>
      </c>
      <c r="E31" t="s">
        <v>1204</v>
      </c>
      <c r="F31" t="s">
        <v>1205</v>
      </c>
      <c r="G31" t="s">
        <v>1206</v>
      </c>
      <c r="H31" t="s">
        <v>314</v>
      </c>
      <c r="I31">
        <v>90505</v>
      </c>
    </row>
    <row r="32" spans="1:9" x14ac:dyDescent="0.3">
      <c r="A32">
        <v>31</v>
      </c>
      <c r="B32" t="s">
        <v>1207</v>
      </c>
      <c r="C32" t="s">
        <v>1208</v>
      </c>
      <c r="D32" t="s">
        <v>1209</v>
      </c>
      <c r="E32" t="s">
        <v>1210</v>
      </c>
      <c r="F32" t="s">
        <v>1211</v>
      </c>
      <c r="G32" t="s">
        <v>1212</v>
      </c>
      <c r="H32" t="s">
        <v>314</v>
      </c>
      <c r="I32">
        <v>94603</v>
      </c>
    </row>
    <row r="33" spans="1:9" x14ac:dyDescent="0.3">
      <c r="A33">
        <v>32</v>
      </c>
      <c r="B33" t="s">
        <v>1213</v>
      </c>
      <c r="C33" t="s">
        <v>1214</v>
      </c>
      <c r="D33" t="s">
        <v>6299</v>
      </c>
      <c r="E33" t="s">
        <v>1215</v>
      </c>
      <c r="F33" t="s">
        <v>1216</v>
      </c>
      <c r="G33" t="s">
        <v>1217</v>
      </c>
      <c r="H33" t="s">
        <v>314</v>
      </c>
      <c r="I33">
        <v>92831</v>
      </c>
    </row>
    <row r="34" spans="1:9" x14ac:dyDescent="0.3">
      <c r="A34">
        <v>33</v>
      </c>
      <c r="B34" t="s">
        <v>1218</v>
      </c>
      <c r="C34" t="s">
        <v>1219</v>
      </c>
      <c r="D34" t="s">
        <v>6299</v>
      </c>
      <c r="E34" t="s">
        <v>1220</v>
      </c>
      <c r="F34" t="s">
        <v>1221</v>
      </c>
      <c r="G34" t="s">
        <v>1222</v>
      </c>
      <c r="H34" t="s">
        <v>314</v>
      </c>
      <c r="I34">
        <v>90274</v>
      </c>
    </row>
    <row r="35" spans="1:9" x14ac:dyDescent="0.3">
      <c r="A35">
        <v>34</v>
      </c>
      <c r="B35" t="s">
        <v>1223</v>
      </c>
      <c r="C35" t="s">
        <v>1224</v>
      </c>
      <c r="D35" t="s">
        <v>6299</v>
      </c>
      <c r="E35" t="s">
        <v>1225</v>
      </c>
      <c r="F35" t="s">
        <v>1226</v>
      </c>
      <c r="G35" t="s">
        <v>1166</v>
      </c>
      <c r="H35" t="s">
        <v>320</v>
      </c>
      <c r="I35">
        <v>11731</v>
      </c>
    </row>
    <row r="36" spans="1:9" x14ac:dyDescent="0.3">
      <c r="A36">
        <v>35</v>
      </c>
      <c r="B36" t="s">
        <v>1227</v>
      </c>
      <c r="C36" t="s">
        <v>1228</v>
      </c>
      <c r="D36" t="s">
        <v>6299</v>
      </c>
      <c r="E36" t="s">
        <v>1229</v>
      </c>
      <c r="F36" t="s">
        <v>1230</v>
      </c>
      <c r="G36" t="s">
        <v>1231</v>
      </c>
      <c r="H36" t="s">
        <v>320</v>
      </c>
      <c r="I36">
        <v>13027</v>
      </c>
    </row>
    <row r="37" spans="1:9" x14ac:dyDescent="0.3">
      <c r="A37">
        <v>36</v>
      </c>
      <c r="B37" t="s">
        <v>1232</v>
      </c>
      <c r="C37" t="s">
        <v>1233</v>
      </c>
      <c r="D37" t="s">
        <v>6299</v>
      </c>
      <c r="E37" t="s">
        <v>1234</v>
      </c>
      <c r="F37" t="s">
        <v>1235</v>
      </c>
      <c r="G37" t="s">
        <v>1236</v>
      </c>
      <c r="H37" t="s">
        <v>320</v>
      </c>
      <c r="I37">
        <v>13090</v>
      </c>
    </row>
    <row r="38" spans="1:9" x14ac:dyDescent="0.3">
      <c r="A38">
        <v>37</v>
      </c>
      <c r="B38" t="s">
        <v>1237</v>
      </c>
      <c r="C38" t="s">
        <v>1238</v>
      </c>
      <c r="D38" t="s">
        <v>6299</v>
      </c>
      <c r="E38" t="s">
        <v>1239</v>
      </c>
      <c r="F38" t="s">
        <v>1240</v>
      </c>
      <c r="G38" t="s">
        <v>1241</v>
      </c>
      <c r="H38" t="s">
        <v>320</v>
      </c>
      <c r="I38">
        <v>11378</v>
      </c>
    </row>
    <row r="39" spans="1:9" x14ac:dyDescent="0.3">
      <c r="A39">
        <v>38</v>
      </c>
      <c r="B39" t="s">
        <v>1242</v>
      </c>
      <c r="C39" t="s">
        <v>1243</v>
      </c>
      <c r="D39" t="s">
        <v>6299</v>
      </c>
      <c r="E39" t="s">
        <v>1244</v>
      </c>
      <c r="F39" t="s">
        <v>1245</v>
      </c>
      <c r="G39" t="s">
        <v>1246</v>
      </c>
      <c r="H39" t="s">
        <v>320</v>
      </c>
      <c r="I39">
        <v>11102</v>
      </c>
    </row>
    <row r="40" spans="1:9" x14ac:dyDescent="0.3">
      <c r="A40">
        <v>39</v>
      </c>
      <c r="B40" t="s">
        <v>1247</v>
      </c>
      <c r="C40" t="s">
        <v>1248</v>
      </c>
      <c r="D40" t="s">
        <v>1249</v>
      </c>
      <c r="E40" t="s">
        <v>1250</v>
      </c>
      <c r="F40" t="s">
        <v>1251</v>
      </c>
      <c r="G40" t="s">
        <v>1252</v>
      </c>
      <c r="H40" t="s">
        <v>320</v>
      </c>
      <c r="I40">
        <v>14086</v>
      </c>
    </row>
    <row r="41" spans="1:9" x14ac:dyDescent="0.3">
      <c r="A41">
        <v>40</v>
      </c>
      <c r="B41" t="s">
        <v>1253</v>
      </c>
      <c r="C41" t="s">
        <v>1254</v>
      </c>
      <c r="D41" t="s">
        <v>6299</v>
      </c>
      <c r="E41" t="s">
        <v>1255</v>
      </c>
      <c r="F41" t="s">
        <v>1256</v>
      </c>
      <c r="G41" t="s">
        <v>1257</v>
      </c>
      <c r="H41" t="s">
        <v>314</v>
      </c>
      <c r="I41">
        <v>91316</v>
      </c>
    </row>
    <row r="42" spans="1:9" x14ac:dyDescent="0.3">
      <c r="A42">
        <v>41</v>
      </c>
      <c r="B42" t="s">
        <v>1258</v>
      </c>
      <c r="C42" t="s">
        <v>1259</v>
      </c>
      <c r="D42" t="s">
        <v>6299</v>
      </c>
      <c r="E42" t="s">
        <v>1260</v>
      </c>
      <c r="F42" t="s">
        <v>1261</v>
      </c>
      <c r="G42" t="s">
        <v>1262</v>
      </c>
      <c r="H42" t="s">
        <v>320</v>
      </c>
      <c r="I42">
        <v>12804</v>
      </c>
    </row>
    <row r="43" spans="1:9" x14ac:dyDescent="0.3">
      <c r="A43">
        <v>42</v>
      </c>
      <c r="B43" t="s">
        <v>1263</v>
      </c>
      <c r="C43" t="s">
        <v>1264</v>
      </c>
      <c r="D43" t="s">
        <v>6299</v>
      </c>
      <c r="E43" t="s">
        <v>1265</v>
      </c>
      <c r="F43" t="s">
        <v>1266</v>
      </c>
      <c r="G43" t="s">
        <v>1267</v>
      </c>
      <c r="H43" t="s">
        <v>320</v>
      </c>
      <c r="I43">
        <v>11418</v>
      </c>
    </row>
    <row r="44" spans="1:9" x14ac:dyDescent="0.3">
      <c r="A44">
        <v>43</v>
      </c>
      <c r="B44" t="s">
        <v>1268</v>
      </c>
      <c r="C44" t="s">
        <v>1269</v>
      </c>
      <c r="D44" t="s">
        <v>1270</v>
      </c>
      <c r="E44" t="s">
        <v>1271</v>
      </c>
      <c r="F44" t="s">
        <v>1272</v>
      </c>
      <c r="G44" t="s">
        <v>372</v>
      </c>
      <c r="H44" t="s">
        <v>326</v>
      </c>
      <c r="I44">
        <v>77016</v>
      </c>
    </row>
    <row r="45" spans="1:9" x14ac:dyDescent="0.3">
      <c r="A45">
        <v>44</v>
      </c>
      <c r="B45" t="s">
        <v>1273</v>
      </c>
      <c r="C45" t="s">
        <v>1274</v>
      </c>
      <c r="D45" t="s">
        <v>6299</v>
      </c>
      <c r="E45" t="s">
        <v>1275</v>
      </c>
      <c r="F45" t="s">
        <v>1276</v>
      </c>
      <c r="G45" t="s">
        <v>1277</v>
      </c>
      <c r="H45" t="s">
        <v>320</v>
      </c>
      <c r="I45">
        <v>11003</v>
      </c>
    </row>
    <row r="46" spans="1:9" x14ac:dyDescent="0.3">
      <c r="A46">
        <v>45</v>
      </c>
      <c r="B46" t="s">
        <v>1278</v>
      </c>
      <c r="C46" t="s">
        <v>1279</v>
      </c>
      <c r="D46" t="s">
        <v>6299</v>
      </c>
      <c r="E46" t="s">
        <v>1280</v>
      </c>
      <c r="F46" t="s">
        <v>1281</v>
      </c>
      <c r="G46" t="s">
        <v>1282</v>
      </c>
      <c r="H46" t="s">
        <v>320</v>
      </c>
      <c r="I46">
        <v>11714</v>
      </c>
    </row>
    <row r="47" spans="1:9" x14ac:dyDescent="0.3">
      <c r="A47">
        <v>46</v>
      </c>
      <c r="B47" t="s">
        <v>1283</v>
      </c>
      <c r="C47" t="s">
        <v>1284</v>
      </c>
      <c r="D47" t="s">
        <v>6299</v>
      </c>
      <c r="E47" t="s">
        <v>1285</v>
      </c>
      <c r="F47" t="s">
        <v>1286</v>
      </c>
      <c r="G47" t="s">
        <v>1257</v>
      </c>
      <c r="H47" t="s">
        <v>314</v>
      </c>
      <c r="I47">
        <v>91316</v>
      </c>
    </row>
    <row r="48" spans="1:9" x14ac:dyDescent="0.3">
      <c r="A48">
        <v>47</v>
      </c>
      <c r="B48" t="s">
        <v>1287</v>
      </c>
      <c r="C48" t="s">
        <v>1288</v>
      </c>
      <c r="D48" t="s">
        <v>6299</v>
      </c>
      <c r="E48" t="s">
        <v>1289</v>
      </c>
      <c r="F48" t="s">
        <v>1290</v>
      </c>
      <c r="G48" t="s">
        <v>1291</v>
      </c>
      <c r="H48" t="s">
        <v>314</v>
      </c>
      <c r="I48">
        <v>94580</v>
      </c>
    </row>
    <row r="49" spans="1:9" x14ac:dyDescent="0.3">
      <c r="A49">
        <v>48</v>
      </c>
      <c r="B49" t="s">
        <v>1292</v>
      </c>
      <c r="C49" t="s">
        <v>333</v>
      </c>
      <c r="D49" t="s">
        <v>6299</v>
      </c>
      <c r="E49" t="s">
        <v>1293</v>
      </c>
      <c r="F49" t="s">
        <v>1294</v>
      </c>
      <c r="G49" t="s">
        <v>1236</v>
      </c>
      <c r="H49" t="s">
        <v>320</v>
      </c>
      <c r="I49">
        <v>13090</v>
      </c>
    </row>
    <row r="50" spans="1:9" x14ac:dyDescent="0.3">
      <c r="A50">
        <v>49</v>
      </c>
      <c r="B50" t="s">
        <v>1295</v>
      </c>
      <c r="C50" t="s">
        <v>1087</v>
      </c>
      <c r="D50" t="s">
        <v>6299</v>
      </c>
      <c r="E50" t="s">
        <v>1296</v>
      </c>
      <c r="F50" t="s">
        <v>1297</v>
      </c>
      <c r="G50" t="s">
        <v>1085</v>
      </c>
      <c r="H50" t="s">
        <v>320</v>
      </c>
      <c r="I50">
        <v>14450</v>
      </c>
    </row>
    <row r="51" spans="1:9" x14ac:dyDescent="0.3">
      <c r="A51">
        <v>50</v>
      </c>
      <c r="B51" t="s">
        <v>1298</v>
      </c>
      <c r="C51" t="s">
        <v>1299</v>
      </c>
      <c r="D51" t="s">
        <v>6299</v>
      </c>
      <c r="E51" t="s">
        <v>1300</v>
      </c>
      <c r="F51" t="s">
        <v>1301</v>
      </c>
      <c r="G51" t="s">
        <v>1156</v>
      </c>
      <c r="H51" t="s">
        <v>326</v>
      </c>
      <c r="I51">
        <v>77478</v>
      </c>
    </row>
    <row r="52" spans="1:9" x14ac:dyDescent="0.3">
      <c r="A52">
        <v>51</v>
      </c>
      <c r="B52" t="s">
        <v>1302</v>
      </c>
      <c r="C52" t="s">
        <v>1303</v>
      </c>
      <c r="D52" t="s">
        <v>6299</v>
      </c>
      <c r="E52" t="s">
        <v>1304</v>
      </c>
      <c r="F52" t="s">
        <v>1305</v>
      </c>
      <c r="G52" t="s">
        <v>1306</v>
      </c>
      <c r="H52" t="s">
        <v>320</v>
      </c>
      <c r="I52">
        <v>11566</v>
      </c>
    </row>
    <row r="53" spans="1:9" x14ac:dyDescent="0.3">
      <c r="A53">
        <v>52</v>
      </c>
      <c r="B53" t="s">
        <v>1307</v>
      </c>
      <c r="C53" t="s">
        <v>1308</v>
      </c>
      <c r="D53" t="s">
        <v>6299</v>
      </c>
      <c r="E53" t="s">
        <v>1309</v>
      </c>
      <c r="F53" t="s">
        <v>1310</v>
      </c>
      <c r="G53" t="s">
        <v>1311</v>
      </c>
      <c r="H53" t="s">
        <v>320</v>
      </c>
      <c r="I53">
        <v>11369</v>
      </c>
    </row>
    <row r="54" spans="1:9" x14ac:dyDescent="0.3">
      <c r="A54">
        <v>53</v>
      </c>
      <c r="B54" t="s">
        <v>1312</v>
      </c>
      <c r="C54" t="s">
        <v>1313</v>
      </c>
      <c r="D54" t="s">
        <v>6299</v>
      </c>
      <c r="E54" t="s">
        <v>1314</v>
      </c>
      <c r="F54" t="s">
        <v>1315</v>
      </c>
      <c r="G54" t="s">
        <v>1316</v>
      </c>
      <c r="H54" t="s">
        <v>314</v>
      </c>
      <c r="I54">
        <v>91740</v>
      </c>
    </row>
    <row r="55" spans="1:9" x14ac:dyDescent="0.3">
      <c r="A55">
        <v>54</v>
      </c>
      <c r="B55" t="s">
        <v>1317</v>
      </c>
      <c r="C55" t="s">
        <v>1318</v>
      </c>
      <c r="D55" t="s">
        <v>6299</v>
      </c>
      <c r="E55" t="s">
        <v>1319</v>
      </c>
      <c r="F55" t="s">
        <v>1320</v>
      </c>
      <c r="G55" t="s">
        <v>1321</v>
      </c>
      <c r="H55" t="s">
        <v>320</v>
      </c>
      <c r="I55">
        <v>13501</v>
      </c>
    </row>
    <row r="56" spans="1:9" x14ac:dyDescent="0.3">
      <c r="A56">
        <v>55</v>
      </c>
      <c r="B56" t="s">
        <v>1322</v>
      </c>
      <c r="C56" t="s">
        <v>1288</v>
      </c>
      <c r="D56" t="s">
        <v>6299</v>
      </c>
      <c r="E56" t="s">
        <v>1323</v>
      </c>
      <c r="F56" t="s">
        <v>1324</v>
      </c>
      <c r="G56" t="s">
        <v>1306</v>
      </c>
      <c r="H56" t="s">
        <v>320</v>
      </c>
      <c r="I56">
        <v>11566</v>
      </c>
    </row>
    <row r="57" spans="1:9" x14ac:dyDescent="0.3">
      <c r="A57">
        <v>56</v>
      </c>
      <c r="B57" t="s">
        <v>1325</v>
      </c>
      <c r="C57" t="s">
        <v>1326</v>
      </c>
      <c r="D57" t="s">
        <v>1327</v>
      </c>
      <c r="E57" t="s">
        <v>1328</v>
      </c>
      <c r="F57" t="s">
        <v>1329</v>
      </c>
      <c r="G57" t="s">
        <v>372</v>
      </c>
      <c r="H57" t="s">
        <v>326</v>
      </c>
      <c r="I57">
        <v>77016</v>
      </c>
    </row>
    <row r="58" spans="1:9" x14ac:dyDescent="0.3">
      <c r="A58">
        <v>57</v>
      </c>
      <c r="B58" t="s">
        <v>1330</v>
      </c>
      <c r="C58" t="s">
        <v>1331</v>
      </c>
      <c r="D58" t="s">
        <v>6299</v>
      </c>
      <c r="E58" t="s">
        <v>1332</v>
      </c>
      <c r="F58" t="s">
        <v>1333</v>
      </c>
      <c r="G58" t="s">
        <v>1334</v>
      </c>
      <c r="H58" t="s">
        <v>320</v>
      </c>
      <c r="I58">
        <v>10451</v>
      </c>
    </row>
    <row r="59" spans="1:9" x14ac:dyDescent="0.3">
      <c r="A59">
        <v>58</v>
      </c>
      <c r="B59" t="s">
        <v>1335</v>
      </c>
      <c r="C59" t="s">
        <v>1336</v>
      </c>
      <c r="D59" t="s">
        <v>6299</v>
      </c>
      <c r="E59" t="s">
        <v>1337</v>
      </c>
      <c r="F59" t="s">
        <v>1338</v>
      </c>
      <c r="G59" t="s">
        <v>1339</v>
      </c>
      <c r="H59" t="s">
        <v>320</v>
      </c>
      <c r="I59">
        <v>11722</v>
      </c>
    </row>
    <row r="60" spans="1:9" x14ac:dyDescent="0.3">
      <c r="A60">
        <v>59</v>
      </c>
      <c r="B60" t="s">
        <v>1086</v>
      </c>
      <c r="C60" t="s">
        <v>1340</v>
      </c>
      <c r="D60" t="s">
        <v>6299</v>
      </c>
      <c r="E60" t="s">
        <v>1341</v>
      </c>
      <c r="F60" t="s">
        <v>1342</v>
      </c>
      <c r="G60" t="s">
        <v>1343</v>
      </c>
      <c r="H60" t="s">
        <v>320</v>
      </c>
      <c r="I60">
        <v>11570</v>
      </c>
    </row>
    <row r="61" spans="1:9" x14ac:dyDescent="0.3">
      <c r="A61">
        <v>60</v>
      </c>
      <c r="B61" t="s">
        <v>1344</v>
      </c>
      <c r="C61" t="s">
        <v>1345</v>
      </c>
      <c r="D61" t="s">
        <v>6299</v>
      </c>
      <c r="E61" t="s">
        <v>1346</v>
      </c>
      <c r="F61" t="s">
        <v>1347</v>
      </c>
      <c r="G61" t="s">
        <v>1348</v>
      </c>
      <c r="H61" t="s">
        <v>314</v>
      </c>
      <c r="I61">
        <v>94070</v>
      </c>
    </row>
    <row r="62" spans="1:9" x14ac:dyDescent="0.3">
      <c r="A62">
        <v>61</v>
      </c>
      <c r="B62" t="s">
        <v>1349</v>
      </c>
      <c r="C62" t="s">
        <v>1350</v>
      </c>
      <c r="D62" t="s">
        <v>6299</v>
      </c>
      <c r="E62" t="s">
        <v>1351</v>
      </c>
      <c r="F62" t="s">
        <v>1352</v>
      </c>
      <c r="G62" t="s">
        <v>1353</v>
      </c>
      <c r="H62" t="s">
        <v>326</v>
      </c>
      <c r="I62">
        <v>76901</v>
      </c>
    </row>
    <row r="63" spans="1:9" x14ac:dyDescent="0.3">
      <c r="A63">
        <v>62</v>
      </c>
      <c r="B63" t="s">
        <v>1354</v>
      </c>
      <c r="C63" t="s">
        <v>1355</v>
      </c>
      <c r="D63" t="s">
        <v>6299</v>
      </c>
      <c r="E63" t="s">
        <v>1356</v>
      </c>
      <c r="F63" t="s">
        <v>1357</v>
      </c>
      <c r="G63" t="s">
        <v>1311</v>
      </c>
      <c r="H63" t="s">
        <v>320</v>
      </c>
      <c r="I63">
        <v>11369</v>
      </c>
    </row>
    <row r="64" spans="1:9" x14ac:dyDescent="0.3">
      <c r="A64">
        <v>63</v>
      </c>
      <c r="B64" t="s">
        <v>1358</v>
      </c>
      <c r="C64" t="s">
        <v>1359</v>
      </c>
      <c r="D64" t="s">
        <v>6299</v>
      </c>
      <c r="E64" t="s">
        <v>1360</v>
      </c>
      <c r="F64" t="s">
        <v>1361</v>
      </c>
      <c r="G64" t="s">
        <v>1362</v>
      </c>
      <c r="H64" t="s">
        <v>320</v>
      </c>
      <c r="I64">
        <v>11701</v>
      </c>
    </row>
    <row r="65" spans="1:9" x14ac:dyDescent="0.3">
      <c r="A65">
        <v>64</v>
      </c>
      <c r="B65" t="s">
        <v>1363</v>
      </c>
      <c r="C65" t="s">
        <v>1364</v>
      </c>
      <c r="D65" t="s">
        <v>6299</v>
      </c>
      <c r="E65" t="s">
        <v>1365</v>
      </c>
      <c r="F65" t="s">
        <v>1366</v>
      </c>
      <c r="G65" t="s">
        <v>1367</v>
      </c>
      <c r="H65" t="s">
        <v>326</v>
      </c>
      <c r="I65">
        <v>75115</v>
      </c>
    </row>
    <row r="66" spans="1:9" x14ac:dyDescent="0.3">
      <c r="A66">
        <v>65</v>
      </c>
      <c r="B66" t="s">
        <v>1368</v>
      </c>
      <c r="C66" t="s">
        <v>1369</v>
      </c>
      <c r="D66" t="s">
        <v>6299</v>
      </c>
      <c r="E66" t="s">
        <v>1370</v>
      </c>
      <c r="F66" t="s">
        <v>1371</v>
      </c>
      <c r="G66" t="s">
        <v>1372</v>
      </c>
      <c r="H66" t="s">
        <v>320</v>
      </c>
      <c r="I66">
        <v>13440</v>
      </c>
    </row>
    <row r="67" spans="1:9" x14ac:dyDescent="0.3">
      <c r="A67">
        <v>66</v>
      </c>
      <c r="B67" t="s">
        <v>1373</v>
      </c>
      <c r="C67" t="s">
        <v>1374</v>
      </c>
      <c r="D67" t="s">
        <v>6299</v>
      </c>
      <c r="E67" t="s">
        <v>1375</v>
      </c>
      <c r="F67" t="s">
        <v>1376</v>
      </c>
      <c r="G67" t="s">
        <v>1377</v>
      </c>
      <c r="H67" t="s">
        <v>326</v>
      </c>
      <c r="I67">
        <v>75043</v>
      </c>
    </row>
    <row r="68" spans="1:9" x14ac:dyDescent="0.3">
      <c r="A68">
        <v>67</v>
      </c>
      <c r="B68" t="s">
        <v>1378</v>
      </c>
      <c r="C68" t="s">
        <v>1379</v>
      </c>
      <c r="D68" t="s">
        <v>1380</v>
      </c>
      <c r="E68" t="s">
        <v>1381</v>
      </c>
      <c r="F68" t="s">
        <v>1382</v>
      </c>
      <c r="G68" t="s">
        <v>1080</v>
      </c>
      <c r="H68" t="s">
        <v>314</v>
      </c>
      <c r="I68">
        <v>95820</v>
      </c>
    </row>
    <row r="69" spans="1:9" x14ac:dyDescent="0.3">
      <c r="A69">
        <v>68</v>
      </c>
      <c r="B69" t="s">
        <v>1383</v>
      </c>
      <c r="C69" t="s">
        <v>1384</v>
      </c>
      <c r="D69" t="s">
        <v>6299</v>
      </c>
      <c r="E69" t="s">
        <v>1385</v>
      </c>
      <c r="F69" t="s">
        <v>1386</v>
      </c>
      <c r="G69" t="s">
        <v>325</v>
      </c>
      <c r="H69" t="s">
        <v>326</v>
      </c>
      <c r="I69">
        <v>75088</v>
      </c>
    </row>
    <row r="70" spans="1:9" x14ac:dyDescent="0.3">
      <c r="A70">
        <v>69</v>
      </c>
      <c r="B70" t="s">
        <v>1387</v>
      </c>
      <c r="C70" t="s">
        <v>1388</v>
      </c>
      <c r="D70" t="s">
        <v>6299</v>
      </c>
      <c r="E70" t="s">
        <v>1389</v>
      </c>
      <c r="F70" t="s">
        <v>1390</v>
      </c>
      <c r="G70" t="s">
        <v>1391</v>
      </c>
      <c r="H70" t="s">
        <v>314</v>
      </c>
      <c r="I70">
        <v>95677</v>
      </c>
    </row>
    <row r="71" spans="1:9" x14ac:dyDescent="0.3">
      <c r="A71">
        <v>70</v>
      </c>
      <c r="B71" t="s">
        <v>1392</v>
      </c>
      <c r="C71" t="s">
        <v>1393</v>
      </c>
      <c r="D71" t="s">
        <v>6299</v>
      </c>
      <c r="E71" t="s">
        <v>1394</v>
      </c>
      <c r="F71" t="s">
        <v>1395</v>
      </c>
      <c r="G71" t="s">
        <v>1311</v>
      </c>
      <c r="H71" t="s">
        <v>320</v>
      </c>
      <c r="I71">
        <v>11369</v>
      </c>
    </row>
    <row r="72" spans="1:9" x14ac:dyDescent="0.3">
      <c r="A72">
        <v>71</v>
      </c>
      <c r="B72" t="s">
        <v>1396</v>
      </c>
      <c r="C72" t="s">
        <v>1397</v>
      </c>
      <c r="D72" t="s">
        <v>6299</v>
      </c>
      <c r="E72" t="s">
        <v>1398</v>
      </c>
      <c r="F72" t="s">
        <v>1399</v>
      </c>
      <c r="G72" t="s">
        <v>1334</v>
      </c>
      <c r="H72" t="s">
        <v>320</v>
      </c>
      <c r="I72">
        <v>10451</v>
      </c>
    </row>
    <row r="73" spans="1:9" x14ac:dyDescent="0.3">
      <c r="A73">
        <v>72</v>
      </c>
      <c r="B73" t="s">
        <v>1400</v>
      </c>
      <c r="C73" t="s">
        <v>1401</v>
      </c>
      <c r="D73" t="s">
        <v>6299</v>
      </c>
      <c r="E73" t="s">
        <v>1402</v>
      </c>
      <c r="F73" t="s">
        <v>1403</v>
      </c>
      <c r="G73" t="s">
        <v>1404</v>
      </c>
      <c r="H73" t="s">
        <v>314</v>
      </c>
      <c r="I73">
        <v>91733</v>
      </c>
    </row>
    <row r="74" spans="1:9" x14ac:dyDescent="0.3">
      <c r="A74">
        <v>73</v>
      </c>
      <c r="B74" t="s">
        <v>1405</v>
      </c>
      <c r="C74" t="s">
        <v>1406</v>
      </c>
      <c r="D74" t="s">
        <v>6299</v>
      </c>
      <c r="E74" t="s">
        <v>1407</v>
      </c>
      <c r="F74" t="s">
        <v>1408</v>
      </c>
      <c r="G74" t="s">
        <v>1236</v>
      </c>
      <c r="H74" t="s">
        <v>320</v>
      </c>
      <c r="I74">
        <v>13090</v>
      </c>
    </row>
    <row r="75" spans="1:9" x14ac:dyDescent="0.3">
      <c r="A75">
        <v>74</v>
      </c>
      <c r="B75" t="s">
        <v>1409</v>
      </c>
      <c r="C75" t="s">
        <v>1410</v>
      </c>
      <c r="D75" t="s">
        <v>6299</v>
      </c>
      <c r="E75" t="s">
        <v>1411</v>
      </c>
      <c r="F75" t="s">
        <v>1412</v>
      </c>
      <c r="G75" t="s">
        <v>1413</v>
      </c>
      <c r="H75" t="s">
        <v>320</v>
      </c>
      <c r="I75">
        <v>14120</v>
      </c>
    </row>
    <row r="76" spans="1:9" x14ac:dyDescent="0.3">
      <c r="A76">
        <v>75</v>
      </c>
      <c r="B76" t="s">
        <v>1414</v>
      </c>
      <c r="C76" t="s">
        <v>1415</v>
      </c>
      <c r="D76" t="s">
        <v>6299</v>
      </c>
      <c r="E76" t="s">
        <v>1416</v>
      </c>
      <c r="F76" t="s">
        <v>1417</v>
      </c>
      <c r="G76" t="s">
        <v>1362</v>
      </c>
      <c r="H76" t="s">
        <v>320</v>
      </c>
      <c r="I76">
        <v>11701</v>
      </c>
    </row>
    <row r="77" spans="1:9" x14ac:dyDescent="0.3">
      <c r="A77">
        <v>76</v>
      </c>
      <c r="B77" t="s">
        <v>1418</v>
      </c>
      <c r="C77" t="s">
        <v>1419</v>
      </c>
      <c r="D77" t="s">
        <v>6299</v>
      </c>
      <c r="E77" t="s">
        <v>1420</v>
      </c>
      <c r="F77" t="s">
        <v>1421</v>
      </c>
      <c r="G77" t="s">
        <v>1422</v>
      </c>
      <c r="H77" t="s">
        <v>320</v>
      </c>
      <c r="I77">
        <v>11776</v>
      </c>
    </row>
    <row r="78" spans="1:9" x14ac:dyDescent="0.3">
      <c r="A78">
        <v>77</v>
      </c>
      <c r="B78" t="s">
        <v>1423</v>
      </c>
      <c r="C78" t="s">
        <v>1424</v>
      </c>
      <c r="D78" t="s">
        <v>6299</v>
      </c>
      <c r="E78" t="s">
        <v>1425</v>
      </c>
      <c r="F78" t="s">
        <v>1426</v>
      </c>
      <c r="G78" t="s">
        <v>1427</v>
      </c>
      <c r="H78" t="s">
        <v>326</v>
      </c>
      <c r="I78">
        <v>75080</v>
      </c>
    </row>
    <row r="79" spans="1:9" x14ac:dyDescent="0.3">
      <c r="A79">
        <v>78</v>
      </c>
      <c r="B79" t="s">
        <v>1428</v>
      </c>
      <c r="C79" t="s">
        <v>1429</v>
      </c>
      <c r="D79" t="s">
        <v>6299</v>
      </c>
      <c r="E79" t="s">
        <v>1430</v>
      </c>
      <c r="F79" t="s">
        <v>1431</v>
      </c>
      <c r="G79" t="s">
        <v>1222</v>
      </c>
      <c r="H79" t="s">
        <v>314</v>
      </c>
      <c r="I79">
        <v>90274</v>
      </c>
    </row>
    <row r="80" spans="1:9" x14ac:dyDescent="0.3">
      <c r="A80">
        <v>79</v>
      </c>
      <c r="B80" t="s">
        <v>1432</v>
      </c>
      <c r="C80" t="s">
        <v>1433</v>
      </c>
      <c r="D80" t="s">
        <v>6299</v>
      </c>
      <c r="E80" t="s">
        <v>1434</v>
      </c>
      <c r="F80" t="s">
        <v>1435</v>
      </c>
      <c r="G80" t="s">
        <v>319</v>
      </c>
      <c r="H80" t="s">
        <v>320</v>
      </c>
      <c r="I80">
        <v>11510</v>
      </c>
    </row>
    <row r="81" spans="1:9" x14ac:dyDescent="0.3">
      <c r="A81">
        <v>80</v>
      </c>
      <c r="B81" t="s">
        <v>1436</v>
      </c>
      <c r="C81" t="s">
        <v>1437</v>
      </c>
      <c r="D81" t="s">
        <v>1438</v>
      </c>
      <c r="E81" t="s">
        <v>1439</v>
      </c>
      <c r="F81" t="s">
        <v>1440</v>
      </c>
      <c r="G81" t="s">
        <v>1091</v>
      </c>
      <c r="H81" t="s">
        <v>320</v>
      </c>
      <c r="I81">
        <v>14215</v>
      </c>
    </row>
    <row r="82" spans="1:9" x14ac:dyDescent="0.3">
      <c r="A82">
        <v>81</v>
      </c>
      <c r="B82" t="s">
        <v>1441</v>
      </c>
      <c r="C82" t="s">
        <v>1442</v>
      </c>
      <c r="D82" t="s">
        <v>6299</v>
      </c>
      <c r="E82" t="s">
        <v>1443</v>
      </c>
      <c r="F82" t="s">
        <v>1444</v>
      </c>
      <c r="G82" t="s">
        <v>1291</v>
      </c>
      <c r="H82" t="s">
        <v>314</v>
      </c>
      <c r="I82">
        <v>94580</v>
      </c>
    </row>
    <row r="83" spans="1:9" x14ac:dyDescent="0.3">
      <c r="A83">
        <v>82</v>
      </c>
      <c r="B83" t="s">
        <v>1445</v>
      </c>
      <c r="C83" t="s">
        <v>1446</v>
      </c>
      <c r="D83" t="s">
        <v>6299</v>
      </c>
      <c r="E83" t="s">
        <v>1447</v>
      </c>
      <c r="F83" t="s">
        <v>1448</v>
      </c>
      <c r="G83" t="s">
        <v>1449</v>
      </c>
      <c r="H83" t="s">
        <v>314</v>
      </c>
      <c r="I83">
        <v>92236</v>
      </c>
    </row>
    <row r="84" spans="1:9" x14ac:dyDescent="0.3">
      <c r="A84">
        <v>83</v>
      </c>
      <c r="B84" t="s">
        <v>1450</v>
      </c>
      <c r="C84" t="s">
        <v>360</v>
      </c>
      <c r="D84" t="s">
        <v>6299</v>
      </c>
      <c r="E84" t="s">
        <v>1451</v>
      </c>
      <c r="F84" t="s">
        <v>1452</v>
      </c>
      <c r="G84" t="s">
        <v>1142</v>
      </c>
      <c r="H84" t="s">
        <v>320</v>
      </c>
      <c r="I84">
        <v>10583</v>
      </c>
    </row>
    <row r="85" spans="1:9" x14ac:dyDescent="0.3">
      <c r="A85">
        <v>84</v>
      </c>
      <c r="B85" t="s">
        <v>1453</v>
      </c>
      <c r="C85" t="s">
        <v>1454</v>
      </c>
      <c r="D85" t="s">
        <v>6299</v>
      </c>
      <c r="E85" t="s">
        <v>1455</v>
      </c>
      <c r="F85" t="s">
        <v>1456</v>
      </c>
      <c r="G85" t="s">
        <v>1457</v>
      </c>
      <c r="H85" t="s">
        <v>320</v>
      </c>
      <c r="I85">
        <v>11757</v>
      </c>
    </row>
    <row r="86" spans="1:9" x14ac:dyDescent="0.3">
      <c r="A86">
        <v>85</v>
      </c>
      <c r="B86" t="s">
        <v>1458</v>
      </c>
      <c r="C86" t="s">
        <v>1459</v>
      </c>
      <c r="D86" t="s">
        <v>6299</v>
      </c>
      <c r="E86" t="s">
        <v>1460</v>
      </c>
      <c r="F86" t="s">
        <v>1461</v>
      </c>
      <c r="G86" t="s">
        <v>1462</v>
      </c>
      <c r="H86" t="s">
        <v>320</v>
      </c>
      <c r="I86">
        <v>11746</v>
      </c>
    </row>
    <row r="87" spans="1:9" x14ac:dyDescent="0.3">
      <c r="A87">
        <v>86</v>
      </c>
      <c r="B87" t="s">
        <v>1463</v>
      </c>
      <c r="C87" t="s">
        <v>364</v>
      </c>
      <c r="D87" t="s">
        <v>6299</v>
      </c>
      <c r="E87" t="s">
        <v>1464</v>
      </c>
      <c r="F87" t="s">
        <v>1465</v>
      </c>
      <c r="G87" t="s">
        <v>1466</v>
      </c>
      <c r="H87" t="s">
        <v>320</v>
      </c>
      <c r="I87">
        <v>13126</v>
      </c>
    </row>
    <row r="88" spans="1:9" x14ac:dyDescent="0.3">
      <c r="A88">
        <v>87</v>
      </c>
      <c r="B88" t="s">
        <v>1467</v>
      </c>
      <c r="C88" t="s">
        <v>1468</v>
      </c>
      <c r="D88" t="s">
        <v>6299</v>
      </c>
      <c r="E88" t="s">
        <v>1469</v>
      </c>
      <c r="F88" t="s">
        <v>1470</v>
      </c>
      <c r="G88" t="s">
        <v>1471</v>
      </c>
      <c r="H88" t="s">
        <v>314</v>
      </c>
      <c r="I88">
        <v>91010</v>
      </c>
    </row>
    <row r="89" spans="1:9" x14ac:dyDescent="0.3">
      <c r="A89">
        <v>88</v>
      </c>
      <c r="B89" t="s">
        <v>1472</v>
      </c>
      <c r="C89" t="s">
        <v>1473</v>
      </c>
      <c r="D89" t="s">
        <v>6299</v>
      </c>
      <c r="E89" t="s">
        <v>1474</v>
      </c>
      <c r="F89" t="s">
        <v>1475</v>
      </c>
      <c r="G89" t="s">
        <v>1171</v>
      </c>
      <c r="H89" t="s">
        <v>320</v>
      </c>
      <c r="I89">
        <v>11423</v>
      </c>
    </row>
    <row r="90" spans="1:9" x14ac:dyDescent="0.3">
      <c r="A90">
        <v>89</v>
      </c>
      <c r="B90" t="s">
        <v>1476</v>
      </c>
      <c r="C90" t="s">
        <v>1477</v>
      </c>
      <c r="D90" t="s">
        <v>6299</v>
      </c>
      <c r="E90" t="s">
        <v>1478</v>
      </c>
      <c r="F90" t="s">
        <v>1479</v>
      </c>
      <c r="G90" t="s">
        <v>1480</v>
      </c>
      <c r="H90" t="s">
        <v>314</v>
      </c>
      <c r="I90">
        <v>91784</v>
      </c>
    </row>
    <row r="91" spans="1:9" x14ac:dyDescent="0.3">
      <c r="A91">
        <v>90</v>
      </c>
      <c r="B91" t="s">
        <v>1481</v>
      </c>
      <c r="C91" t="s">
        <v>1482</v>
      </c>
      <c r="D91" t="s">
        <v>6299</v>
      </c>
      <c r="E91" t="s">
        <v>1483</v>
      </c>
      <c r="F91" t="s">
        <v>1484</v>
      </c>
      <c r="G91" t="s">
        <v>1485</v>
      </c>
      <c r="H91" t="s">
        <v>320</v>
      </c>
      <c r="I91">
        <v>11010</v>
      </c>
    </row>
    <row r="92" spans="1:9" x14ac:dyDescent="0.3">
      <c r="A92">
        <v>91</v>
      </c>
      <c r="B92" t="s">
        <v>1486</v>
      </c>
      <c r="C92" t="s">
        <v>1487</v>
      </c>
      <c r="D92" t="s">
        <v>1488</v>
      </c>
      <c r="E92" t="s">
        <v>1489</v>
      </c>
      <c r="F92" t="s">
        <v>1490</v>
      </c>
      <c r="G92" t="s">
        <v>1491</v>
      </c>
      <c r="H92" t="s">
        <v>314</v>
      </c>
      <c r="I92">
        <v>92111</v>
      </c>
    </row>
    <row r="93" spans="1:9" x14ac:dyDescent="0.3">
      <c r="A93">
        <v>92</v>
      </c>
      <c r="B93" t="s">
        <v>1492</v>
      </c>
      <c r="C93" t="s">
        <v>1493</v>
      </c>
      <c r="D93" t="s">
        <v>6299</v>
      </c>
      <c r="E93" t="s">
        <v>1494</v>
      </c>
      <c r="F93" t="s">
        <v>1495</v>
      </c>
      <c r="G93" t="s">
        <v>1496</v>
      </c>
      <c r="H93" t="s">
        <v>320</v>
      </c>
      <c r="I93">
        <v>11735</v>
      </c>
    </row>
    <row r="94" spans="1:9" x14ac:dyDescent="0.3">
      <c r="A94">
        <v>93</v>
      </c>
      <c r="B94" t="s">
        <v>1497</v>
      </c>
      <c r="C94" t="s">
        <v>1498</v>
      </c>
      <c r="D94" t="s">
        <v>1499</v>
      </c>
      <c r="E94" t="s">
        <v>1500</v>
      </c>
      <c r="F94" t="s">
        <v>1501</v>
      </c>
      <c r="G94" t="s">
        <v>1502</v>
      </c>
      <c r="H94" t="s">
        <v>320</v>
      </c>
      <c r="I94">
        <v>12180</v>
      </c>
    </row>
    <row r="95" spans="1:9" x14ac:dyDescent="0.3">
      <c r="A95">
        <v>94</v>
      </c>
      <c r="B95" t="s">
        <v>1503</v>
      </c>
      <c r="C95" t="s">
        <v>1504</v>
      </c>
      <c r="D95" t="s">
        <v>6299</v>
      </c>
      <c r="E95" t="s">
        <v>1505</v>
      </c>
      <c r="F95" t="s">
        <v>1506</v>
      </c>
      <c r="G95" t="s">
        <v>1231</v>
      </c>
      <c r="H95" t="s">
        <v>320</v>
      </c>
      <c r="I95">
        <v>13027</v>
      </c>
    </row>
    <row r="96" spans="1:9" x14ac:dyDescent="0.3">
      <c r="A96">
        <v>95</v>
      </c>
      <c r="B96" t="s">
        <v>1507</v>
      </c>
      <c r="C96" t="s">
        <v>1508</v>
      </c>
      <c r="D96" t="s">
        <v>6299</v>
      </c>
      <c r="E96" t="s">
        <v>1509</v>
      </c>
      <c r="F96" t="s">
        <v>1510</v>
      </c>
      <c r="G96" t="s">
        <v>1511</v>
      </c>
      <c r="H96" t="s">
        <v>320</v>
      </c>
      <c r="I96">
        <v>12866</v>
      </c>
    </row>
    <row r="97" spans="1:9" x14ac:dyDescent="0.3">
      <c r="A97">
        <v>96</v>
      </c>
      <c r="B97" t="s">
        <v>1512</v>
      </c>
      <c r="C97" t="s">
        <v>1513</v>
      </c>
      <c r="D97" t="s">
        <v>6299</v>
      </c>
      <c r="E97" t="s">
        <v>1514</v>
      </c>
      <c r="F97" t="s">
        <v>1515</v>
      </c>
      <c r="G97" t="s">
        <v>1516</v>
      </c>
      <c r="H97" t="s">
        <v>320</v>
      </c>
      <c r="I97">
        <v>11361</v>
      </c>
    </row>
    <row r="98" spans="1:9" x14ac:dyDescent="0.3">
      <c r="A98">
        <v>97</v>
      </c>
      <c r="B98" t="s">
        <v>1517</v>
      </c>
      <c r="C98" t="s">
        <v>1518</v>
      </c>
      <c r="D98" t="s">
        <v>6299</v>
      </c>
      <c r="E98" t="s">
        <v>1519</v>
      </c>
      <c r="F98" t="s">
        <v>1520</v>
      </c>
      <c r="G98" t="s">
        <v>1521</v>
      </c>
      <c r="H98" t="s">
        <v>314</v>
      </c>
      <c r="I98">
        <v>95993</v>
      </c>
    </row>
    <row r="99" spans="1:9" x14ac:dyDescent="0.3">
      <c r="A99">
        <v>98</v>
      </c>
      <c r="B99" t="s">
        <v>1522</v>
      </c>
      <c r="C99" t="s">
        <v>1523</v>
      </c>
      <c r="D99" t="s">
        <v>6299</v>
      </c>
      <c r="E99" t="s">
        <v>1524</v>
      </c>
      <c r="F99" t="s">
        <v>1525</v>
      </c>
      <c r="G99" t="s">
        <v>1131</v>
      </c>
      <c r="H99" t="s">
        <v>320</v>
      </c>
      <c r="I99">
        <v>12901</v>
      </c>
    </row>
    <row r="100" spans="1:9" x14ac:dyDescent="0.3">
      <c r="A100">
        <v>99</v>
      </c>
      <c r="B100" t="s">
        <v>1526</v>
      </c>
      <c r="C100" t="s">
        <v>1527</v>
      </c>
      <c r="D100" t="s">
        <v>6299</v>
      </c>
      <c r="E100" t="s">
        <v>1528</v>
      </c>
      <c r="F100" t="s">
        <v>1529</v>
      </c>
      <c r="G100" t="s">
        <v>1105</v>
      </c>
      <c r="H100" t="s">
        <v>320</v>
      </c>
      <c r="I100">
        <v>10950</v>
      </c>
    </row>
    <row r="101" spans="1:9" x14ac:dyDescent="0.3">
      <c r="A101">
        <v>100</v>
      </c>
      <c r="B101" t="s">
        <v>1530</v>
      </c>
      <c r="C101" t="s">
        <v>1508</v>
      </c>
      <c r="D101" t="s">
        <v>6299</v>
      </c>
      <c r="E101" t="s">
        <v>1531</v>
      </c>
      <c r="F101" t="s">
        <v>1532</v>
      </c>
      <c r="G101" t="s">
        <v>1533</v>
      </c>
      <c r="H101" t="s">
        <v>320</v>
      </c>
      <c r="I101">
        <v>11725</v>
      </c>
    </row>
    <row r="102" spans="1:9" x14ac:dyDescent="0.3">
      <c r="A102">
        <v>101</v>
      </c>
      <c r="B102" t="s">
        <v>1534</v>
      </c>
      <c r="C102" t="s">
        <v>1535</v>
      </c>
      <c r="D102" t="s">
        <v>6299</v>
      </c>
      <c r="E102" t="s">
        <v>1536</v>
      </c>
      <c r="F102" t="s">
        <v>1537</v>
      </c>
      <c r="G102" t="s">
        <v>1142</v>
      </c>
      <c r="H102" t="s">
        <v>320</v>
      </c>
      <c r="I102">
        <v>10583</v>
      </c>
    </row>
    <row r="103" spans="1:9" x14ac:dyDescent="0.3">
      <c r="A103">
        <v>102</v>
      </c>
      <c r="B103" t="s">
        <v>1538</v>
      </c>
      <c r="C103" t="s">
        <v>1539</v>
      </c>
      <c r="D103" t="s">
        <v>6299</v>
      </c>
      <c r="E103" t="s">
        <v>1540</v>
      </c>
      <c r="F103" t="s">
        <v>1541</v>
      </c>
      <c r="G103" t="s">
        <v>1147</v>
      </c>
      <c r="H103" t="s">
        <v>320</v>
      </c>
      <c r="I103">
        <v>14424</v>
      </c>
    </row>
    <row r="104" spans="1:9" x14ac:dyDescent="0.3">
      <c r="A104">
        <v>103</v>
      </c>
      <c r="B104" t="s">
        <v>1542</v>
      </c>
      <c r="C104" t="s">
        <v>1543</v>
      </c>
      <c r="D104" t="s">
        <v>6299</v>
      </c>
      <c r="E104" t="s">
        <v>1544</v>
      </c>
      <c r="F104" t="s">
        <v>1545</v>
      </c>
      <c r="G104" t="s">
        <v>1546</v>
      </c>
      <c r="H104" t="s">
        <v>320</v>
      </c>
      <c r="I104">
        <v>11791</v>
      </c>
    </row>
    <row r="105" spans="1:9" x14ac:dyDescent="0.3">
      <c r="A105">
        <v>104</v>
      </c>
      <c r="B105" t="s">
        <v>1547</v>
      </c>
      <c r="C105" t="s">
        <v>1548</v>
      </c>
      <c r="D105" t="s">
        <v>6299</v>
      </c>
      <c r="E105" t="s">
        <v>1549</v>
      </c>
      <c r="F105" t="s">
        <v>1550</v>
      </c>
      <c r="G105" t="s">
        <v>1064</v>
      </c>
      <c r="H105" t="s">
        <v>314</v>
      </c>
      <c r="I105">
        <v>95008</v>
      </c>
    </row>
    <row r="106" spans="1:9" x14ac:dyDescent="0.3">
      <c r="A106">
        <v>105</v>
      </c>
      <c r="B106" t="s">
        <v>1551</v>
      </c>
      <c r="C106" t="s">
        <v>1552</v>
      </c>
      <c r="D106" t="s">
        <v>6299</v>
      </c>
      <c r="E106" t="s">
        <v>1553</v>
      </c>
      <c r="F106" t="s">
        <v>1554</v>
      </c>
      <c r="G106" t="s">
        <v>1555</v>
      </c>
      <c r="H106" t="s">
        <v>320</v>
      </c>
      <c r="I106">
        <v>11421</v>
      </c>
    </row>
    <row r="107" spans="1:9" x14ac:dyDescent="0.3">
      <c r="A107">
        <v>106</v>
      </c>
      <c r="B107" t="s">
        <v>1556</v>
      </c>
      <c r="C107" t="s">
        <v>1557</v>
      </c>
      <c r="D107" t="s">
        <v>6299</v>
      </c>
      <c r="E107" t="s">
        <v>1558</v>
      </c>
      <c r="F107" t="s">
        <v>1559</v>
      </c>
      <c r="G107" t="s">
        <v>1560</v>
      </c>
      <c r="H107" t="s">
        <v>320</v>
      </c>
      <c r="I107">
        <v>11373</v>
      </c>
    </row>
    <row r="108" spans="1:9" x14ac:dyDescent="0.3">
      <c r="A108">
        <v>107</v>
      </c>
      <c r="B108" t="s">
        <v>1561</v>
      </c>
      <c r="C108" t="s">
        <v>1562</v>
      </c>
      <c r="D108" t="s">
        <v>6299</v>
      </c>
      <c r="E108" t="s">
        <v>1563</v>
      </c>
      <c r="F108" t="s">
        <v>1564</v>
      </c>
      <c r="G108" t="s">
        <v>1339</v>
      </c>
      <c r="H108" t="s">
        <v>320</v>
      </c>
      <c r="I108">
        <v>11722</v>
      </c>
    </row>
    <row r="109" spans="1:9" x14ac:dyDescent="0.3">
      <c r="A109">
        <v>108</v>
      </c>
      <c r="B109" t="s">
        <v>1565</v>
      </c>
      <c r="C109" t="s">
        <v>1566</v>
      </c>
      <c r="D109" t="s">
        <v>6299</v>
      </c>
      <c r="E109" t="s">
        <v>1567</v>
      </c>
      <c r="F109" t="s">
        <v>1568</v>
      </c>
      <c r="G109" t="s">
        <v>1569</v>
      </c>
      <c r="H109" t="s">
        <v>320</v>
      </c>
      <c r="I109">
        <v>11001</v>
      </c>
    </row>
    <row r="110" spans="1:9" x14ac:dyDescent="0.3">
      <c r="A110">
        <v>109</v>
      </c>
      <c r="B110" t="s">
        <v>1570</v>
      </c>
      <c r="C110" t="s">
        <v>1571</v>
      </c>
      <c r="D110" t="s">
        <v>1572</v>
      </c>
      <c r="E110" t="s">
        <v>1573</v>
      </c>
      <c r="F110" t="s">
        <v>1574</v>
      </c>
      <c r="G110" t="s">
        <v>1575</v>
      </c>
      <c r="H110" t="s">
        <v>314</v>
      </c>
      <c r="I110">
        <v>95127</v>
      </c>
    </row>
    <row r="111" spans="1:9" x14ac:dyDescent="0.3">
      <c r="A111">
        <v>110</v>
      </c>
      <c r="B111" t="s">
        <v>1576</v>
      </c>
      <c r="C111" t="s">
        <v>1577</v>
      </c>
      <c r="D111" t="s">
        <v>1578</v>
      </c>
      <c r="E111" t="s">
        <v>1579</v>
      </c>
      <c r="F111" t="s">
        <v>1580</v>
      </c>
      <c r="G111" t="s">
        <v>1581</v>
      </c>
      <c r="H111" t="s">
        <v>314</v>
      </c>
      <c r="I111">
        <v>92806</v>
      </c>
    </row>
    <row r="112" spans="1:9" x14ac:dyDescent="0.3">
      <c r="A112">
        <v>111</v>
      </c>
      <c r="B112" t="s">
        <v>1582</v>
      </c>
      <c r="C112" t="s">
        <v>1583</v>
      </c>
      <c r="D112" t="s">
        <v>6299</v>
      </c>
      <c r="E112" t="s">
        <v>1584</v>
      </c>
      <c r="F112" t="s">
        <v>1585</v>
      </c>
      <c r="G112" t="s">
        <v>1059</v>
      </c>
      <c r="H112" t="s">
        <v>320</v>
      </c>
      <c r="I112">
        <v>14127</v>
      </c>
    </row>
    <row r="113" spans="1:9" x14ac:dyDescent="0.3">
      <c r="A113">
        <v>112</v>
      </c>
      <c r="B113" t="s">
        <v>1586</v>
      </c>
      <c r="C113" t="s">
        <v>1369</v>
      </c>
      <c r="D113" t="s">
        <v>6299</v>
      </c>
      <c r="E113" t="s">
        <v>1587</v>
      </c>
      <c r="F113" t="s">
        <v>1588</v>
      </c>
      <c r="G113" t="s">
        <v>1589</v>
      </c>
      <c r="H113" t="s">
        <v>320</v>
      </c>
      <c r="I113">
        <v>11552</v>
      </c>
    </row>
    <row r="114" spans="1:9" x14ac:dyDescent="0.3">
      <c r="A114">
        <v>113</v>
      </c>
      <c r="B114" t="s">
        <v>1590</v>
      </c>
      <c r="C114" t="s">
        <v>1591</v>
      </c>
      <c r="D114" t="s">
        <v>6299</v>
      </c>
      <c r="E114" t="s">
        <v>1592</v>
      </c>
      <c r="F114" t="s">
        <v>1593</v>
      </c>
      <c r="G114" t="s">
        <v>1496</v>
      </c>
      <c r="H114" t="s">
        <v>320</v>
      </c>
      <c r="I114">
        <v>11735</v>
      </c>
    </row>
    <row r="115" spans="1:9" x14ac:dyDescent="0.3">
      <c r="A115">
        <v>114</v>
      </c>
      <c r="B115" t="s">
        <v>1594</v>
      </c>
      <c r="C115" t="s">
        <v>1595</v>
      </c>
      <c r="D115" t="s">
        <v>6299</v>
      </c>
      <c r="E115" t="s">
        <v>1596</v>
      </c>
      <c r="F115" t="s">
        <v>1597</v>
      </c>
      <c r="G115" t="s">
        <v>1362</v>
      </c>
      <c r="H115" t="s">
        <v>320</v>
      </c>
      <c r="I115">
        <v>11701</v>
      </c>
    </row>
    <row r="116" spans="1:9" x14ac:dyDescent="0.3">
      <c r="A116">
        <v>115</v>
      </c>
      <c r="B116" t="s">
        <v>1598</v>
      </c>
      <c r="C116" t="s">
        <v>1599</v>
      </c>
      <c r="D116" t="s">
        <v>6299</v>
      </c>
      <c r="E116" t="s">
        <v>1600</v>
      </c>
      <c r="F116" t="s">
        <v>1601</v>
      </c>
      <c r="G116" t="s">
        <v>1105</v>
      </c>
      <c r="H116" t="s">
        <v>320</v>
      </c>
      <c r="I116">
        <v>10950</v>
      </c>
    </row>
    <row r="117" spans="1:9" x14ac:dyDescent="0.3">
      <c r="A117">
        <v>116</v>
      </c>
      <c r="B117" t="s">
        <v>1602</v>
      </c>
      <c r="C117" t="s">
        <v>1603</v>
      </c>
      <c r="D117" t="s">
        <v>6299</v>
      </c>
      <c r="E117" t="s">
        <v>1604</v>
      </c>
      <c r="F117" t="s">
        <v>1605</v>
      </c>
      <c r="G117" t="s">
        <v>1606</v>
      </c>
      <c r="H117" t="s">
        <v>326</v>
      </c>
      <c r="I117">
        <v>76039</v>
      </c>
    </row>
    <row r="118" spans="1:9" x14ac:dyDescent="0.3">
      <c r="A118">
        <v>117</v>
      </c>
      <c r="B118" t="s">
        <v>1607</v>
      </c>
      <c r="C118" t="s">
        <v>1608</v>
      </c>
      <c r="D118" t="s">
        <v>6299</v>
      </c>
      <c r="E118" t="s">
        <v>1609</v>
      </c>
      <c r="F118" t="s">
        <v>1610</v>
      </c>
      <c r="G118" t="s">
        <v>1156</v>
      </c>
      <c r="H118" t="s">
        <v>326</v>
      </c>
      <c r="I118">
        <v>77478</v>
      </c>
    </row>
    <row r="119" spans="1:9" x14ac:dyDescent="0.3">
      <c r="A119">
        <v>118</v>
      </c>
      <c r="B119" t="s">
        <v>1611</v>
      </c>
      <c r="C119" t="s">
        <v>1612</v>
      </c>
      <c r="D119" t="s">
        <v>6299</v>
      </c>
      <c r="E119" t="s">
        <v>1613</v>
      </c>
      <c r="F119" t="s">
        <v>1614</v>
      </c>
      <c r="G119" t="s">
        <v>1615</v>
      </c>
      <c r="H119" t="s">
        <v>320</v>
      </c>
      <c r="I119">
        <v>14534</v>
      </c>
    </row>
    <row r="120" spans="1:9" x14ac:dyDescent="0.3">
      <c r="A120">
        <v>119</v>
      </c>
      <c r="B120" t="s">
        <v>1594</v>
      </c>
      <c r="C120" t="s">
        <v>1616</v>
      </c>
      <c r="D120" t="s">
        <v>6299</v>
      </c>
      <c r="E120" t="s">
        <v>1617</v>
      </c>
      <c r="F120" t="s">
        <v>1618</v>
      </c>
      <c r="G120" t="s">
        <v>1353</v>
      </c>
      <c r="H120" t="s">
        <v>326</v>
      </c>
      <c r="I120">
        <v>76901</v>
      </c>
    </row>
    <row r="121" spans="1:9" x14ac:dyDescent="0.3">
      <c r="A121">
        <v>120</v>
      </c>
      <c r="B121" t="s">
        <v>1619</v>
      </c>
      <c r="C121" t="s">
        <v>1620</v>
      </c>
      <c r="D121" t="s">
        <v>1621</v>
      </c>
      <c r="E121" t="s">
        <v>1622</v>
      </c>
      <c r="F121" t="s">
        <v>1623</v>
      </c>
      <c r="G121" t="s">
        <v>1624</v>
      </c>
      <c r="H121" t="s">
        <v>314</v>
      </c>
      <c r="I121">
        <v>93706</v>
      </c>
    </row>
    <row r="122" spans="1:9" x14ac:dyDescent="0.3">
      <c r="A122">
        <v>121</v>
      </c>
      <c r="B122" t="s">
        <v>1625</v>
      </c>
      <c r="C122" t="s">
        <v>1626</v>
      </c>
      <c r="D122" t="s">
        <v>6299</v>
      </c>
      <c r="E122" t="s">
        <v>1627</v>
      </c>
      <c r="F122" t="s">
        <v>1628</v>
      </c>
      <c r="G122" t="s">
        <v>1222</v>
      </c>
      <c r="H122" t="s">
        <v>314</v>
      </c>
      <c r="I122">
        <v>90274</v>
      </c>
    </row>
    <row r="123" spans="1:9" x14ac:dyDescent="0.3">
      <c r="A123">
        <v>122</v>
      </c>
      <c r="B123" t="s">
        <v>1629</v>
      </c>
      <c r="C123" t="s">
        <v>1269</v>
      </c>
      <c r="D123" t="s">
        <v>6299</v>
      </c>
      <c r="E123" t="s">
        <v>1630</v>
      </c>
      <c r="F123" t="s">
        <v>1631</v>
      </c>
      <c r="G123" t="s">
        <v>1632</v>
      </c>
      <c r="H123" t="s">
        <v>320</v>
      </c>
      <c r="I123">
        <v>11414</v>
      </c>
    </row>
    <row r="124" spans="1:9" x14ac:dyDescent="0.3">
      <c r="A124">
        <v>123</v>
      </c>
      <c r="B124" t="s">
        <v>1633</v>
      </c>
      <c r="C124" t="s">
        <v>1634</v>
      </c>
      <c r="D124" t="s">
        <v>1635</v>
      </c>
      <c r="E124" t="s">
        <v>1636</v>
      </c>
      <c r="F124" t="s">
        <v>1637</v>
      </c>
      <c r="G124" t="s">
        <v>1638</v>
      </c>
      <c r="H124" t="s">
        <v>326</v>
      </c>
      <c r="I124">
        <v>78418</v>
      </c>
    </row>
    <row r="125" spans="1:9" x14ac:dyDescent="0.3">
      <c r="A125">
        <v>124</v>
      </c>
      <c r="B125" t="s">
        <v>1639</v>
      </c>
      <c r="C125" t="s">
        <v>1640</v>
      </c>
      <c r="D125" t="s">
        <v>6299</v>
      </c>
      <c r="E125" t="s">
        <v>1641</v>
      </c>
      <c r="F125" t="s">
        <v>1642</v>
      </c>
      <c r="G125" t="s">
        <v>1404</v>
      </c>
      <c r="H125" t="s">
        <v>314</v>
      </c>
      <c r="I125">
        <v>91733</v>
      </c>
    </row>
    <row r="126" spans="1:9" x14ac:dyDescent="0.3">
      <c r="A126">
        <v>125</v>
      </c>
      <c r="B126" t="s">
        <v>1643</v>
      </c>
      <c r="C126" t="s">
        <v>1644</v>
      </c>
      <c r="D126" t="s">
        <v>6299</v>
      </c>
      <c r="E126" t="s">
        <v>1645</v>
      </c>
      <c r="F126" t="s">
        <v>1646</v>
      </c>
      <c r="G126" t="s">
        <v>1147</v>
      </c>
      <c r="H126" t="s">
        <v>320</v>
      </c>
      <c r="I126">
        <v>14424</v>
      </c>
    </row>
    <row r="127" spans="1:9" x14ac:dyDescent="0.3">
      <c r="A127">
        <v>126</v>
      </c>
      <c r="B127" t="s">
        <v>1647</v>
      </c>
      <c r="C127" t="s">
        <v>1648</v>
      </c>
      <c r="D127" t="s">
        <v>6299</v>
      </c>
      <c r="E127" t="s">
        <v>1649</v>
      </c>
      <c r="F127" t="s">
        <v>1650</v>
      </c>
      <c r="G127" t="s">
        <v>1651</v>
      </c>
      <c r="H127" t="s">
        <v>320</v>
      </c>
      <c r="I127">
        <v>12550</v>
      </c>
    </row>
    <row r="128" spans="1:9" x14ac:dyDescent="0.3">
      <c r="A128">
        <v>127</v>
      </c>
      <c r="B128" t="s">
        <v>1652</v>
      </c>
      <c r="C128" t="s">
        <v>1653</v>
      </c>
      <c r="D128" t="s">
        <v>6299</v>
      </c>
      <c r="E128" t="s">
        <v>1654</v>
      </c>
      <c r="F128" t="s">
        <v>1655</v>
      </c>
      <c r="G128" t="s">
        <v>1241</v>
      </c>
      <c r="H128" t="s">
        <v>320</v>
      </c>
      <c r="I128">
        <v>11378</v>
      </c>
    </row>
    <row r="129" spans="1:9" x14ac:dyDescent="0.3">
      <c r="A129">
        <v>128</v>
      </c>
      <c r="B129" t="s">
        <v>1656</v>
      </c>
      <c r="C129" t="s">
        <v>1657</v>
      </c>
      <c r="D129" t="s">
        <v>6299</v>
      </c>
      <c r="E129" t="s">
        <v>1658</v>
      </c>
      <c r="F129" t="s">
        <v>1659</v>
      </c>
      <c r="G129" t="s">
        <v>1131</v>
      </c>
      <c r="H129" t="s">
        <v>320</v>
      </c>
      <c r="I129">
        <v>12901</v>
      </c>
    </row>
    <row r="130" spans="1:9" x14ac:dyDescent="0.3">
      <c r="A130">
        <v>129</v>
      </c>
      <c r="B130" t="s">
        <v>1660</v>
      </c>
      <c r="C130" t="s">
        <v>1648</v>
      </c>
      <c r="D130" t="s">
        <v>6299</v>
      </c>
      <c r="E130" t="s">
        <v>1661</v>
      </c>
      <c r="F130" t="s">
        <v>1662</v>
      </c>
      <c r="G130" t="s">
        <v>1663</v>
      </c>
      <c r="H130" t="s">
        <v>320</v>
      </c>
      <c r="I130">
        <v>14094</v>
      </c>
    </row>
    <row r="131" spans="1:9" x14ac:dyDescent="0.3">
      <c r="A131">
        <v>130</v>
      </c>
      <c r="B131" t="s">
        <v>1664</v>
      </c>
      <c r="C131" t="s">
        <v>1665</v>
      </c>
      <c r="D131" t="s">
        <v>1666</v>
      </c>
      <c r="E131" t="s">
        <v>1667</v>
      </c>
      <c r="F131" t="s">
        <v>1668</v>
      </c>
      <c r="G131" t="s">
        <v>1502</v>
      </c>
      <c r="H131" t="s">
        <v>320</v>
      </c>
      <c r="I131">
        <v>12180</v>
      </c>
    </row>
    <row r="132" spans="1:9" x14ac:dyDescent="0.3">
      <c r="A132">
        <v>131</v>
      </c>
      <c r="B132" t="s">
        <v>1669</v>
      </c>
      <c r="C132" t="s">
        <v>1670</v>
      </c>
      <c r="D132" t="s">
        <v>6299</v>
      </c>
      <c r="E132" t="s">
        <v>1671</v>
      </c>
      <c r="F132" t="s">
        <v>1672</v>
      </c>
      <c r="G132" t="s">
        <v>1546</v>
      </c>
      <c r="H132" t="s">
        <v>320</v>
      </c>
      <c r="I132">
        <v>11791</v>
      </c>
    </row>
    <row r="133" spans="1:9" x14ac:dyDescent="0.3">
      <c r="A133">
        <v>132</v>
      </c>
      <c r="B133" t="s">
        <v>1673</v>
      </c>
      <c r="C133" t="s">
        <v>1674</v>
      </c>
      <c r="D133" t="s">
        <v>6299</v>
      </c>
      <c r="E133" t="s">
        <v>1675</v>
      </c>
      <c r="F133" t="s">
        <v>1676</v>
      </c>
      <c r="G133" t="s">
        <v>1677</v>
      </c>
      <c r="H133" t="s">
        <v>320</v>
      </c>
      <c r="I133">
        <v>14075</v>
      </c>
    </row>
    <row r="134" spans="1:9" x14ac:dyDescent="0.3">
      <c r="A134">
        <v>133</v>
      </c>
      <c r="B134" t="s">
        <v>1678</v>
      </c>
      <c r="C134" t="s">
        <v>1679</v>
      </c>
      <c r="D134" t="s">
        <v>6299</v>
      </c>
      <c r="E134" t="s">
        <v>1680</v>
      </c>
      <c r="F134" t="s">
        <v>1681</v>
      </c>
      <c r="G134" t="s">
        <v>1682</v>
      </c>
      <c r="H134" t="s">
        <v>320</v>
      </c>
      <c r="I134">
        <v>11727</v>
      </c>
    </row>
    <row r="135" spans="1:9" x14ac:dyDescent="0.3">
      <c r="A135">
        <v>134</v>
      </c>
      <c r="B135" t="s">
        <v>1683</v>
      </c>
      <c r="C135" t="s">
        <v>1684</v>
      </c>
      <c r="D135" t="s">
        <v>1685</v>
      </c>
      <c r="E135" t="s">
        <v>1686</v>
      </c>
      <c r="F135" t="s">
        <v>1687</v>
      </c>
      <c r="G135" t="s">
        <v>1116</v>
      </c>
      <c r="H135" t="s">
        <v>320</v>
      </c>
      <c r="I135">
        <v>11550</v>
      </c>
    </row>
    <row r="136" spans="1:9" x14ac:dyDescent="0.3">
      <c r="A136">
        <v>135</v>
      </c>
      <c r="B136" t="s">
        <v>1688</v>
      </c>
      <c r="C136" t="s">
        <v>333</v>
      </c>
      <c r="D136" t="s">
        <v>1689</v>
      </c>
      <c r="E136" t="s">
        <v>1690</v>
      </c>
      <c r="F136" t="s">
        <v>1691</v>
      </c>
      <c r="G136" t="s">
        <v>372</v>
      </c>
      <c r="H136" t="s">
        <v>326</v>
      </c>
      <c r="I136">
        <v>77016</v>
      </c>
    </row>
    <row r="137" spans="1:9" x14ac:dyDescent="0.3">
      <c r="A137">
        <v>136</v>
      </c>
      <c r="B137" t="s">
        <v>1692</v>
      </c>
      <c r="C137" t="s">
        <v>1433</v>
      </c>
      <c r="D137" t="s">
        <v>6299</v>
      </c>
      <c r="E137" t="s">
        <v>1693</v>
      </c>
      <c r="F137" t="s">
        <v>1694</v>
      </c>
      <c r="G137" t="s">
        <v>1126</v>
      </c>
      <c r="H137" t="s">
        <v>326</v>
      </c>
      <c r="I137">
        <v>75126</v>
      </c>
    </row>
    <row r="138" spans="1:9" x14ac:dyDescent="0.3">
      <c r="A138">
        <v>137</v>
      </c>
      <c r="B138" t="s">
        <v>1695</v>
      </c>
      <c r="C138" t="s">
        <v>1696</v>
      </c>
      <c r="D138" t="s">
        <v>6299</v>
      </c>
      <c r="E138" t="s">
        <v>1697</v>
      </c>
      <c r="F138" t="s">
        <v>1698</v>
      </c>
      <c r="G138" t="s">
        <v>1699</v>
      </c>
      <c r="H138" t="s">
        <v>320</v>
      </c>
      <c r="I138">
        <v>11758</v>
      </c>
    </row>
    <row r="139" spans="1:9" x14ac:dyDescent="0.3">
      <c r="A139">
        <v>138</v>
      </c>
      <c r="B139" t="s">
        <v>1700</v>
      </c>
      <c r="C139" t="s">
        <v>1701</v>
      </c>
      <c r="D139" t="s">
        <v>1702</v>
      </c>
      <c r="E139" t="s">
        <v>1703</v>
      </c>
      <c r="F139" t="s">
        <v>1704</v>
      </c>
      <c r="G139" t="s">
        <v>1581</v>
      </c>
      <c r="H139" t="s">
        <v>314</v>
      </c>
      <c r="I139">
        <v>92806</v>
      </c>
    </row>
    <row r="140" spans="1:9" x14ac:dyDescent="0.3">
      <c r="A140">
        <v>139</v>
      </c>
      <c r="B140" t="s">
        <v>1705</v>
      </c>
      <c r="C140" t="s">
        <v>1706</v>
      </c>
      <c r="D140" t="s">
        <v>6299</v>
      </c>
      <c r="E140" t="s">
        <v>1707</v>
      </c>
      <c r="F140" t="s">
        <v>1708</v>
      </c>
      <c r="G140" t="s">
        <v>1709</v>
      </c>
      <c r="H140" t="s">
        <v>320</v>
      </c>
      <c r="I140">
        <v>10977</v>
      </c>
    </row>
    <row r="141" spans="1:9" x14ac:dyDescent="0.3">
      <c r="A141">
        <v>140</v>
      </c>
      <c r="B141" t="s">
        <v>1710</v>
      </c>
      <c r="C141" t="s">
        <v>1711</v>
      </c>
      <c r="D141" t="s">
        <v>6299</v>
      </c>
      <c r="E141" t="s">
        <v>1712</v>
      </c>
      <c r="F141" t="s">
        <v>1713</v>
      </c>
      <c r="G141" t="s">
        <v>1311</v>
      </c>
      <c r="H141" t="s">
        <v>320</v>
      </c>
      <c r="I141">
        <v>11369</v>
      </c>
    </row>
    <row r="142" spans="1:9" x14ac:dyDescent="0.3">
      <c r="A142">
        <v>141</v>
      </c>
      <c r="B142" t="s">
        <v>1714</v>
      </c>
      <c r="C142" t="s">
        <v>1715</v>
      </c>
      <c r="D142" t="s">
        <v>6299</v>
      </c>
      <c r="E142" t="s">
        <v>1716</v>
      </c>
      <c r="F142" t="s">
        <v>1717</v>
      </c>
      <c r="G142" t="s">
        <v>1718</v>
      </c>
      <c r="H142" t="s">
        <v>320</v>
      </c>
      <c r="I142">
        <v>11412</v>
      </c>
    </row>
    <row r="143" spans="1:9" x14ac:dyDescent="0.3">
      <c r="A143">
        <v>142</v>
      </c>
      <c r="B143" t="s">
        <v>1719</v>
      </c>
      <c r="C143" t="s">
        <v>1720</v>
      </c>
      <c r="D143" t="s">
        <v>6299</v>
      </c>
      <c r="E143" t="s">
        <v>1721</v>
      </c>
      <c r="F143" t="s">
        <v>1722</v>
      </c>
      <c r="G143" t="s">
        <v>1589</v>
      </c>
      <c r="H143" t="s">
        <v>320</v>
      </c>
      <c r="I143">
        <v>11552</v>
      </c>
    </row>
    <row r="144" spans="1:9" x14ac:dyDescent="0.3">
      <c r="A144">
        <v>143</v>
      </c>
      <c r="B144" t="s">
        <v>1723</v>
      </c>
      <c r="C144" t="s">
        <v>1724</v>
      </c>
      <c r="D144" t="s">
        <v>6299</v>
      </c>
      <c r="E144" t="s">
        <v>1725</v>
      </c>
      <c r="F144" t="s">
        <v>1726</v>
      </c>
      <c r="G144" t="s">
        <v>1096</v>
      </c>
      <c r="H144" t="s">
        <v>320</v>
      </c>
      <c r="I144">
        <v>11372</v>
      </c>
    </row>
    <row r="145" spans="1:9" x14ac:dyDescent="0.3">
      <c r="A145">
        <v>144</v>
      </c>
      <c r="B145" t="s">
        <v>1727</v>
      </c>
      <c r="C145" t="s">
        <v>1728</v>
      </c>
      <c r="D145" t="s">
        <v>6299</v>
      </c>
      <c r="E145" t="s">
        <v>1729</v>
      </c>
      <c r="F145" t="s">
        <v>1730</v>
      </c>
      <c r="G145" t="s">
        <v>1731</v>
      </c>
      <c r="H145" t="s">
        <v>320</v>
      </c>
      <c r="I145">
        <v>10573</v>
      </c>
    </row>
    <row r="146" spans="1:9" x14ac:dyDescent="0.3">
      <c r="A146">
        <v>145</v>
      </c>
      <c r="B146" t="s">
        <v>1732</v>
      </c>
      <c r="C146" t="s">
        <v>1733</v>
      </c>
      <c r="D146" t="s">
        <v>6299</v>
      </c>
      <c r="E146" t="s">
        <v>1734</v>
      </c>
      <c r="F146" t="s">
        <v>1735</v>
      </c>
      <c r="G146" t="s">
        <v>1736</v>
      </c>
      <c r="H146" t="s">
        <v>320</v>
      </c>
      <c r="I146">
        <v>10301</v>
      </c>
    </row>
    <row r="147" spans="1:9" x14ac:dyDescent="0.3">
      <c r="A147">
        <v>146</v>
      </c>
      <c r="B147" t="s">
        <v>1737</v>
      </c>
      <c r="C147" t="s">
        <v>1738</v>
      </c>
      <c r="D147" t="s">
        <v>6299</v>
      </c>
      <c r="E147" t="s">
        <v>1739</v>
      </c>
      <c r="F147" t="s">
        <v>1740</v>
      </c>
      <c r="G147" t="s">
        <v>1511</v>
      </c>
      <c r="H147" t="s">
        <v>320</v>
      </c>
      <c r="I147">
        <v>12866</v>
      </c>
    </row>
    <row r="148" spans="1:9" x14ac:dyDescent="0.3">
      <c r="A148">
        <v>147</v>
      </c>
      <c r="B148" t="s">
        <v>1741</v>
      </c>
      <c r="C148" t="s">
        <v>1742</v>
      </c>
      <c r="D148" t="s">
        <v>6299</v>
      </c>
      <c r="E148" t="s">
        <v>1743</v>
      </c>
      <c r="F148" t="s">
        <v>1744</v>
      </c>
      <c r="G148" t="s">
        <v>1745</v>
      </c>
      <c r="H148" t="s">
        <v>320</v>
      </c>
      <c r="I148">
        <v>11787</v>
      </c>
    </row>
    <row r="149" spans="1:9" x14ac:dyDescent="0.3">
      <c r="A149">
        <v>148</v>
      </c>
      <c r="B149" t="s">
        <v>1746</v>
      </c>
      <c r="C149" t="s">
        <v>1747</v>
      </c>
      <c r="D149" t="s">
        <v>6299</v>
      </c>
      <c r="E149" t="s">
        <v>1748</v>
      </c>
      <c r="F149" t="s">
        <v>1749</v>
      </c>
      <c r="G149" t="s">
        <v>1267</v>
      </c>
      <c r="H149" t="s">
        <v>320</v>
      </c>
      <c r="I149">
        <v>11418</v>
      </c>
    </row>
    <row r="150" spans="1:9" x14ac:dyDescent="0.3">
      <c r="A150">
        <v>149</v>
      </c>
      <c r="B150" t="s">
        <v>1750</v>
      </c>
      <c r="C150" t="s">
        <v>1751</v>
      </c>
      <c r="D150" t="s">
        <v>6299</v>
      </c>
      <c r="E150" t="s">
        <v>1752</v>
      </c>
      <c r="F150" t="s">
        <v>1753</v>
      </c>
      <c r="G150" t="s">
        <v>1709</v>
      </c>
      <c r="H150" t="s">
        <v>320</v>
      </c>
      <c r="I150">
        <v>10977</v>
      </c>
    </row>
    <row r="151" spans="1:9" x14ac:dyDescent="0.3">
      <c r="A151">
        <v>150</v>
      </c>
      <c r="B151" t="s">
        <v>1754</v>
      </c>
      <c r="C151" t="s">
        <v>1755</v>
      </c>
      <c r="D151" t="s">
        <v>6299</v>
      </c>
      <c r="E151" t="s">
        <v>1756</v>
      </c>
      <c r="F151" t="s">
        <v>1757</v>
      </c>
      <c r="G151" t="s">
        <v>1758</v>
      </c>
      <c r="H151" t="s">
        <v>320</v>
      </c>
      <c r="I151">
        <v>11743</v>
      </c>
    </row>
    <row r="152" spans="1:9" x14ac:dyDescent="0.3">
      <c r="A152">
        <v>151</v>
      </c>
      <c r="B152" t="s">
        <v>1759</v>
      </c>
      <c r="C152" t="s">
        <v>1760</v>
      </c>
      <c r="D152" t="s">
        <v>6299</v>
      </c>
      <c r="E152" t="s">
        <v>1761</v>
      </c>
      <c r="F152" t="s">
        <v>1762</v>
      </c>
      <c r="G152" t="s">
        <v>1176</v>
      </c>
      <c r="H152" t="s">
        <v>314</v>
      </c>
      <c r="I152">
        <v>95301</v>
      </c>
    </row>
    <row r="153" spans="1:9" x14ac:dyDescent="0.3">
      <c r="A153">
        <v>152</v>
      </c>
      <c r="B153" t="s">
        <v>1763</v>
      </c>
      <c r="C153" t="s">
        <v>1764</v>
      </c>
      <c r="D153" t="s">
        <v>6299</v>
      </c>
      <c r="E153" t="s">
        <v>1765</v>
      </c>
      <c r="F153" t="s">
        <v>1766</v>
      </c>
      <c r="G153" t="s">
        <v>1767</v>
      </c>
      <c r="H153" t="s">
        <v>320</v>
      </c>
      <c r="I153">
        <v>11803</v>
      </c>
    </row>
    <row r="154" spans="1:9" x14ac:dyDescent="0.3">
      <c r="A154">
        <v>153</v>
      </c>
      <c r="B154" t="s">
        <v>1768</v>
      </c>
      <c r="C154" t="s">
        <v>1769</v>
      </c>
      <c r="D154" t="s">
        <v>6299</v>
      </c>
      <c r="E154" t="s">
        <v>1770</v>
      </c>
      <c r="F154" t="s">
        <v>1771</v>
      </c>
      <c r="G154" t="s">
        <v>1353</v>
      </c>
      <c r="H154" t="s">
        <v>326</v>
      </c>
      <c r="I154">
        <v>76901</v>
      </c>
    </row>
    <row r="155" spans="1:9" x14ac:dyDescent="0.3">
      <c r="A155">
        <v>154</v>
      </c>
      <c r="B155" t="s">
        <v>1772</v>
      </c>
      <c r="C155" t="s">
        <v>1773</v>
      </c>
      <c r="D155" t="s">
        <v>6299</v>
      </c>
      <c r="E155" t="s">
        <v>1774</v>
      </c>
      <c r="F155" t="s">
        <v>1775</v>
      </c>
      <c r="G155" t="s">
        <v>1776</v>
      </c>
      <c r="H155" t="s">
        <v>326</v>
      </c>
      <c r="I155">
        <v>78023</v>
      </c>
    </row>
    <row r="156" spans="1:9" x14ac:dyDescent="0.3">
      <c r="A156">
        <v>155</v>
      </c>
      <c r="B156" t="s">
        <v>1777</v>
      </c>
      <c r="C156" t="s">
        <v>1778</v>
      </c>
      <c r="D156" t="s">
        <v>6299</v>
      </c>
      <c r="E156" t="s">
        <v>1779</v>
      </c>
      <c r="F156" t="s">
        <v>1780</v>
      </c>
      <c r="G156" t="s">
        <v>1781</v>
      </c>
      <c r="H156" t="s">
        <v>320</v>
      </c>
      <c r="I156">
        <v>11706</v>
      </c>
    </row>
    <row r="157" spans="1:9" x14ac:dyDescent="0.3">
      <c r="A157">
        <v>156</v>
      </c>
      <c r="B157" t="s">
        <v>1782</v>
      </c>
      <c r="C157" t="s">
        <v>1783</v>
      </c>
      <c r="D157" t="s">
        <v>6299</v>
      </c>
      <c r="E157" t="s">
        <v>1784</v>
      </c>
      <c r="F157" t="s">
        <v>1785</v>
      </c>
      <c r="G157" t="s">
        <v>1786</v>
      </c>
      <c r="H157" t="s">
        <v>320</v>
      </c>
      <c r="I157">
        <v>11795</v>
      </c>
    </row>
    <row r="158" spans="1:9" x14ac:dyDescent="0.3">
      <c r="A158">
        <v>157</v>
      </c>
      <c r="B158" t="s">
        <v>1787</v>
      </c>
      <c r="C158" t="s">
        <v>1788</v>
      </c>
      <c r="D158" t="s">
        <v>6299</v>
      </c>
      <c r="E158" t="s">
        <v>1789</v>
      </c>
      <c r="F158" t="s">
        <v>1790</v>
      </c>
      <c r="G158" t="s">
        <v>1791</v>
      </c>
      <c r="H158" t="s">
        <v>314</v>
      </c>
      <c r="I158">
        <v>92220</v>
      </c>
    </row>
    <row r="159" spans="1:9" x14ac:dyDescent="0.3">
      <c r="A159">
        <v>158</v>
      </c>
      <c r="B159" t="s">
        <v>1792</v>
      </c>
      <c r="C159" t="s">
        <v>1388</v>
      </c>
      <c r="D159" t="s">
        <v>6299</v>
      </c>
      <c r="E159" t="s">
        <v>1793</v>
      </c>
      <c r="F159" t="s">
        <v>1794</v>
      </c>
      <c r="G159" t="s">
        <v>1709</v>
      </c>
      <c r="H159" t="s">
        <v>320</v>
      </c>
      <c r="I159">
        <v>10977</v>
      </c>
    </row>
    <row r="160" spans="1:9" x14ac:dyDescent="0.3">
      <c r="A160">
        <v>159</v>
      </c>
      <c r="B160" t="s">
        <v>1795</v>
      </c>
      <c r="C160" t="s">
        <v>1796</v>
      </c>
      <c r="D160" t="s">
        <v>6299</v>
      </c>
      <c r="E160" t="s">
        <v>1797</v>
      </c>
      <c r="F160" t="s">
        <v>1798</v>
      </c>
      <c r="G160" t="s">
        <v>1377</v>
      </c>
      <c r="H160" t="s">
        <v>326</v>
      </c>
      <c r="I160">
        <v>75043</v>
      </c>
    </row>
    <row r="161" spans="1:9" x14ac:dyDescent="0.3">
      <c r="A161">
        <v>160</v>
      </c>
      <c r="B161" t="s">
        <v>1799</v>
      </c>
      <c r="C161" t="s">
        <v>1800</v>
      </c>
      <c r="D161" t="s">
        <v>6299</v>
      </c>
      <c r="E161" t="s">
        <v>1801</v>
      </c>
      <c r="F161" t="s">
        <v>1802</v>
      </c>
      <c r="G161" t="s">
        <v>325</v>
      </c>
      <c r="H161" t="s">
        <v>326</v>
      </c>
      <c r="I161">
        <v>75088</v>
      </c>
    </row>
    <row r="162" spans="1:9" x14ac:dyDescent="0.3">
      <c r="A162">
        <v>161</v>
      </c>
      <c r="B162" t="s">
        <v>1803</v>
      </c>
      <c r="C162" t="s">
        <v>1804</v>
      </c>
      <c r="D162" t="s">
        <v>6299</v>
      </c>
      <c r="E162" t="s">
        <v>1805</v>
      </c>
      <c r="F162" t="s">
        <v>1806</v>
      </c>
      <c r="G162" t="s">
        <v>1745</v>
      </c>
      <c r="H162" t="s">
        <v>320</v>
      </c>
      <c r="I162">
        <v>11787</v>
      </c>
    </row>
    <row r="163" spans="1:9" x14ac:dyDescent="0.3">
      <c r="A163">
        <v>162</v>
      </c>
      <c r="B163" t="s">
        <v>1807</v>
      </c>
      <c r="C163" t="s">
        <v>1808</v>
      </c>
      <c r="D163" t="s">
        <v>6299</v>
      </c>
      <c r="E163" t="s">
        <v>1809</v>
      </c>
      <c r="F163" t="s">
        <v>1810</v>
      </c>
      <c r="G163" t="s">
        <v>1651</v>
      </c>
      <c r="H163" t="s">
        <v>320</v>
      </c>
      <c r="I163">
        <v>12550</v>
      </c>
    </row>
    <row r="164" spans="1:9" x14ac:dyDescent="0.3">
      <c r="A164">
        <v>163</v>
      </c>
      <c r="B164" t="s">
        <v>1811</v>
      </c>
      <c r="C164" t="s">
        <v>1812</v>
      </c>
      <c r="D164" t="s">
        <v>6299</v>
      </c>
      <c r="E164" t="s">
        <v>1813</v>
      </c>
      <c r="F164" t="s">
        <v>1814</v>
      </c>
      <c r="G164" t="s">
        <v>1372</v>
      </c>
      <c r="H164" t="s">
        <v>320</v>
      </c>
      <c r="I164">
        <v>13440</v>
      </c>
    </row>
    <row r="165" spans="1:9" x14ac:dyDescent="0.3">
      <c r="A165">
        <v>164</v>
      </c>
      <c r="B165" t="s">
        <v>1815</v>
      </c>
      <c r="C165" t="s">
        <v>1816</v>
      </c>
      <c r="D165" t="s">
        <v>6299</v>
      </c>
      <c r="E165" t="s">
        <v>1817</v>
      </c>
      <c r="F165" t="s">
        <v>1818</v>
      </c>
      <c r="G165" t="s">
        <v>1819</v>
      </c>
      <c r="H165" t="s">
        <v>320</v>
      </c>
      <c r="I165">
        <v>11377</v>
      </c>
    </row>
    <row r="166" spans="1:9" x14ac:dyDescent="0.3">
      <c r="A166">
        <v>165</v>
      </c>
      <c r="B166" t="s">
        <v>1820</v>
      </c>
      <c r="C166" t="s">
        <v>1821</v>
      </c>
      <c r="D166" t="s">
        <v>1822</v>
      </c>
      <c r="E166" t="s">
        <v>1823</v>
      </c>
      <c r="F166" t="s">
        <v>1824</v>
      </c>
      <c r="G166" t="s">
        <v>1575</v>
      </c>
      <c r="H166" t="s">
        <v>314</v>
      </c>
      <c r="I166">
        <v>95127</v>
      </c>
    </row>
    <row r="167" spans="1:9" x14ac:dyDescent="0.3">
      <c r="A167">
        <v>166</v>
      </c>
      <c r="B167" t="s">
        <v>1825</v>
      </c>
      <c r="C167" t="s">
        <v>1826</v>
      </c>
      <c r="D167" t="s">
        <v>6299</v>
      </c>
      <c r="E167" t="s">
        <v>1827</v>
      </c>
      <c r="F167" t="s">
        <v>1828</v>
      </c>
      <c r="G167" t="s">
        <v>1555</v>
      </c>
      <c r="H167" t="s">
        <v>320</v>
      </c>
      <c r="I167">
        <v>11421</v>
      </c>
    </row>
    <row r="168" spans="1:9" x14ac:dyDescent="0.3">
      <c r="A168">
        <v>167</v>
      </c>
      <c r="B168" t="s">
        <v>1829</v>
      </c>
      <c r="C168" t="s">
        <v>1830</v>
      </c>
      <c r="D168" t="s">
        <v>6299</v>
      </c>
      <c r="E168" t="s">
        <v>1831</v>
      </c>
      <c r="F168" t="s">
        <v>1832</v>
      </c>
      <c r="G168" t="s">
        <v>1709</v>
      </c>
      <c r="H168" t="s">
        <v>320</v>
      </c>
      <c r="I168">
        <v>10977</v>
      </c>
    </row>
    <row r="169" spans="1:9" x14ac:dyDescent="0.3">
      <c r="A169">
        <v>168</v>
      </c>
      <c r="B169" t="s">
        <v>1833</v>
      </c>
      <c r="C169" t="s">
        <v>1233</v>
      </c>
      <c r="D169" t="s">
        <v>6299</v>
      </c>
      <c r="E169" t="s">
        <v>1834</v>
      </c>
      <c r="F169" t="s">
        <v>1835</v>
      </c>
      <c r="G169" t="s">
        <v>1836</v>
      </c>
      <c r="H169" t="s">
        <v>320</v>
      </c>
      <c r="I169">
        <v>11420</v>
      </c>
    </row>
    <row r="170" spans="1:9" x14ac:dyDescent="0.3">
      <c r="A170">
        <v>169</v>
      </c>
      <c r="B170" t="s">
        <v>1837</v>
      </c>
      <c r="C170" t="s">
        <v>1838</v>
      </c>
      <c r="D170" t="s">
        <v>6299</v>
      </c>
      <c r="E170" t="s">
        <v>1839</v>
      </c>
      <c r="F170" t="s">
        <v>1840</v>
      </c>
      <c r="G170" t="s">
        <v>1222</v>
      </c>
      <c r="H170" t="s">
        <v>314</v>
      </c>
      <c r="I170">
        <v>90274</v>
      </c>
    </row>
    <row r="171" spans="1:9" x14ac:dyDescent="0.3">
      <c r="A171">
        <v>170</v>
      </c>
      <c r="B171" t="s">
        <v>1841</v>
      </c>
      <c r="C171" t="s">
        <v>1842</v>
      </c>
      <c r="D171" t="s">
        <v>1843</v>
      </c>
      <c r="E171" t="s">
        <v>1844</v>
      </c>
      <c r="F171" t="s">
        <v>1845</v>
      </c>
      <c r="G171" t="s">
        <v>1846</v>
      </c>
      <c r="H171" t="s">
        <v>314</v>
      </c>
      <c r="I171">
        <v>93035</v>
      </c>
    </row>
    <row r="172" spans="1:9" x14ac:dyDescent="0.3">
      <c r="A172">
        <v>171</v>
      </c>
      <c r="B172" t="s">
        <v>1847</v>
      </c>
      <c r="C172" t="s">
        <v>1848</v>
      </c>
      <c r="D172" t="s">
        <v>6299</v>
      </c>
      <c r="E172" t="s">
        <v>1849</v>
      </c>
      <c r="F172" t="s">
        <v>1850</v>
      </c>
      <c r="G172" t="s">
        <v>1074</v>
      </c>
      <c r="H172" t="s">
        <v>320</v>
      </c>
      <c r="I172">
        <v>11553</v>
      </c>
    </row>
    <row r="173" spans="1:9" x14ac:dyDescent="0.3">
      <c r="A173">
        <v>172</v>
      </c>
      <c r="B173" t="s">
        <v>1851</v>
      </c>
      <c r="C173" t="s">
        <v>1384</v>
      </c>
      <c r="D173" t="s">
        <v>6299</v>
      </c>
      <c r="E173" t="s">
        <v>1852</v>
      </c>
      <c r="F173" t="s">
        <v>1853</v>
      </c>
      <c r="G173" t="s">
        <v>1854</v>
      </c>
      <c r="H173" t="s">
        <v>314</v>
      </c>
      <c r="I173">
        <v>95050</v>
      </c>
    </row>
    <row r="174" spans="1:9" x14ac:dyDescent="0.3">
      <c r="A174">
        <v>173</v>
      </c>
      <c r="B174" t="s">
        <v>1855</v>
      </c>
      <c r="C174" t="s">
        <v>1856</v>
      </c>
      <c r="D174" t="s">
        <v>6299</v>
      </c>
      <c r="E174" t="s">
        <v>1857</v>
      </c>
      <c r="F174" t="s">
        <v>1858</v>
      </c>
      <c r="G174" t="s">
        <v>1377</v>
      </c>
      <c r="H174" t="s">
        <v>326</v>
      </c>
      <c r="I174">
        <v>75043</v>
      </c>
    </row>
    <row r="175" spans="1:9" x14ac:dyDescent="0.3">
      <c r="A175">
        <v>174</v>
      </c>
      <c r="B175" t="s">
        <v>1859</v>
      </c>
      <c r="C175" t="s">
        <v>1860</v>
      </c>
      <c r="D175" t="s">
        <v>6299</v>
      </c>
      <c r="E175" t="s">
        <v>1861</v>
      </c>
      <c r="F175" t="s">
        <v>1862</v>
      </c>
      <c r="G175" t="s">
        <v>1142</v>
      </c>
      <c r="H175" t="s">
        <v>320</v>
      </c>
      <c r="I175">
        <v>10583</v>
      </c>
    </row>
    <row r="176" spans="1:9" x14ac:dyDescent="0.3">
      <c r="A176">
        <v>175</v>
      </c>
      <c r="B176" t="s">
        <v>1863</v>
      </c>
      <c r="C176" t="s">
        <v>1864</v>
      </c>
      <c r="D176" t="s">
        <v>6299</v>
      </c>
      <c r="E176" t="s">
        <v>1865</v>
      </c>
      <c r="F176" t="s">
        <v>1866</v>
      </c>
      <c r="G176" t="s">
        <v>1471</v>
      </c>
      <c r="H176" t="s">
        <v>314</v>
      </c>
      <c r="I176">
        <v>91010</v>
      </c>
    </row>
    <row r="177" spans="1:9" x14ac:dyDescent="0.3">
      <c r="A177">
        <v>176</v>
      </c>
      <c r="B177" t="s">
        <v>1867</v>
      </c>
      <c r="C177" t="s">
        <v>1868</v>
      </c>
      <c r="D177" t="s">
        <v>6299</v>
      </c>
      <c r="E177" t="s">
        <v>1869</v>
      </c>
      <c r="F177" t="s">
        <v>1870</v>
      </c>
      <c r="G177" t="s">
        <v>1404</v>
      </c>
      <c r="H177" t="s">
        <v>314</v>
      </c>
      <c r="I177">
        <v>91733</v>
      </c>
    </row>
    <row r="178" spans="1:9" x14ac:dyDescent="0.3">
      <c r="A178">
        <v>177</v>
      </c>
      <c r="B178" t="s">
        <v>1871</v>
      </c>
      <c r="C178" t="s">
        <v>1872</v>
      </c>
      <c r="D178" t="s">
        <v>6299</v>
      </c>
      <c r="E178" t="s">
        <v>1873</v>
      </c>
      <c r="F178" t="s">
        <v>1874</v>
      </c>
      <c r="G178" t="s">
        <v>1241</v>
      </c>
      <c r="H178" t="s">
        <v>320</v>
      </c>
      <c r="I178">
        <v>11378</v>
      </c>
    </row>
    <row r="179" spans="1:9" x14ac:dyDescent="0.3">
      <c r="A179">
        <v>178</v>
      </c>
      <c r="B179" t="s">
        <v>1097</v>
      </c>
      <c r="C179" t="s">
        <v>1875</v>
      </c>
      <c r="D179" t="s">
        <v>1876</v>
      </c>
      <c r="E179" t="s">
        <v>1877</v>
      </c>
      <c r="F179" t="s">
        <v>1878</v>
      </c>
      <c r="G179" t="s">
        <v>1137</v>
      </c>
      <c r="H179" t="s">
        <v>320</v>
      </c>
      <c r="I179">
        <v>10002</v>
      </c>
    </row>
    <row r="180" spans="1:9" x14ac:dyDescent="0.3">
      <c r="A180">
        <v>179</v>
      </c>
      <c r="B180" t="s">
        <v>1879</v>
      </c>
      <c r="C180" t="s">
        <v>1571</v>
      </c>
      <c r="D180" t="s">
        <v>6299</v>
      </c>
      <c r="E180" t="s">
        <v>1880</v>
      </c>
      <c r="F180" t="s">
        <v>1881</v>
      </c>
      <c r="G180" t="s">
        <v>1615</v>
      </c>
      <c r="H180" t="s">
        <v>320</v>
      </c>
      <c r="I180">
        <v>14534</v>
      </c>
    </row>
    <row r="181" spans="1:9" x14ac:dyDescent="0.3">
      <c r="A181">
        <v>180</v>
      </c>
      <c r="B181" t="s">
        <v>1882</v>
      </c>
      <c r="C181" t="s">
        <v>1883</v>
      </c>
      <c r="D181" t="s">
        <v>6299</v>
      </c>
      <c r="E181" t="s">
        <v>1884</v>
      </c>
      <c r="F181" t="s">
        <v>1885</v>
      </c>
      <c r="G181" t="s">
        <v>1496</v>
      </c>
      <c r="H181" t="s">
        <v>320</v>
      </c>
      <c r="I181">
        <v>11735</v>
      </c>
    </row>
    <row r="182" spans="1:9" x14ac:dyDescent="0.3">
      <c r="A182">
        <v>181</v>
      </c>
      <c r="B182" t="s">
        <v>1886</v>
      </c>
      <c r="C182" t="s">
        <v>1887</v>
      </c>
      <c r="D182" t="s">
        <v>6299</v>
      </c>
      <c r="E182" t="s">
        <v>1888</v>
      </c>
      <c r="F182" t="s">
        <v>1889</v>
      </c>
      <c r="G182" t="s">
        <v>1069</v>
      </c>
      <c r="H182" t="s">
        <v>314</v>
      </c>
      <c r="I182">
        <v>90278</v>
      </c>
    </row>
    <row r="183" spans="1:9" x14ac:dyDescent="0.3">
      <c r="A183">
        <v>182</v>
      </c>
      <c r="B183" t="s">
        <v>1890</v>
      </c>
      <c r="C183" t="s">
        <v>1473</v>
      </c>
      <c r="D183" t="s">
        <v>6299</v>
      </c>
      <c r="E183" t="s">
        <v>1891</v>
      </c>
      <c r="F183" t="s">
        <v>1892</v>
      </c>
      <c r="G183" t="s">
        <v>1781</v>
      </c>
      <c r="H183" t="s">
        <v>320</v>
      </c>
      <c r="I183">
        <v>11706</v>
      </c>
    </row>
    <row r="184" spans="1:9" x14ac:dyDescent="0.3">
      <c r="A184">
        <v>183</v>
      </c>
      <c r="B184" t="s">
        <v>1893</v>
      </c>
      <c r="C184" t="s">
        <v>1894</v>
      </c>
      <c r="D184" t="s">
        <v>6299</v>
      </c>
      <c r="E184" t="s">
        <v>1895</v>
      </c>
      <c r="F184" t="s">
        <v>1896</v>
      </c>
      <c r="G184" t="s">
        <v>1569</v>
      </c>
      <c r="H184" t="s">
        <v>320</v>
      </c>
      <c r="I184">
        <v>11001</v>
      </c>
    </row>
    <row r="185" spans="1:9" x14ac:dyDescent="0.3">
      <c r="A185">
        <v>184</v>
      </c>
      <c r="B185" t="s">
        <v>1897</v>
      </c>
      <c r="C185" t="s">
        <v>1340</v>
      </c>
      <c r="D185" t="s">
        <v>6299</v>
      </c>
      <c r="E185" t="s">
        <v>1898</v>
      </c>
      <c r="F185" t="s">
        <v>1899</v>
      </c>
      <c r="G185" t="s">
        <v>1900</v>
      </c>
      <c r="H185" t="s">
        <v>320</v>
      </c>
      <c r="I185">
        <v>14580</v>
      </c>
    </row>
    <row r="186" spans="1:9" x14ac:dyDescent="0.3">
      <c r="A186">
        <v>185</v>
      </c>
      <c r="B186" t="s">
        <v>1901</v>
      </c>
      <c r="C186" t="s">
        <v>1902</v>
      </c>
      <c r="D186" t="s">
        <v>6299</v>
      </c>
      <c r="E186" t="s">
        <v>1903</v>
      </c>
      <c r="F186" t="s">
        <v>1904</v>
      </c>
      <c r="G186" t="s">
        <v>1353</v>
      </c>
      <c r="H186" t="s">
        <v>326</v>
      </c>
      <c r="I186">
        <v>76901</v>
      </c>
    </row>
    <row r="187" spans="1:9" x14ac:dyDescent="0.3">
      <c r="A187">
        <v>186</v>
      </c>
      <c r="B187" t="s">
        <v>1905</v>
      </c>
      <c r="C187" t="s">
        <v>1906</v>
      </c>
      <c r="D187" t="s">
        <v>6299</v>
      </c>
      <c r="E187" t="s">
        <v>1907</v>
      </c>
      <c r="F187" t="s">
        <v>1908</v>
      </c>
      <c r="G187" t="s">
        <v>1110</v>
      </c>
      <c r="H187" t="s">
        <v>320</v>
      </c>
      <c r="I187">
        <v>10952</v>
      </c>
    </row>
    <row r="188" spans="1:9" x14ac:dyDescent="0.3">
      <c r="A188">
        <v>187</v>
      </c>
      <c r="B188" t="s">
        <v>1909</v>
      </c>
      <c r="C188" t="s">
        <v>1910</v>
      </c>
      <c r="D188" t="s">
        <v>6299</v>
      </c>
      <c r="E188" t="s">
        <v>1911</v>
      </c>
      <c r="F188" t="s">
        <v>1912</v>
      </c>
      <c r="G188" t="s">
        <v>1913</v>
      </c>
      <c r="H188" t="s">
        <v>314</v>
      </c>
      <c r="I188">
        <v>92307</v>
      </c>
    </row>
    <row r="189" spans="1:9" x14ac:dyDescent="0.3">
      <c r="A189">
        <v>188</v>
      </c>
      <c r="B189" t="s">
        <v>1914</v>
      </c>
      <c r="C189" t="s">
        <v>1915</v>
      </c>
      <c r="D189" t="s">
        <v>1916</v>
      </c>
      <c r="E189" t="s">
        <v>1917</v>
      </c>
      <c r="F189" t="s">
        <v>1918</v>
      </c>
      <c r="G189" t="s">
        <v>1846</v>
      </c>
      <c r="H189" t="s">
        <v>314</v>
      </c>
      <c r="I189">
        <v>93035</v>
      </c>
    </row>
    <row r="190" spans="1:9" x14ac:dyDescent="0.3">
      <c r="A190">
        <v>189</v>
      </c>
      <c r="B190" t="s">
        <v>1919</v>
      </c>
      <c r="C190" t="s">
        <v>1856</v>
      </c>
      <c r="D190" t="s">
        <v>6299</v>
      </c>
      <c r="E190" t="s">
        <v>1920</v>
      </c>
      <c r="F190" t="s">
        <v>1921</v>
      </c>
      <c r="G190" t="s">
        <v>1236</v>
      </c>
      <c r="H190" t="s">
        <v>320</v>
      </c>
      <c r="I190">
        <v>13090</v>
      </c>
    </row>
    <row r="191" spans="1:9" x14ac:dyDescent="0.3">
      <c r="A191">
        <v>190</v>
      </c>
      <c r="B191" t="s">
        <v>1922</v>
      </c>
      <c r="C191" t="s">
        <v>1923</v>
      </c>
      <c r="D191" t="s">
        <v>1924</v>
      </c>
      <c r="E191" t="s">
        <v>1925</v>
      </c>
      <c r="F191" t="s">
        <v>1926</v>
      </c>
      <c r="G191" t="s">
        <v>1187</v>
      </c>
      <c r="H191" t="s">
        <v>320</v>
      </c>
      <c r="I191">
        <v>11561</v>
      </c>
    </row>
    <row r="192" spans="1:9" x14ac:dyDescent="0.3">
      <c r="A192">
        <v>191</v>
      </c>
      <c r="B192" t="s">
        <v>1927</v>
      </c>
      <c r="C192" t="s">
        <v>1928</v>
      </c>
      <c r="D192" t="s">
        <v>1929</v>
      </c>
      <c r="E192" t="s">
        <v>1930</v>
      </c>
      <c r="F192" t="s">
        <v>1931</v>
      </c>
      <c r="G192" t="s">
        <v>1846</v>
      </c>
      <c r="H192" t="s">
        <v>314</v>
      </c>
      <c r="I192">
        <v>93035</v>
      </c>
    </row>
    <row r="193" spans="1:9" x14ac:dyDescent="0.3">
      <c r="A193">
        <v>192</v>
      </c>
      <c r="B193" t="s">
        <v>1932</v>
      </c>
      <c r="C193" t="s">
        <v>1933</v>
      </c>
      <c r="D193" t="s">
        <v>6299</v>
      </c>
      <c r="E193" t="s">
        <v>1934</v>
      </c>
      <c r="F193" t="s">
        <v>1935</v>
      </c>
      <c r="G193" t="s">
        <v>1206</v>
      </c>
      <c r="H193" t="s">
        <v>314</v>
      </c>
      <c r="I193">
        <v>90505</v>
      </c>
    </row>
    <row r="194" spans="1:9" x14ac:dyDescent="0.3">
      <c r="A194">
        <v>193</v>
      </c>
      <c r="B194" t="s">
        <v>1936</v>
      </c>
      <c r="C194" t="s">
        <v>1303</v>
      </c>
      <c r="D194" t="s">
        <v>6299</v>
      </c>
      <c r="E194" t="s">
        <v>1937</v>
      </c>
      <c r="F194" t="s">
        <v>1938</v>
      </c>
      <c r="G194" t="s">
        <v>1939</v>
      </c>
      <c r="H194" t="s">
        <v>320</v>
      </c>
      <c r="I194">
        <v>11801</v>
      </c>
    </row>
    <row r="195" spans="1:9" x14ac:dyDescent="0.3">
      <c r="A195">
        <v>194</v>
      </c>
      <c r="B195" t="s">
        <v>1940</v>
      </c>
      <c r="C195" t="s">
        <v>1941</v>
      </c>
      <c r="D195" t="s">
        <v>6299</v>
      </c>
      <c r="E195" t="s">
        <v>1942</v>
      </c>
      <c r="F195" t="s">
        <v>1943</v>
      </c>
      <c r="G195" t="s">
        <v>313</v>
      </c>
      <c r="H195" t="s">
        <v>314</v>
      </c>
      <c r="I195">
        <v>95060</v>
      </c>
    </row>
    <row r="196" spans="1:9" x14ac:dyDescent="0.3">
      <c r="A196">
        <v>195</v>
      </c>
      <c r="B196" t="s">
        <v>1944</v>
      </c>
      <c r="C196" t="s">
        <v>1945</v>
      </c>
      <c r="D196" t="s">
        <v>6299</v>
      </c>
      <c r="E196" t="s">
        <v>1946</v>
      </c>
      <c r="F196" t="s">
        <v>1947</v>
      </c>
      <c r="G196" t="s">
        <v>1485</v>
      </c>
      <c r="H196" t="s">
        <v>320</v>
      </c>
      <c r="I196">
        <v>11010</v>
      </c>
    </row>
    <row r="197" spans="1:9" x14ac:dyDescent="0.3">
      <c r="A197">
        <v>196</v>
      </c>
      <c r="B197" t="s">
        <v>1948</v>
      </c>
      <c r="C197" t="s">
        <v>1189</v>
      </c>
      <c r="D197" t="s">
        <v>6299</v>
      </c>
      <c r="E197" t="s">
        <v>1949</v>
      </c>
      <c r="F197" t="s">
        <v>1950</v>
      </c>
      <c r="G197" t="s">
        <v>1413</v>
      </c>
      <c r="H197" t="s">
        <v>320</v>
      </c>
      <c r="I197">
        <v>14120</v>
      </c>
    </row>
    <row r="198" spans="1:9" x14ac:dyDescent="0.3">
      <c r="A198">
        <v>197</v>
      </c>
      <c r="B198" t="s">
        <v>1951</v>
      </c>
      <c r="C198" t="s">
        <v>1952</v>
      </c>
      <c r="D198" t="s">
        <v>6299</v>
      </c>
      <c r="E198" t="s">
        <v>1953</v>
      </c>
      <c r="F198" t="s">
        <v>1954</v>
      </c>
      <c r="G198" t="s">
        <v>1955</v>
      </c>
      <c r="H198" t="s">
        <v>320</v>
      </c>
      <c r="I198">
        <v>11374</v>
      </c>
    </row>
    <row r="199" spans="1:9" x14ac:dyDescent="0.3">
      <c r="A199">
        <v>198</v>
      </c>
      <c r="B199" t="s">
        <v>1956</v>
      </c>
      <c r="C199" t="s">
        <v>1875</v>
      </c>
      <c r="D199" t="s">
        <v>6299</v>
      </c>
      <c r="E199" t="s">
        <v>1957</v>
      </c>
      <c r="F199" t="s">
        <v>1958</v>
      </c>
      <c r="G199" t="s">
        <v>1959</v>
      </c>
      <c r="H199" t="s">
        <v>326</v>
      </c>
      <c r="I199">
        <v>79106</v>
      </c>
    </row>
    <row r="200" spans="1:9" x14ac:dyDescent="0.3">
      <c r="A200">
        <v>199</v>
      </c>
      <c r="B200" t="s">
        <v>1960</v>
      </c>
      <c r="C200" t="s">
        <v>1961</v>
      </c>
      <c r="D200" t="s">
        <v>6299</v>
      </c>
      <c r="E200" t="s">
        <v>1962</v>
      </c>
      <c r="F200" t="s">
        <v>1963</v>
      </c>
      <c r="G200" t="s">
        <v>1964</v>
      </c>
      <c r="H200" t="s">
        <v>320</v>
      </c>
      <c r="I200">
        <v>12553</v>
      </c>
    </row>
    <row r="201" spans="1:9" x14ac:dyDescent="0.3">
      <c r="A201">
        <v>200</v>
      </c>
      <c r="B201" t="s">
        <v>1965</v>
      </c>
      <c r="C201" t="s">
        <v>1966</v>
      </c>
      <c r="D201" t="s">
        <v>6299</v>
      </c>
      <c r="E201" t="s">
        <v>1967</v>
      </c>
      <c r="F201" t="s">
        <v>1968</v>
      </c>
      <c r="G201" t="s">
        <v>1496</v>
      </c>
      <c r="H201" t="s">
        <v>320</v>
      </c>
      <c r="I201">
        <v>11735</v>
      </c>
    </row>
    <row r="202" spans="1:9" x14ac:dyDescent="0.3">
      <c r="A202">
        <v>201</v>
      </c>
      <c r="B202" t="s">
        <v>1969</v>
      </c>
      <c r="C202" t="s">
        <v>1970</v>
      </c>
      <c r="D202" t="s">
        <v>6299</v>
      </c>
      <c r="E202" t="s">
        <v>1971</v>
      </c>
      <c r="F202" t="s">
        <v>1972</v>
      </c>
      <c r="G202" t="s">
        <v>1973</v>
      </c>
      <c r="H202" t="s">
        <v>320</v>
      </c>
      <c r="I202">
        <v>12020</v>
      </c>
    </row>
    <row r="203" spans="1:9" x14ac:dyDescent="0.3">
      <c r="A203">
        <v>202</v>
      </c>
      <c r="B203" t="s">
        <v>1974</v>
      </c>
      <c r="C203" t="s">
        <v>1975</v>
      </c>
      <c r="D203" t="s">
        <v>1976</v>
      </c>
      <c r="E203" t="s">
        <v>1977</v>
      </c>
      <c r="F203" t="s">
        <v>1978</v>
      </c>
      <c r="G203" t="s">
        <v>1252</v>
      </c>
      <c r="H203" t="s">
        <v>320</v>
      </c>
      <c r="I203">
        <v>14086</v>
      </c>
    </row>
    <row r="204" spans="1:9" x14ac:dyDescent="0.3">
      <c r="A204">
        <v>203</v>
      </c>
      <c r="B204" t="s">
        <v>1979</v>
      </c>
      <c r="C204" t="s">
        <v>1980</v>
      </c>
      <c r="D204" t="s">
        <v>1981</v>
      </c>
      <c r="E204" t="s">
        <v>1982</v>
      </c>
      <c r="F204" t="s">
        <v>1983</v>
      </c>
      <c r="G204" t="s">
        <v>372</v>
      </c>
      <c r="H204" t="s">
        <v>326</v>
      </c>
      <c r="I204">
        <v>77016</v>
      </c>
    </row>
    <row r="205" spans="1:9" x14ac:dyDescent="0.3">
      <c r="A205">
        <v>204</v>
      </c>
      <c r="B205" t="s">
        <v>1984</v>
      </c>
      <c r="C205" t="s">
        <v>1985</v>
      </c>
      <c r="D205" t="s">
        <v>6299</v>
      </c>
      <c r="E205" t="s">
        <v>1986</v>
      </c>
      <c r="F205" t="s">
        <v>1987</v>
      </c>
      <c r="G205" t="s">
        <v>1343</v>
      </c>
      <c r="H205" t="s">
        <v>320</v>
      </c>
      <c r="I205">
        <v>11570</v>
      </c>
    </row>
    <row r="206" spans="1:9" x14ac:dyDescent="0.3">
      <c r="A206">
        <v>205</v>
      </c>
      <c r="B206" t="s">
        <v>1988</v>
      </c>
      <c r="C206" t="s">
        <v>1989</v>
      </c>
      <c r="D206" t="s">
        <v>6299</v>
      </c>
      <c r="E206" t="s">
        <v>1990</v>
      </c>
      <c r="F206" t="s">
        <v>1991</v>
      </c>
      <c r="G206" t="s">
        <v>1992</v>
      </c>
      <c r="H206" t="s">
        <v>320</v>
      </c>
      <c r="I206">
        <v>11432</v>
      </c>
    </row>
    <row r="207" spans="1:9" x14ac:dyDescent="0.3">
      <c r="A207">
        <v>206</v>
      </c>
      <c r="B207" t="s">
        <v>1993</v>
      </c>
      <c r="C207" t="s">
        <v>1994</v>
      </c>
      <c r="D207" t="s">
        <v>6299</v>
      </c>
      <c r="E207" t="s">
        <v>1995</v>
      </c>
      <c r="F207" t="s">
        <v>1996</v>
      </c>
      <c r="G207" t="s">
        <v>1997</v>
      </c>
      <c r="H207" t="s">
        <v>320</v>
      </c>
      <c r="I207">
        <v>11201</v>
      </c>
    </row>
    <row r="208" spans="1:9" x14ac:dyDescent="0.3">
      <c r="A208">
        <v>207</v>
      </c>
      <c r="B208" t="s">
        <v>1998</v>
      </c>
      <c r="C208" t="s">
        <v>1999</v>
      </c>
      <c r="D208" t="s">
        <v>6299</v>
      </c>
      <c r="E208" t="s">
        <v>2000</v>
      </c>
      <c r="F208" t="s">
        <v>2001</v>
      </c>
      <c r="G208" t="s">
        <v>1126</v>
      </c>
      <c r="H208" t="s">
        <v>326</v>
      </c>
      <c r="I208">
        <v>75126</v>
      </c>
    </row>
    <row r="209" spans="1:9" x14ac:dyDescent="0.3">
      <c r="A209">
        <v>208</v>
      </c>
      <c r="B209" t="s">
        <v>2002</v>
      </c>
      <c r="C209" t="s">
        <v>1482</v>
      </c>
      <c r="D209" t="s">
        <v>6299</v>
      </c>
      <c r="E209" t="s">
        <v>2003</v>
      </c>
      <c r="F209" t="s">
        <v>2004</v>
      </c>
      <c r="G209" t="s">
        <v>2005</v>
      </c>
      <c r="H209" t="s">
        <v>314</v>
      </c>
      <c r="I209">
        <v>93555</v>
      </c>
    </row>
    <row r="210" spans="1:9" x14ac:dyDescent="0.3">
      <c r="A210">
        <v>209</v>
      </c>
      <c r="B210" t="s">
        <v>2006</v>
      </c>
      <c r="C210" t="s">
        <v>2007</v>
      </c>
      <c r="D210" t="s">
        <v>6299</v>
      </c>
      <c r="E210" t="s">
        <v>2008</v>
      </c>
      <c r="F210" t="s">
        <v>2009</v>
      </c>
      <c r="G210" t="s">
        <v>2010</v>
      </c>
      <c r="H210" t="s">
        <v>320</v>
      </c>
      <c r="I210">
        <v>11784</v>
      </c>
    </row>
    <row r="211" spans="1:9" x14ac:dyDescent="0.3">
      <c r="A211">
        <v>210</v>
      </c>
      <c r="B211" t="s">
        <v>2011</v>
      </c>
      <c r="C211" t="s">
        <v>1679</v>
      </c>
      <c r="D211" t="s">
        <v>2012</v>
      </c>
      <c r="E211" t="s">
        <v>2013</v>
      </c>
      <c r="F211" t="s">
        <v>2014</v>
      </c>
      <c r="G211" t="s">
        <v>2015</v>
      </c>
      <c r="H211" t="s">
        <v>320</v>
      </c>
      <c r="I211">
        <v>12203</v>
      </c>
    </row>
    <row r="212" spans="1:9" x14ac:dyDescent="0.3">
      <c r="A212">
        <v>211</v>
      </c>
      <c r="B212" t="s">
        <v>2016</v>
      </c>
      <c r="C212" t="s">
        <v>1648</v>
      </c>
      <c r="D212" t="s">
        <v>6299</v>
      </c>
      <c r="E212" t="s">
        <v>2017</v>
      </c>
      <c r="F212" t="s">
        <v>2018</v>
      </c>
      <c r="G212" t="s">
        <v>1142</v>
      </c>
      <c r="H212" t="s">
        <v>320</v>
      </c>
      <c r="I212">
        <v>10583</v>
      </c>
    </row>
    <row r="213" spans="1:9" x14ac:dyDescent="0.3">
      <c r="A213">
        <v>212</v>
      </c>
      <c r="B213" t="s">
        <v>2019</v>
      </c>
      <c r="C213" t="s">
        <v>1424</v>
      </c>
      <c r="D213" t="s">
        <v>2020</v>
      </c>
      <c r="E213" t="s">
        <v>2021</v>
      </c>
      <c r="F213" t="s">
        <v>2022</v>
      </c>
      <c r="G213" t="s">
        <v>1502</v>
      </c>
      <c r="H213" t="s">
        <v>320</v>
      </c>
      <c r="I213">
        <v>12180</v>
      </c>
    </row>
    <row r="214" spans="1:9" x14ac:dyDescent="0.3">
      <c r="A214">
        <v>213</v>
      </c>
      <c r="B214" t="s">
        <v>2023</v>
      </c>
      <c r="C214" t="s">
        <v>2024</v>
      </c>
      <c r="D214" t="s">
        <v>6299</v>
      </c>
      <c r="E214" t="s">
        <v>2025</v>
      </c>
      <c r="F214" t="s">
        <v>2026</v>
      </c>
      <c r="G214" t="s">
        <v>1677</v>
      </c>
      <c r="H214" t="s">
        <v>320</v>
      </c>
      <c r="I214">
        <v>14075</v>
      </c>
    </row>
    <row r="215" spans="1:9" x14ac:dyDescent="0.3">
      <c r="A215">
        <v>214</v>
      </c>
      <c r="B215" t="s">
        <v>2027</v>
      </c>
      <c r="C215" t="s">
        <v>2028</v>
      </c>
      <c r="D215" t="s">
        <v>6299</v>
      </c>
      <c r="E215" t="s">
        <v>2029</v>
      </c>
      <c r="F215" t="s">
        <v>2030</v>
      </c>
      <c r="G215" t="s">
        <v>1413</v>
      </c>
      <c r="H215" t="s">
        <v>320</v>
      </c>
      <c r="I215">
        <v>14120</v>
      </c>
    </row>
    <row r="216" spans="1:9" x14ac:dyDescent="0.3">
      <c r="A216">
        <v>215</v>
      </c>
      <c r="B216" t="s">
        <v>2031</v>
      </c>
      <c r="C216" t="s">
        <v>2032</v>
      </c>
      <c r="D216" t="s">
        <v>6299</v>
      </c>
      <c r="E216" t="s">
        <v>2033</v>
      </c>
      <c r="F216" t="s">
        <v>2034</v>
      </c>
      <c r="G216" t="s">
        <v>2035</v>
      </c>
      <c r="H216" t="s">
        <v>320</v>
      </c>
      <c r="I216">
        <v>11357</v>
      </c>
    </row>
    <row r="217" spans="1:9" x14ac:dyDescent="0.3">
      <c r="A217">
        <v>216</v>
      </c>
      <c r="B217" t="s">
        <v>2036</v>
      </c>
      <c r="C217" t="s">
        <v>2037</v>
      </c>
      <c r="D217" t="s">
        <v>6299</v>
      </c>
      <c r="E217" t="s">
        <v>2038</v>
      </c>
      <c r="F217" t="s">
        <v>2039</v>
      </c>
      <c r="G217" t="s">
        <v>1282</v>
      </c>
      <c r="H217" t="s">
        <v>320</v>
      </c>
      <c r="I217">
        <v>11714</v>
      </c>
    </row>
    <row r="218" spans="1:9" x14ac:dyDescent="0.3">
      <c r="A218">
        <v>217</v>
      </c>
      <c r="B218" t="s">
        <v>2040</v>
      </c>
      <c r="C218" t="s">
        <v>2041</v>
      </c>
      <c r="D218" t="s">
        <v>2042</v>
      </c>
      <c r="E218" t="s">
        <v>2043</v>
      </c>
      <c r="F218" t="s">
        <v>2044</v>
      </c>
      <c r="G218" t="s">
        <v>1624</v>
      </c>
      <c r="H218" t="s">
        <v>314</v>
      </c>
      <c r="I218">
        <v>93706</v>
      </c>
    </row>
    <row r="219" spans="1:9" x14ac:dyDescent="0.3">
      <c r="A219">
        <v>218</v>
      </c>
      <c r="B219" t="s">
        <v>1397</v>
      </c>
      <c r="C219" t="s">
        <v>2045</v>
      </c>
      <c r="D219" t="s">
        <v>6299</v>
      </c>
      <c r="E219" t="s">
        <v>2046</v>
      </c>
      <c r="F219" t="s">
        <v>2047</v>
      </c>
      <c r="G219" t="s">
        <v>1100</v>
      </c>
      <c r="H219" t="s">
        <v>320</v>
      </c>
      <c r="I219">
        <v>11050</v>
      </c>
    </row>
    <row r="220" spans="1:9" x14ac:dyDescent="0.3">
      <c r="A220">
        <v>219</v>
      </c>
      <c r="B220" t="s">
        <v>2048</v>
      </c>
      <c r="C220" t="s">
        <v>2049</v>
      </c>
      <c r="D220" t="s">
        <v>2050</v>
      </c>
      <c r="E220" t="s">
        <v>2051</v>
      </c>
      <c r="F220" t="s">
        <v>2052</v>
      </c>
      <c r="G220" t="s">
        <v>2053</v>
      </c>
      <c r="H220" t="s">
        <v>320</v>
      </c>
      <c r="I220">
        <v>11572</v>
      </c>
    </row>
    <row r="221" spans="1:9" x14ac:dyDescent="0.3">
      <c r="A221">
        <v>220</v>
      </c>
      <c r="B221" t="s">
        <v>2054</v>
      </c>
      <c r="C221" t="s">
        <v>2055</v>
      </c>
      <c r="D221" t="s">
        <v>6299</v>
      </c>
      <c r="E221" t="s">
        <v>2056</v>
      </c>
      <c r="F221" t="s">
        <v>2057</v>
      </c>
      <c r="G221" t="s">
        <v>1745</v>
      </c>
      <c r="H221" t="s">
        <v>320</v>
      </c>
      <c r="I221">
        <v>11787</v>
      </c>
    </row>
    <row r="222" spans="1:9" x14ac:dyDescent="0.3">
      <c r="A222">
        <v>221</v>
      </c>
      <c r="B222" t="s">
        <v>2058</v>
      </c>
      <c r="C222" t="s">
        <v>2059</v>
      </c>
      <c r="D222" t="s">
        <v>6299</v>
      </c>
      <c r="E222" t="s">
        <v>2060</v>
      </c>
      <c r="F222" t="s">
        <v>2061</v>
      </c>
      <c r="G222" t="s">
        <v>2062</v>
      </c>
      <c r="H222" t="s">
        <v>326</v>
      </c>
      <c r="I222">
        <v>78501</v>
      </c>
    </row>
    <row r="223" spans="1:9" x14ac:dyDescent="0.3">
      <c r="A223">
        <v>222</v>
      </c>
      <c r="B223" t="s">
        <v>2063</v>
      </c>
      <c r="C223" t="s">
        <v>2064</v>
      </c>
      <c r="D223" t="s">
        <v>6299</v>
      </c>
      <c r="E223" t="s">
        <v>2065</v>
      </c>
      <c r="F223" t="s">
        <v>2066</v>
      </c>
      <c r="G223" t="s">
        <v>1166</v>
      </c>
      <c r="H223" t="s">
        <v>320</v>
      </c>
      <c r="I223">
        <v>11731</v>
      </c>
    </row>
    <row r="224" spans="1:9" x14ac:dyDescent="0.3">
      <c r="A224">
        <v>223</v>
      </c>
      <c r="B224" t="s">
        <v>2067</v>
      </c>
      <c r="C224" t="s">
        <v>2068</v>
      </c>
      <c r="D224" t="s">
        <v>6299</v>
      </c>
      <c r="E224" t="s">
        <v>2069</v>
      </c>
      <c r="F224" t="s">
        <v>2070</v>
      </c>
      <c r="G224" t="s">
        <v>2071</v>
      </c>
      <c r="H224" t="s">
        <v>320</v>
      </c>
      <c r="I224">
        <v>11772</v>
      </c>
    </row>
    <row r="225" spans="1:9" x14ac:dyDescent="0.3">
      <c r="A225">
        <v>224</v>
      </c>
      <c r="B225" t="s">
        <v>2072</v>
      </c>
      <c r="C225" t="s">
        <v>2073</v>
      </c>
      <c r="D225" t="s">
        <v>6299</v>
      </c>
      <c r="E225" t="s">
        <v>2074</v>
      </c>
      <c r="F225" t="s">
        <v>2075</v>
      </c>
      <c r="G225" t="s">
        <v>2076</v>
      </c>
      <c r="H225" t="s">
        <v>314</v>
      </c>
      <c r="I225">
        <v>90260</v>
      </c>
    </row>
    <row r="226" spans="1:9" x14ac:dyDescent="0.3">
      <c r="A226">
        <v>225</v>
      </c>
      <c r="B226" t="s">
        <v>2077</v>
      </c>
      <c r="C226" t="s">
        <v>2078</v>
      </c>
      <c r="D226" t="s">
        <v>6299</v>
      </c>
      <c r="E226" t="s">
        <v>2079</v>
      </c>
      <c r="F226" t="s">
        <v>2080</v>
      </c>
      <c r="G226" t="s">
        <v>1767</v>
      </c>
      <c r="H226" t="s">
        <v>320</v>
      </c>
      <c r="I226">
        <v>11803</v>
      </c>
    </row>
    <row r="227" spans="1:9" x14ac:dyDescent="0.3">
      <c r="A227">
        <v>226</v>
      </c>
      <c r="B227" t="s">
        <v>2081</v>
      </c>
      <c r="C227" t="s">
        <v>2082</v>
      </c>
      <c r="D227" t="s">
        <v>6299</v>
      </c>
      <c r="E227" t="s">
        <v>2083</v>
      </c>
      <c r="F227" t="s">
        <v>2084</v>
      </c>
      <c r="G227" t="s">
        <v>1267</v>
      </c>
      <c r="H227" t="s">
        <v>320</v>
      </c>
      <c r="I227">
        <v>11418</v>
      </c>
    </row>
    <row r="228" spans="1:9" x14ac:dyDescent="0.3">
      <c r="A228">
        <v>227</v>
      </c>
      <c r="B228" t="s">
        <v>2085</v>
      </c>
      <c r="C228" t="s">
        <v>2086</v>
      </c>
      <c r="D228" t="s">
        <v>6299</v>
      </c>
      <c r="E228" t="s">
        <v>2087</v>
      </c>
      <c r="F228" t="s">
        <v>2088</v>
      </c>
      <c r="G228" t="s">
        <v>2071</v>
      </c>
      <c r="H228" t="s">
        <v>320</v>
      </c>
      <c r="I228">
        <v>11772</v>
      </c>
    </row>
    <row r="229" spans="1:9" x14ac:dyDescent="0.3">
      <c r="A229">
        <v>228</v>
      </c>
      <c r="B229" t="s">
        <v>2089</v>
      </c>
      <c r="C229" t="s">
        <v>2090</v>
      </c>
      <c r="D229" t="s">
        <v>2091</v>
      </c>
      <c r="E229" t="s">
        <v>2092</v>
      </c>
      <c r="F229" t="s">
        <v>2093</v>
      </c>
      <c r="G229" t="s">
        <v>2094</v>
      </c>
      <c r="H229" t="s">
        <v>320</v>
      </c>
      <c r="I229">
        <v>11717</v>
      </c>
    </row>
    <row r="230" spans="1:9" x14ac:dyDescent="0.3">
      <c r="A230">
        <v>229</v>
      </c>
      <c r="B230" t="s">
        <v>2095</v>
      </c>
      <c r="C230" t="s">
        <v>2096</v>
      </c>
      <c r="D230" t="s">
        <v>6299</v>
      </c>
      <c r="E230" t="s">
        <v>2097</v>
      </c>
      <c r="F230" t="s">
        <v>2098</v>
      </c>
      <c r="G230" t="s">
        <v>2099</v>
      </c>
      <c r="H230" t="s">
        <v>320</v>
      </c>
      <c r="I230">
        <v>11741</v>
      </c>
    </row>
    <row r="231" spans="1:9" x14ac:dyDescent="0.3">
      <c r="A231">
        <v>230</v>
      </c>
      <c r="B231" t="s">
        <v>2100</v>
      </c>
      <c r="C231" t="s">
        <v>1144</v>
      </c>
      <c r="D231" t="s">
        <v>6299</v>
      </c>
      <c r="E231" t="s">
        <v>2101</v>
      </c>
      <c r="F231" t="s">
        <v>2102</v>
      </c>
      <c r="G231" t="s">
        <v>2103</v>
      </c>
      <c r="H231" t="s">
        <v>320</v>
      </c>
      <c r="I231">
        <v>11729</v>
      </c>
    </row>
    <row r="232" spans="1:9" x14ac:dyDescent="0.3">
      <c r="A232">
        <v>231</v>
      </c>
      <c r="B232" t="s">
        <v>2104</v>
      </c>
      <c r="C232" t="s">
        <v>2105</v>
      </c>
      <c r="D232" t="s">
        <v>2106</v>
      </c>
      <c r="E232" t="s">
        <v>2107</v>
      </c>
      <c r="F232" t="s">
        <v>2108</v>
      </c>
      <c r="G232" t="s">
        <v>1080</v>
      </c>
      <c r="H232" t="s">
        <v>314</v>
      </c>
      <c r="I232">
        <v>95820</v>
      </c>
    </row>
    <row r="233" spans="1:9" x14ac:dyDescent="0.3">
      <c r="A233">
        <v>232</v>
      </c>
      <c r="B233" t="s">
        <v>2109</v>
      </c>
      <c r="C233" t="s">
        <v>2110</v>
      </c>
      <c r="D233" t="s">
        <v>6299</v>
      </c>
      <c r="E233" t="s">
        <v>2111</v>
      </c>
      <c r="F233" t="s">
        <v>2112</v>
      </c>
      <c r="G233" t="s">
        <v>1606</v>
      </c>
      <c r="H233" t="s">
        <v>326</v>
      </c>
      <c r="I233">
        <v>76039</v>
      </c>
    </row>
    <row r="234" spans="1:9" x14ac:dyDescent="0.3">
      <c r="A234">
        <v>233</v>
      </c>
      <c r="B234" t="s">
        <v>2113</v>
      </c>
      <c r="C234" t="s">
        <v>2114</v>
      </c>
      <c r="D234" t="s">
        <v>6299</v>
      </c>
      <c r="E234" t="s">
        <v>2115</v>
      </c>
      <c r="F234" t="s">
        <v>2116</v>
      </c>
      <c r="G234" t="s">
        <v>1854</v>
      </c>
      <c r="H234" t="s">
        <v>314</v>
      </c>
      <c r="I234">
        <v>95050</v>
      </c>
    </row>
    <row r="235" spans="1:9" x14ac:dyDescent="0.3">
      <c r="A235">
        <v>234</v>
      </c>
      <c r="B235" t="s">
        <v>2117</v>
      </c>
      <c r="C235" t="s">
        <v>1988</v>
      </c>
      <c r="D235" t="s">
        <v>6299</v>
      </c>
      <c r="E235" t="s">
        <v>2118</v>
      </c>
      <c r="F235" t="s">
        <v>2119</v>
      </c>
      <c r="G235" t="s">
        <v>2120</v>
      </c>
      <c r="H235" t="s">
        <v>320</v>
      </c>
      <c r="I235">
        <v>11554</v>
      </c>
    </row>
    <row r="236" spans="1:9" x14ac:dyDescent="0.3">
      <c r="A236">
        <v>235</v>
      </c>
      <c r="B236" t="s">
        <v>1820</v>
      </c>
      <c r="C236" t="s">
        <v>2121</v>
      </c>
      <c r="D236" t="s">
        <v>6299</v>
      </c>
      <c r="E236" t="s">
        <v>2122</v>
      </c>
      <c r="F236" t="s">
        <v>2123</v>
      </c>
      <c r="G236" t="s">
        <v>1781</v>
      </c>
      <c r="H236" t="s">
        <v>320</v>
      </c>
      <c r="I236">
        <v>11706</v>
      </c>
    </row>
    <row r="237" spans="1:9" x14ac:dyDescent="0.3">
      <c r="A237">
        <v>236</v>
      </c>
      <c r="B237" t="s">
        <v>2124</v>
      </c>
      <c r="C237" t="s">
        <v>1952</v>
      </c>
      <c r="D237" t="s">
        <v>6299</v>
      </c>
      <c r="E237" t="s">
        <v>2125</v>
      </c>
      <c r="F237" t="s">
        <v>2126</v>
      </c>
      <c r="G237" t="s">
        <v>2010</v>
      </c>
      <c r="H237" t="s">
        <v>320</v>
      </c>
      <c r="I237">
        <v>11784</v>
      </c>
    </row>
    <row r="238" spans="1:9" x14ac:dyDescent="0.3">
      <c r="A238">
        <v>237</v>
      </c>
      <c r="B238" t="s">
        <v>2127</v>
      </c>
      <c r="C238" t="s">
        <v>2128</v>
      </c>
      <c r="D238" t="s">
        <v>6299</v>
      </c>
      <c r="E238" t="s">
        <v>2129</v>
      </c>
      <c r="F238" t="s">
        <v>2130</v>
      </c>
      <c r="G238" t="s">
        <v>1791</v>
      </c>
      <c r="H238" t="s">
        <v>314</v>
      </c>
      <c r="I238">
        <v>92220</v>
      </c>
    </row>
    <row r="239" spans="1:9" x14ac:dyDescent="0.3">
      <c r="A239">
        <v>238</v>
      </c>
      <c r="B239" t="s">
        <v>2131</v>
      </c>
      <c r="C239" t="s">
        <v>1816</v>
      </c>
      <c r="D239" t="s">
        <v>6299</v>
      </c>
      <c r="E239" t="s">
        <v>2132</v>
      </c>
      <c r="F239" t="s">
        <v>2133</v>
      </c>
      <c r="G239" t="s">
        <v>1632</v>
      </c>
      <c r="H239" t="s">
        <v>320</v>
      </c>
      <c r="I239">
        <v>11414</v>
      </c>
    </row>
    <row r="240" spans="1:9" x14ac:dyDescent="0.3">
      <c r="A240">
        <v>239</v>
      </c>
      <c r="B240" t="s">
        <v>2134</v>
      </c>
      <c r="C240" t="s">
        <v>2135</v>
      </c>
      <c r="D240" t="s">
        <v>6299</v>
      </c>
      <c r="E240" t="s">
        <v>2136</v>
      </c>
      <c r="F240" t="s">
        <v>2137</v>
      </c>
      <c r="G240" t="s">
        <v>2138</v>
      </c>
      <c r="H240" t="s">
        <v>314</v>
      </c>
      <c r="I240">
        <v>91387</v>
      </c>
    </row>
    <row r="241" spans="1:9" x14ac:dyDescent="0.3">
      <c r="A241">
        <v>240</v>
      </c>
      <c r="B241" t="s">
        <v>1611</v>
      </c>
      <c r="C241" t="s">
        <v>2139</v>
      </c>
      <c r="D241" t="s">
        <v>6299</v>
      </c>
      <c r="E241" t="s">
        <v>2140</v>
      </c>
      <c r="F241" t="s">
        <v>2141</v>
      </c>
      <c r="G241" t="s">
        <v>1791</v>
      </c>
      <c r="H241" t="s">
        <v>314</v>
      </c>
      <c r="I241">
        <v>92220</v>
      </c>
    </row>
    <row r="242" spans="1:9" x14ac:dyDescent="0.3">
      <c r="A242">
        <v>241</v>
      </c>
      <c r="B242" t="s">
        <v>2142</v>
      </c>
      <c r="C242" t="s">
        <v>1133</v>
      </c>
      <c r="D242" t="s">
        <v>6299</v>
      </c>
      <c r="E242" t="s">
        <v>2143</v>
      </c>
      <c r="F242" t="s">
        <v>2144</v>
      </c>
      <c r="G242" t="s">
        <v>1262</v>
      </c>
      <c r="H242" t="s">
        <v>320</v>
      </c>
      <c r="I242">
        <v>12804</v>
      </c>
    </row>
    <row r="243" spans="1:9" x14ac:dyDescent="0.3">
      <c r="A243">
        <v>242</v>
      </c>
      <c r="B243" t="s">
        <v>2145</v>
      </c>
      <c r="C243" t="s">
        <v>1535</v>
      </c>
      <c r="D243" t="s">
        <v>6299</v>
      </c>
      <c r="E243" t="s">
        <v>2146</v>
      </c>
      <c r="F243" t="s">
        <v>2147</v>
      </c>
      <c r="G243" t="s">
        <v>2138</v>
      </c>
      <c r="H243" t="s">
        <v>314</v>
      </c>
      <c r="I243">
        <v>91387</v>
      </c>
    </row>
    <row r="244" spans="1:9" x14ac:dyDescent="0.3">
      <c r="A244">
        <v>243</v>
      </c>
      <c r="B244" t="s">
        <v>2148</v>
      </c>
      <c r="C244" t="s">
        <v>2149</v>
      </c>
      <c r="D244" t="s">
        <v>6299</v>
      </c>
      <c r="E244" t="s">
        <v>2150</v>
      </c>
      <c r="F244" t="s">
        <v>2151</v>
      </c>
      <c r="G244" t="s">
        <v>1973</v>
      </c>
      <c r="H244" t="s">
        <v>320</v>
      </c>
      <c r="I244">
        <v>12020</v>
      </c>
    </row>
    <row r="245" spans="1:9" x14ac:dyDescent="0.3">
      <c r="A245">
        <v>244</v>
      </c>
      <c r="B245" t="s">
        <v>2152</v>
      </c>
      <c r="C245" t="s">
        <v>2153</v>
      </c>
      <c r="D245" t="s">
        <v>6299</v>
      </c>
      <c r="E245" t="s">
        <v>2154</v>
      </c>
      <c r="F245" t="s">
        <v>2155</v>
      </c>
      <c r="G245" t="s">
        <v>2156</v>
      </c>
      <c r="H245" t="s">
        <v>314</v>
      </c>
      <c r="I245">
        <v>94806</v>
      </c>
    </row>
    <row r="246" spans="1:9" x14ac:dyDescent="0.3">
      <c r="A246">
        <v>245</v>
      </c>
      <c r="B246" t="s">
        <v>2157</v>
      </c>
      <c r="C246" t="s">
        <v>2158</v>
      </c>
      <c r="D246" t="s">
        <v>6299</v>
      </c>
      <c r="E246" t="s">
        <v>2159</v>
      </c>
      <c r="F246" t="s">
        <v>2160</v>
      </c>
      <c r="G246" t="s">
        <v>1222</v>
      </c>
      <c r="H246" t="s">
        <v>314</v>
      </c>
      <c r="I246">
        <v>90274</v>
      </c>
    </row>
    <row r="247" spans="1:9" x14ac:dyDescent="0.3">
      <c r="A247">
        <v>246</v>
      </c>
      <c r="B247" t="s">
        <v>2161</v>
      </c>
      <c r="C247" t="s">
        <v>1401</v>
      </c>
      <c r="D247" t="s">
        <v>6299</v>
      </c>
      <c r="E247" t="s">
        <v>2162</v>
      </c>
      <c r="F247" t="s">
        <v>2163</v>
      </c>
      <c r="G247" t="s">
        <v>2164</v>
      </c>
      <c r="H247" t="s">
        <v>320</v>
      </c>
      <c r="I247">
        <v>14304</v>
      </c>
    </row>
    <row r="248" spans="1:9" x14ac:dyDescent="0.3">
      <c r="A248">
        <v>247</v>
      </c>
      <c r="B248" t="s">
        <v>2165</v>
      </c>
      <c r="C248" t="s">
        <v>2166</v>
      </c>
      <c r="D248" t="s">
        <v>6299</v>
      </c>
      <c r="E248" t="s">
        <v>2167</v>
      </c>
      <c r="F248" t="s">
        <v>2168</v>
      </c>
      <c r="G248" t="s">
        <v>1222</v>
      </c>
      <c r="H248" t="s">
        <v>314</v>
      </c>
      <c r="I248">
        <v>90274</v>
      </c>
    </row>
    <row r="249" spans="1:9" x14ac:dyDescent="0.3">
      <c r="A249">
        <v>248</v>
      </c>
      <c r="B249" t="s">
        <v>2169</v>
      </c>
      <c r="C249" t="s">
        <v>2045</v>
      </c>
      <c r="D249" t="s">
        <v>6299</v>
      </c>
      <c r="E249" t="s">
        <v>2170</v>
      </c>
      <c r="F249" t="s">
        <v>2171</v>
      </c>
      <c r="G249" t="s">
        <v>2062</v>
      </c>
      <c r="H249" t="s">
        <v>326</v>
      </c>
      <c r="I249">
        <v>78501</v>
      </c>
    </row>
    <row r="250" spans="1:9" x14ac:dyDescent="0.3">
      <c r="A250">
        <v>249</v>
      </c>
      <c r="B250" t="s">
        <v>2172</v>
      </c>
      <c r="C250" t="s">
        <v>2173</v>
      </c>
      <c r="D250" t="s">
        <v>6299</v>
      </c>
      <c r="E250" t="s">
        <v>2174</v>
      </c>
      <c r="F250" t="s">
        <v>2175</v>
      </c>
      <c r="G250" t="s">
        <v>1197</v>
      </c>
      <c r="H250" t="s">
        <v>320</v>
      </c>
      <c r="I250">
        <v>10562</v>
      </c>
    </row>
    <row r="251" spans="1:9" x14ac:dyDescent="0.3">
      <c r="A251">
        <v>250</v>
      </c>
      <c r="B251" t="s">
        <v>2176</v>
      </c>
      <c r="C251" t="s">
        <v>1318</v>
      </c>
      <c r="D251" t="s">
        <v>2177</v>
      </c>
      <c r="E251" t="s">
        <v>2178</v>
      </c>
      <c r="F251" t="s">
        <v>2179</v>
      </c>
      <c r="G251" t="s">
        <v>2180</v>
      </c>
      <c r="H251" t="s">
        <v>326</v>
      </c>
      <c r="I251">
        <v>79930</v>
      </c>
    </row>
    <row r="252" spans="1:9" x14ac:dyDescent="0.3">
      <c r="A252">
        <v>251</v>
      </c>
      <c r="B252" t="s">
        <v>2181</v>
      </c>
      <c r="C252" t="s">
        <v>1788</v>
      </c>
      <c r="D252" t="s">
        <v>6299</v>
      </c>
      <c r="E252" t="s">
        <v>2182</v>
      </c>
      <c r="F252" t="s">
        <v>2183</v>
      </c>
      <c r="G252" t="s">
        <v>1973</v>
      </c>
      <c r="H252" t="s">
        <v>320</v>
      </c>
      <c r="I252">
        <v>12020</v>
      </c>
    </row>
    <row r="253" spans="1:9" x14ac:dyDescent="0.3">
      <c r="A253">
        <v>252</v>
      </c>
      <c r="B253" t="s">
        <v>2184</v>
      </c>
      <c r="C253" t="s">
        <v>2185</v>
      </c>
      <c r="D253" t="s">
        <v>6299</v>
      </c>
      <c r="E253" t="s">
        <v>2186</v>
      </c>
      <c r="F253" t="s">
        <v>2187</v>
      </c>
      <c r="G253" t="s">
        <v>1267</v>
      </c>
      <c r="H253" t="s">
        <v>320</v>
      </c>
      <c r="I253">
        <v>11418</v>
      </c>
    </row>
    <row r="254" spans="1:9" x14ac:dyDescent="0.3">
      <c r="A254">
        <v>253</v>
      </c>
      <c r="B254" t="s">
        <v>2188</v>
      </c>
      <c r="C254" t="s">
        <v>2189</v>
      </c>
      <c r="D254" t="s">
        <v>6299</v>
      </c>
      <c r="E254" t="s">
        <v>2190</v>
      </c>
      <c r="F254" t="s">
        <v>2191</v>
      </c>
      <c r="G254" t="s">
        <v>1176</v>
      </c>
      <c r="H254" t="s">
        <v>314</v>
      </c>
      <c r="I254">
        <v>95301</v>
      </c>
    </row>
    <row r="255" spans="1:9" x14ac:dyDescent="0.3">
      <c r="A255">
        <v>254</v>
      </c>
      <c r="B255" t="s">
        <v>2192</v>
      </c>
      <c r="C255" t="s">
        <v>2193</v>
      </c>
      <c r="D255" t="s">
        <v>6299</v>
      </c>
      <c r="E255" t="s">
        <v>2194</v>
      </c>
      <c r="F255" t="s">
        <v>2195</v>
      </c>
      <c r="G255" t="s">
        <v>2076</v>
      </c>
      <c r="H255" t="s">
        <v>314</v>
      </c>
      <c r="I255">
        <v>90260</v>
      </c>
    </row>
    <row r="256" spans="1:9" x14ac:dyDescent="0.3">
      <c r="A256">
        <v>255</v>
      </c>
      <c r="B256" t="s">
        <v>2196</v>
      </c>
      <c r="C256" t="s">
        <v>2197</v>
      </c>
      <c r="D256" t="s">
        <v>6299</v>
      </c>
      <c r="E256" t="s">
        <v>2198</v>
      </c>
      <c r="F256" t="s">
        <v>2199</v>
      </c>
      <c r="G256" t="s">
        <v>2200</v>
      </c>
      <c r="H256" t="s">
        <v>320</v>
      </c>
      <c r="I256">
        <v>11762</v>
      </c>
    </row>
    <row r="257" spans="1:9" x14ac:dyDescent="0.3">
      <c r="A257">
        <v>256</v>
      </c>
      <c r="B257" t="s">
        <v>2201</v>
      </c>
      <c r="C257" t="s">
        <v>2202</v>
      </c>
      <c r="D257" t="s">
        <v>6299</v>
      </c>
      <c r="E257" t="s">
        <v>2203</v>
      </c>
      <c r="F257" t="s">
        <v>2204</v>
      </c>
      <c r="G257" t="s">
        <v>1306</v>
      </c>
      <c r="H257" t="s">
        <v>320</v>
      </c>
      <c r="I257">
        <v>11566</v>
      </c>
    </row>
    <row r="258" spans="1:9" x14ac:dyDescent="0.3">
      <c r="A258">
        <v>257</v>
      </c>
      <c r="B258" t="s">
        <v>2205</v>
      </c>
      <c r="C258" t="s">
        <v>1340</v>
      </c>
      <c r="D258" t="s">
        <v>6299</v>
      </c>
      <c r="E258" t="s">
        <v>2206</v>
      </c>
      <c r="F258" t="s">
        <v>2207</v>
      </c>
      <c r="G258" t="s">
        <v>1560</v>
      </c>
      <c r="H258" t="s">
        <v>320</v>
      </c>
      <c r="I258">
        <v>11373</v>
      </c>
    </row>
    <row r="259" spans="1:9" x14ac:dyDescent="0.3">
      <c r="A259">
        <v>258</v>
      </c>
      <c r="B259" t="s">
        <v>2208</v>
      </c>
      <c r="C259" t="s">
        <v>1608</v>
      </c>
      <c r="D259" t="s">
        <v>6299</v>
      </c>
      <c r="E259" t="s">
        <v>2209</v>
      </c>
      <c r="F259" t="s">
        <v>2210</v>
      </c>
      <c r="G259" t="s">
        <v>1206</v>
      </c>
      <c r="H259" t="s">
        <v>314</v>
      </c>
      <c r="I259">
        <v>90505</v>
      </c>
    </row>
    <row r="260" spans="1:9" x14ac:dyDescent="0.3">
      <c r="A260">
        <v>259</v>
      </c>
      <c r="B260" t="s">
        <v>2211</v>
      </c>
      <c r="C260" t="s">
        <v>2212</v>
      </c>
      <c r="D260" t="s">
        <v>6299</v>
      </c>
      <c r="E260" t="s">
        <v>2213</v>
      </c>
      <c r="F260" t="s">
        <v>2214</v>
      </c>
      <c r="G260" t="s">
        <v>2215</v>
      </c>
      <c r="H260" t="s">
        <v>314</v>
      </c>
      <c r="I260">
        <v>94566</v>
      </c>
    </row>
    <row r="261" spans="1:9" x14ac:dyDescent="0.3">
      <c r="A261">
        <v>260</v>
      </c>
      <c r="B261" t="s">
        <v>2216</v>
      </c>
      <c r="C261" t="s">
        <v>2217</v>
      </c>
      <c r="D261" t="s">
        <v>6299</v>
      </c>
      <c r="E261" t="s">
        <v>2218</v>
      </c>
      <c r="F261" t="s">
        <v>2219</v>
      </c>
      <c r="G261" t="s">
        <v>2138</v>
      </c>
      <c r="H261" t="s">
        <v>314</v>
      </c>
      <c r="I261">
        <v>91387</v>
      </c>
    </row>
    <row r="262" spans="1:9" x14ac:dyDescent="0.3">
      <c r="A262">
        <v>261</v>
      </c>
      <c r="B262" t="s">
        <v>2220</v>
      </c>
      <c r="C262" t="s">
        <v>2221</v>
      </c>
      <c r="D262" t="s">
        <v>6299</v>
      </c>
      <c r="E262" t="s">
        <v>2222</v>
      </c>
      <c r="F262" t="s">
        <v>2223</v>
      </c>
      <c r="G262" t="s">
        <v>1217</v>
      </c>
      <c r="H262" t="s">
        <v>314</v>
      </c>
      <c r="I262">
        <v>92831</v>
      </c>
    </row>
    <row r="263" spans="1:9" x14ac:dyDescent="0.3">
      <c r="A263">
        <v>262</v>
      </c>
      <c r="B263" t="s">
        <v>2224</v>
      </c>
      <c r="C263" t="s">
        <v>1980</v>
      </c>
      <c r="D263" t="s">
        <v>2225</v>
      </c>
      <c r="E263" t="s">
        <v>2226</v>
      </c>
      <c r="F263" t="s">
        <v>2227</v>
      </c>
      <c r="G263" t="s">
        <v>1091</v>
      </c>
      <c r="H263" t="s">
        <v>320</v>
      </c>
      <c r="I263">
        <v>14215</v>
      </c>
    </row>
    <row r="264" spans="1:9" x14ac:dyDescent="0.3">
      <c r="A264">
        <v>263</v>
      </c>
      <c r="B264" t="s">
        <v>2228</v>
      </c>
      <c r="C264" t="s">
        <v>2229</v>
      </c>
      <c r="D264" t="s">
        <v>2230</v>
      </c>
      <c r="E264" t="s">
        <v>2231</v>
      </c>
      <c r="F264" t="s">
        <v>2232</v>
      </c>
      <c r="G264" t="s">
        <v>2053</v>
      </c>
      <c r="H264" t="s">
        <v>320</v>
      </c>
      <c r="I264">
        <v>11572</v>
      </c>
    </row>
    <row r="265" spans="1:9" x14ac:dyDescent="0.3">
      <c r="A265">
        <v>264</v>
      </c>
      <c r="B265" t="s">
        <v>2233</v>
      </c>
      <c r="C265" t="s">
        <v>2234</v>
      </c>
      <c r="D265" t="s">
        <v>6299</v>
      </c>
      <c r="E265" t="s">
        <v>2235</v>
      </c>
      <c r="F265" t="s">
        <v>2236</v>
      </c>
      <c r="G265" t="s">
        <v>2237</v>
      </c>
      <c r="H265" t="s">
        <v>320</v>
      </c>
      <c r="I265">
        <v>11530</v>
      </c>
    </row>
    <row r="266" spans="1:9" x14ac:dyDescent="0.3">
      <c r="A266">
        <v>265</v>
      </c>
      <c r="B266" t="s">
        <v>2238</v>
      </c>
      <c r="C266" t="s">
        <v>2239</v>
      </c>
      <c r="D266" t="s">
        <v>6299</v>
      </c>
      <c r="E266" t="s">
        <v>2240</v>
      </c>
      <c r="F266" t="s">
        <v>2241</v>
      </c>
      <c r="G266" t="s">
        <v>1339</v>
      </c>
      <c r="H266" t="s">
        <v>320</v>
      </c>
      <c r="I266">
        <v>11722</v>
      </c>
    </row>
    <row r="267" spans="1:9" x14ac:dyDescent="0.3">
      <c r="A267">
        <v>266</v>
      </c>
      <c r="B267" t="s">
        <v>2242</v>
      </c>
      <c r="C267" t="s">
        <v>2243</v>
      </c>
      <c r="D267" t="s">
        <v>6299</v>
      </c>
      <c r="E267" t="s">
        <v>2244</v>
      </c>
      <c r="F267" t="s">
        <v>2245</v>
      </c>
      <c r="G267" t="s">
        <v>1277</v>
      </c>
      <c r="H267" t="s">
        <v>320</v>
      </c>
      <c r="I267">
        <v>11003</v>
      </c>
    </row>
    <row r="268" spans="1:9" x14ac:dyDescent="0.3">
      <c r="A268">
        <v>267</v>
      </c>
      <c r="B268" t="s">
        <v>2246</v>
      </c>
      <c r="C268" t="s">
        <v>2247</v>
      </c>
      <c r="D268" t="s">
        <v>6299</v>
      </c>
      <c r="E268" t="s">
        <v>2248</v>
      </c>
      <c r="F268" t="s">
        <v>2249</v>
      </c>
      <c r="G268" t="s">
        <v>1913</v>
      </c>
      <c r="H268" t="s">
        <v>314</v>
      </c>
      <c r="I268">
        <v>92307</v>
      </c>
    </row>
    <row r="269" spans="1:9" x14ac:dyDescent="0.3">
      <c r="A269">
        <v>268</v>
      </c>
      <c r="B269" t="s">
        <v>2250</v>
      </c>
      <c r="C269" t="s">
        <v>1994</v>
      </c>
      <c r="D269" t="s">
        <v>6299</v>
      </c>
      <c r="E269" t="s">
        <v>2251</v>
      </c>
      <c r="F269" t="s">
        <v>2252</v>
      </c>
      <c r="G269" t="s">
        <v>1973</v>
      </c>
      <c r="H269" t="s">
        <v>320</v>
      </c>
      <c r="I269">
        <v>12020</v>
      </c>
    </row>
    <row r="270" spans="1:9" x14ac:dyDescent="0.3">
      <c r="A270">
        <v>269</v>
      </c>
      <c r="B270" t="s">
        <v>2253</v>
      </c>
      <c r="C270" t="s">
        <v>2254</v>
      </c>
      <c r="D270" t="s">
        <v>6299</v>
      </c>
      <c r="E270" t="s">
        <v>2255</v>
      </c>
      <c r="F270" t="s">
        <v>2256</v>
      </c>
      <c r="G270" t="s">
        <v>2257</v>
      </c>
      <c r="H270" t="s">
        <v>320</v>
      </c>
      <c r="I270">
        <v>11710</v>
      </c>
    </row>
    <row r="271" spans="1:9" x14ac:dyDescent="0.3">
      <c r="A271">
        <v>270</v>
      </c>
      <c r="B271" t="s">
        <v>2258</v>
      </c>
      <c r="C271" t="s">
        <v>2259</v>
      </c>
      <c r="D271" t="s">
        <v>6299</v>
      </c>
      <c r="E271" t="s">
        <v>2260</v>
      </c>
      <c r="F271" t="s">
        <v>2261</v>
      </c>
      <c r="G271" t="s">
        <v>2262</v>
      </c>
      <c r="H271" t="s">
        <v>320</v>
      </c>
      <c r="I271">
        <v>12401</v>
      </c>
    </row>
    <row r="272" spans="1:9" x14ac:dyDescent="0.3">
      <c r="A272">
        <v>271</v>
      </c>
      <c r="B272" t="s">
        <v>2263</v>
      </c>
      <c r="C272" t="s">
        <v>2264</v>
      </c>
      <c r="D272" t="s">
        <v>6299</v>
      </c>
      <c r="E272" t="s">
        <v>2265</v>
      </c>
      <c r="F272" t="s">
        <v>2266</v>
      </c>
      <c r="G272" t="s">
        <v>1121</v>
      </c>
      <c r="H272" t="s">
        <v>326</v>
      </c>
      <c r="I272">
        <v>75604</v>
      </c>
    </row>
    <row r="273" spans="1:9" x14ac:dyDescent="0.3">
      <c r="A273">
        <v>272</v>
      </c>
      <c r="B273" t="s">
        <v>2267</v>
      </c>
      <c r="C273" t="s">
        <v>2268</v>
      </c>
      <c r="D273" t="s">
        <v>6299</v>
      </c>
      <c r="E273" t="s">
        <v>2269</v>
      </c>
      <c r="F273" t="s">
        <v>2270</v>
      </c>
      <c r="G273" t="s">
        <v>1992</v>
      </c>
      <c r="H273" t="s">
        <v>320</v>
      </c>
      <c r="I273">
        <v>11432</v>
      </c>
    </row>
    <row r="274" spans="1:9" x14ac:dyDescent="0.3">
      <c r="A274">
        <v>273</v>
      </c>
      <c r="B274" t="s">
        <v>2271</v>
      </c>
      <c r="C274" t="s">
        <v>2272</v>
      </c>
      <c r="D274" t="s">
        <v>6299</v>
      </c>
      <c r="E274" t="s">
        <v>2273</v>
      </c>
      <c r="F274" t="s">
        <v>2274</v>
      </c>
      <c r="G274" t="s">
        <v>2275</v>
      </c>
      <c r="H274" t="s">
        <v>320</v>
      </c>
      <c r="I274">
        <v>11417</v>
      </c>
    </row>
    <row r="275" spans="1:9" x14ac:dyDescent="0.3">
      <c r="A275">
        <v>274</v>
      </c>
      <c r="B275" t="s">
        <v>2276</v>
      </c>
      <c r="C275" t="s">
        <v>2277</v>
      </c>
      <c r="D275" t="s">
        <v>6299</v>
      </c>
      <c r="E275" t="s">
        <v>2278</v>
      </c>
      <c r="F275" t="s">
        <v>2279</v>
      </c>
      <c r="G275" t="s">
        <v>2280</v>
      </c>
      <c r="H275" t="s">
        <v>320</v>
      </c>
      <c r="I275">
        <v>12533</v>
      </c>
    </row>
    <row r="276" spans="1:9" x14ac:dyDescent="0.3">
      <c r="A276">
        <v>275</v>
      </c>
      <c r="B276" t="s">
        <v>2281</v>
      </c>
      <c r="C276" t="s">
        <v>1384</v>
      </c>
      <c r="D276" t="s">
        <v>6299</v>
      </c>
      <c r="E276" t="s">
        <v>2282</v>
      </c>
      <c r="F276" t="s">
        <v>2283</v>
      </c>
      <c r="G276" t="s">
        <v>1353</v>
      </c>
      <c r="H276" t="s">
        <v>326</v>
      </c>
      <c r="I276">
        <v>76901</v>
      </c>
    </row>
    <row r="277" spans="1:9" x14ac:dyDescent="0.3">
      <c r="A277">
        <v>276</v>
      </c>
      <c r="B277" t="s">
        <v>2284</v>
      </c>
      <c r="C277" t="s">
        <v>2285</v>
      </c>
      <c r="D277" t="s">
        <v>6299</v>
      </c>
      <c r="E277" t="s">
        <v>2286</v>
      </c>
      <c r="F277" t="s">
        <v>2287</v>
      </c>
      <c r="G277" t="s">
        <v>2288</v>
      </c>
      <c r="H277" t="s">
        <v>320</v>
      </c>
      <c r="I277">
        <v>11779</v>
      </c>
    </row>
    <row r="278" spans="1:9" x14ac:dyDescent="0.3">
      <c r="A278">
        <v>277</v>
      </c>
      <c r="B278" t="s">
        <v>2289</v>
      </c>
      <c r="C278" t="s">
        <v>2290</v>
      </c>
      <c r="D278" t="s">
        <v>6299</v>
      </c>
      <c r="E278" t="s">
        <v>2291</v>
      </c>
      <c r="F278" t="s">
        <v>2292</v>
      </c>
      <c r="G278" t="s">
        <v>1105</v>
      </c>
      <c r="H278" t="s">
        <v>320</v>
      </c>
      <c r="I278">
        <v>10950</v>
      </c>
    </row>
    <row r="279" spans="1:9" x14ac:dyDescent="0.3">
      <c r="A279">
        <v>278</v>
      </c>
      <c r="B279" t="s">
        <v>2293</v>
      </c>
      <c r="C279" t="s">
        <v>2294</v>
      </c>
      <c r="D279" t="s">
        <v>6299</v>
      </c>
      <c r="E279" t="s">
        <v>2295</v>
      </c>
      <c r="F279" t="s">
        <v>2296</v>
      </c>
      <c r="G279" t="s">
        <v>1064</v>
      </c>
      <c r="H279" t="s">
        <v>314</v>
      </c>
      <c r="I279">
        <v>95008</v>
      </c>
    </row>
    <row r="280" spans="1:9" x14ac:dyDescent="0.3">
      <c r="A280">
        <v>279</v>
      </c>
      <c r="B280" t="s">
        <v>2297</v>
      </c>
      <c r="C280" t="s">
        <v>2298</v>
      </c>
      <c r="D280" t="s">
        <v>6299</v>
      </c>
      <c r="E280" t="s">
        <v>2299</v>
      </c>
      <c r="F280" t="s">
        <v>2300</v>
      </c>
      <c r="G280" t="s">
        <v>1404</v>
      </c>
      <c r="H280" t="s">
        <v>314</v>
      </c>
      <c r="I280">
        <v>91733</v>
      </c>
    </row>
    <row r="281" spans="1:9" x14ac:dyDescent="0.3">
      <c r="A281">
        <v>280</v>
      </c>
      <c r="B281" t="s">
        <v>2301</v>
      </c>
      <c r="C281" t="s">
        <v>1711</v>
      </c>
      <c r="D281" t="s">
        <v>6299</v>
      </c>
      <c r="E281" t="s">
        <v>2302</v>
      </c>
      <c r="F281" t="s">
        <v>2303</v>
      </c>
      <c r="G281" t="s">
        <v>1353</v>
      </c>
      <c r="H281" t="s">
        <v>326</v>
      </c>
      <c r="I281">
        <v>76901</v>
      </c>
    </row>
    <row r="282" spans="1:9" x14ac:dyDescent="0.3">
      <c r="A282">
        <v>281</v>
      </c>
      <c r="B282" t="s">
        <v>2304</v>
      </c>
      <c r="C282" t="s">
        <v>2305</v>
      </c>
      <c r="D282" t="s">
        <v>6299</v>
      </c>
      <c r="E282" t="s">
        <v>2306</v>
      </c>
      <c r="F282" t="s">
        <v>2307</v>
      </c>
      <c r="G282" t="s">
        <v>2275</v>
      </c>
      <c r="H282" t="s">
        <v>320</v>
      </c>
      <c r="I282">
        <v>11417</v>
      </c>
    </row>
    <row r="283" spans="1:9" x14ac:dyDescent="0.3">
      <c r="A283">
        <v>282</v>
      </c>
      <c r="B283" t="s">
        <v>2308</v>
      </c>
      <c r="C283" t="s">
        <v>2309</v>
      </c>
      <c r="D283" t="s">
        <v>6299</v>
      </c>
      <c r="E283" t="s">
        <v>2310</v>
      </c>
      <c r="F283" t="s">
        <v>2311</v>
      </c>
      <c r="G283" t="s">
        <v>1291</v>
      </c>
      <c r="H283" t="s">
        <v>314</v>
      </c>
      <c r="I283">
        <v>94580</v>
      </c>
    </row>
    <row r="284" spans="1:9" x14ac:dyDescent="0.3">
      <c r="A284">
        <v>283</v>
      </c>
      <c r="B284" t="s">
        <v>2312</v>
      </c>
      <c r="C284" t="s">
        <v>2313</v>
      </c>
      <c r="D284" t="s">
        <v>6299</v>
      </c>
      <c r="E284" t="s">
        <v>2314</v>
      </c>
      <c r="F284" t="s">
        <v>2315</v>
      </c>
      <c r="G284" t="s">
        <v>2316</v>
      </c>
      <c r="H284" t="s">
        <v>320</v>
      </c>
      <c r="I284">
        <v>12601</v>
      </c>
    </row>
    <row r="285" spans="1:9" x14ac:dyDescent="0.3">
      <c r="A285">
        <v>284</v>
      </c>
      <c r="B285" t="s">
        <v>2317</v>
      </c>
      <c r="C285" t="s">
        <v>2318</v>
      </c>
      <c r="D285" t="s">
        <v>6299</v>
      </c>
      <c r="E285" t="s">
        <v>2319</v>
      </c>
      <c r="F285" t="s">
        <v>2320</v>
      </c>
      <c r="G285" t="s">
        <v>1533</v>
      </c>
      <c r="H285" t="s">
        <v>320</v>
      </c>
      <c r="I285">
        <v>11725</v>
      </c>
    </row>
    <row r="286" spans="1:9" x14ac:dyDescent="0.3">
      <c r="A286">
        <v>285</v>
      </c>
      <c r="B286" t="s">
        <v>2321</v>
      </c>
      <c r="C286" t="s">
        <v>2322</v>
      </c>
      <c r="D286" t="s">
        <v>6299</v>
      </c>
      <c r="E286" t="s">
        <v>2323</v>
      </c>
      <c r="F286" t="s">
        <v>2324</v>
      </c>
      <c r="G286" t="s">
        <v>1246</v>
      </c>
      <c r="H286" t="s">
        <v>320</v>
      </c>
      <c r="I286">
        <v>11102</v>
      </c>
    </row>
    <row r="287" spans="1:9" x14ac:dyDescent="0.3">
      <c r="A287">
        <v>286</v>
      </c>
      <c r="B287" t="s">
        <v>2325</v>
      </c>
      <c r="C287" t="s">
        <v>1194</v>
      </c>
      <c r="D287" t="s">
        <v>6299</v>
      </c>
      <c r="E287" t="s">
        <v>2326</v>
      </c>
      <c r="F287" t="s">
        <v>2327</v>
      </c>
      <c r="G287" t="s">
        <v>2328</v>
      </c>
      <c r="H287" t="s">
        <v>320</v>
      </c>
      <c r="I287">
        <v>11756</v>
      </c>
    </row>
    <row r="288" spans="1:9" x14ac:dyDescent="0.3">
      <c r="A288">
        <v>287</v>
      </c>
      <c r="B288" t="s">
        <v>2329</v>
      </c>
      <c r="C288" t="s">
        <v>2330</v>
      </c>
      <c r="D288" t="s">
        <v>2331</v>
      </c>
      <c r="E288" t="s">
        <v>2332</v>
      </c>
      <c r="F288" t="s">
        <v>2333</v>
      </c>
      <c r="G288" t="s">
        <v>1846</v>
      </c>
      <c r="H288" t="s">
        <v>314</v>
      </c>
      <c r="I288">
        <v>93035</v>
      </c>
    </row>
    <row r="289" spans="1:9" x14ac:dyDescent="0.3">
      <c r="A289">
        <v>288</v>
      </c>
      <c r="B289" t="s">
        <v>2334</v>
      </c>
      <c r="C289" t="s">
        <v>2335</v>
      </c>
      <c r="D289" t="s">
        <v>6299</v>
      </c>
      <c r="E289" t="s">
        <v>2336</v>
      </c>
      <c r="F289" t="s">
        <v>2337</v>
      </c>
      <c r="G289" t="s">
        <v>1791</v>
      </c>
      <c r="H289" t="s">
        <v>314</v>
      </c>
      <c r="I289">
        <v>92220</v>
      </c>
    </row>
    <row r="290" spans="1:9" x14ac:dyDescent="0.3">
      <c r="A290">
        <v>289</v>
      </c>
      <c r="B290" t="s">
        <v>2338</v>
      </c>
      <c r="C290" t="s">
        <v>1900</v>
      </c>
      <c r="D290" t="s">
        <v>6299</v>
      </c>
      <c r="E290" t="s">
        <v>2339</v>
      </c>
      <c r="F290" t="s">
        <v>2340</v>
      </c>
      <c r="G290" t="s">
        <v>1427</v>
      </c>
      <c r="H290" t="s">
        <v>326</v>
      </c>
      <c r="I290">
        <v>75080</v>
      </c>
    </row>
    <row r="291" spans="1:9" x14ac:dyDescent="0.3">
      <c r="A291">
        <v>290</v>
      </c>
      <c r="B291" t="s">
        <v>2341</v>
      </c>
      <c r="C291" t="s">
        <v>2342</v>
      </c>
      <c r="D291" t="s">
        <v>6299</v>
      </c>
      <c r="E291" t="s">
        <v>2343</v>
      </c>
      <c r="F291" t="s">
        <v>2344</v>
      </c>
      <c r="G291" t="s">
        <v>2345</v>
      </c>
      <c r="H291" t="s">
        <v>320</v>
      </c>
      <c r="I291">
        <v>11720</v>
      </c>
    </row>
    <row r="292" spans="1:9" x14ac:dyDescent="0.3">
      <c r="A292">
        <v>291</v>
      </c>
      <c r="B292" t="s">
        <v>2346</v>
      </c>
      <c r="C292" t="s">
        <v>1056</v>
      </c>
      <c r="D292" t="s">
        <v>6299</v>
      </c>
      <c r="E292" t="s">
        <v>2347</v>
      </c>
      <c r="F292" t="s">
        <v>2348</v>
      </c>
      <c r="G292" t="s">
        <v>1192</v>
      </c>
      <c r="H292" t="s">
        <v>320</v>
      </c>
      <c r="I292">
        <v>11104</v>
      </c>
    </row>
    <row r="293" spans="1:9" x14ac:dyDescent="0.3">
      <c r="A293">
        <v>292</v>
      </c>
      <c r="B293" t="s">
        <v>2349</v>
      </c>
      <c r="C293" t="s">
        <v>1194</v>
      </c>
      <c r="D293" t="s">
        <v>2350</v>
      </c>
      <c r="E293" t="s">
        <v>2351</v>
      </c>
      <c r="F293" t="s">
        <v>2352</v>
      </c>
      <c r="G293" t="s">
        <v>1116</v>
      </c>
      <c r="H293" t="s">
        <v>320</v>
      </c>
      <c r="I293">
        <v>11550</v>
      </c>
    </row>
    <row r="294" spans="1:9" x14ac:dyDescent="0.3">
      <c r="A294">
        <v>293</v>
      </c>
      <c r="B294" t="s">
        <v>2353</v>
      </c>
      <c r="C294" t="s">
        <v>2354</v>
      </c>
      <c r="D294" t="s">
        <v>6299</v>
      </c>
      <c r="E294" t="s">
        <v>2355</v>
      </c>
      <c r="F294" t="s">
        <v>2356</v>
      </c>
      <c r="G294" t="s">
        <v>1767</v>
      </c>
      <c r="H294" t="s">
        <v>320</v>
      </c>
      <c r="I294">
        <v>11803</v>
      </c>
    </row>
    <row r="295" spans="1:9" x14ac:dyDescent="0.3">
      <c r="A295">
        <v>294</v>
      </c>
      <c r="B295" t="s">
        <v>2357</v>
      </c>
      <c r="C295" t="s">
        <v>2358</v>
      </c>
      <c r="D295" t="s">
        <v>6299</v>
      </c>
      <c r="E295" t="s">
        <v>2359</v>
      </c>
      <c r="F295" t="s">
        <v>2360</v>
      </c>
      <c r="G295" t="s">
        <v>1372</v>
      </c>
      <c r="H295" t="s">
        <v>320</v>
      </c>
      <c r="I295">
        <v>13440</v>
      </c>
    </row>
    <row r="296" spans="1:9" x14ac:dyDescent="0.3">
      <c r="A296">
        <v>295</v>
      </c>
      <c r="B296" t="s">
        <v>2361</v>
      </c>
      <c r="C296" t="s">
        <v>2362</v>
      </c>
      <c r="D296" t="s">
        <v>6299</v>
      </c>
      <c r="E296" t="s">
        <v>2363</v>
      </c>
      <c r="F296" t="s">
        <v>2364</v>
      </c>
      <c r="G296" t="s">
        <v>1836</v>
      </c>
      <c r="H296" t="s">
        <v>320</v>
      </c>
      <c r="I296">
        <v>11420</v>
      </c>
    </row>
    <row r="297" spans="1:9" x14ac:dyDescent="0.3">
      <c r="A297">
        <v>296</v>
      </c>
      <c r="B297" t="s">
        <v>2365</v>
      </c>
      <c r="C297" t="s">
        <v>2366</v>
      </c>
      <c r="D297" t="s">
        <v>6299</v>
      </c>
      <c r="E297" t="s">
        <v>2367</v>
      </c>
      <c r="F297" t="s">
        <v>2368</v>
      </c>
      <c r="G297" t="s">
        <v>1074</v>
      </c>
      <c r="H297" t="s">
        <v>320</v>
      </c>
      <c r="I297">
        <v>11553</v>
      </c>
    </row>
    <row r="298" spans="1:9" x14ac:dyDescent="0.3">
      <c r="A298">
        <v>297</v>
      </c>
      <c r="B298" t="s">
        <v>2369</v>
      </c>
      <c r="C298" t="s">
        <v>1393</v>
      </c>
      <c r="D298" t="s">
        <v>6299</v>
      </c>
      <c r="E298" t="s">
        <v>2370</v>
      </c>
      <c r="F298" t="s">
        <v>2371</v>
      </c>
      <c r="G298" t="s">
        <v>1776</v>
      </c>
      <c r="H298" t="s">
        <v>326</v>
      </c>
      <c r="I298">
        <v>78023</v>
      </c>
    </row>
    <row r="299" spans="1:9" x14ac:dyDescent="0.3">
      <c r="A299">
        <v>298</v>
      </c>
      <c r="B299" t="s">
        <v>2372</v>
      </c>
      <c r="C299" t="s">
        <v>2373</v>
      </c>
      <c r="D299" t="s">
        <v>6299</v>
      </c>
      <c r="E299" t="s">
        <v>2374</v>
      </c>
      <c r="F299" t="s">
        <v>2375</v>
      </c>
      <c r="G299" t="s">
        <v>1480</v>
      </c>
      <c r="H299" t="s">
        <v>314</v>
      </c>
      <c r="I299">
        <v>91784</v>
      </c>
    </row>
    <row r="300" spans="1:9" x14ac:dyDescent="0.3">
      <c r="A300">
        <v>299</v>
      </c>
      <c r="B300" t="s">
        <v>2376</v>
      </c>
      <c r="C300" t="s">
        <v>2078</v>
      </c>
      <c r="D300" t="s">
        <v>6299</v>
      </c>
      <c r="E300" t="s">
        <v>2377</v>
      </c>
      <c r="F300" t="s">
        <v>2378</v>
      </c>
      <c r="G300" t="s">
        <v>1781</v>
      </c>
      <c r="H300" t="s">
        <v>320</v>
      </c>
      <c r="I300">
        <v>11706</v>
      </c>
    </row>
    <row r="301" spans="1:9" x14ac:dyDescent="0.3">
      <c r="A301">
        <v>300</v>
      </c>
      <c r="B301" t="s">
        <v>2379</v>
      </c>
      <c r="C301" t="s">
        <v>2380</v>
      </c>
      <c r="D301" t="s">
        <v>6299</v>
      </c>
      <c r="E301" t="s">
        <v>2381</v>
      </c>
      <c r="F301" t="s">
        <v>2382</v>
      </c>
      <c r="G301" t="s">
        <v>2383</v>
      </c>
      <c r="H301" t="s">
        <v>314</v>
      </c>
      <c r="I301">
        <v>94043</v>
      </c>
    </row>
    <row r="302" spans="1:9" x14ac:dyDescent="0.3">
      <c r="A302">
        <v>301</v>
      </c>
      <c r="B302" t="s">
        <v>2384</v>
      </c>
      <c r="C302" t="s">
        <v>2290</v>
      </c>
      <c r="D302" t="s">
        <v>6299</v>
      </c>
      <c r="E302" t="s">
        <v>2385</v>
      </c>
      <c r="F302" t="s">
        <v>2386</v>
      </c>
      <c r="G302" t="s">
        <v>1142</v>
      </c>
      <c r="H302" t="s">
        <v>320</v>
      </c>
      <c r="I302">
        <v>10583</v>
      </c>
    </row>
    <row r="303" spans="1:9" x14ac:dyDescent="0.3">
      <c r="A303">
        <v>302</v>
      </c>
      <c r="B303" t="s">
        <v>2387</v>
      </c>
      <c r="C303" t="s">
        <v>2388</v>
      </c>
      <c r="D303" t="s">
        <v>6299</v>
      </c>
      <c r="E303" t="s">
        <v>2389</v>
      </c>
      <c r="F303" t="s">
        <v>2390</v>
      </c>
      <c r="G303" t="s">
        <v>1913</v>
      </c>
      <c r="H303" t="s">
        <v>314</v>
      </c>
      <c r="I303">
        <v>92307</v>
      </c>
    </row>
    <row r="304" spans="1:9" x14ac:dyDescent="0.3">
      <c r="A304">
        <v>303</v>
      </c>
      <c r="B304" t="s">
        <v>2391</v>
      </c>
      <c r="C304" t="s">
        <v>1163</v>
      </c>
      <c r="D304" t="s">
        <v>6299</v>
      </c>
      <c r="E304" t="s">
        <v>2392</v>
      </c>
      <c r="F304" t="s">
        <v>2393</v>
      </c>
      <c r="G304" t="s">
        <v>1555</v>
      </c>
      <c r="H304" t="s">
        <v>320</v>
      </c>
      <c r="I304">
        <v>11421</v>
      </c>
    </row>
    <row r="305" spans="1:9" x14ac:dyDescent="0.3">
      <c r="A305">
        <v>304</v>
      </c>
      <c r="B305" t="s">
        <v>2394</v>
      </c>
      <c r="C305" t="s">
        <v>2395</v>
      </c>
      <c r="D305" t="s">
        <v>6299</v>
      </c>
      <c r="E305" t="s">
        <v>2396</v>
      </c>
      <c r="F305" t="s">
        <v>2397</v>
      </c>
      <c r="G305" t="s">
        <v>2398</v>
      </c>
      <c r="H305" t="s">
        <v>320</v>
      </c>
      <c r="I305">
        <v>11413</v>
      </c>
    </row>
    <row r="306" spans="1:9" x14ac:dyDescent="0.3">
      <c r="A306">
        <v>305</v>
      </c>
      <c r="B306" t="s">
        <v>2399</v>
      </c>
      <c r="C306" t="s">
        <v>2400</v>
      </c>
      <c r="D306" t="s">
        <v>6299</v>
      </c>
      <c r="E306" t="s">
        <v>2401</v>
      </c>
      <c r="F306" t="s">
        <v>2402</v>
      </c>
      <c r="G306" t="s">
        <v>1069</v>
      </c>
      <c r="H306" t="s">
        <v>314</v>
      </c>
      <c r="I306">
        <v>90278</v>
      </c>
    </row>
    <row r="307" spans="1:9" x14ac:dyDescent="0.3">
      <c r="A307">
        <v>306</v>
      </c>
      <c r="B307" t="s">
        <v>2403</v>
      </c>
      <c r="C307" t="s">
        <v>2404</v>
      </c>
      <c r="D307" t="s">
        <v>6299</v>
      </c>
      <c r="E307" t="s">
        <v>2405</v>
      </c>
      <c r="F307" t="s">
        <v>2406</v>
      </c>
      <c r="G307" t="s">
        <v>2262</v>
      </c>
      <c r="H307" t="s">
        <v>320</v>
      </c>
      <c r="I307">
        <v>12401</v>
      </c>
    </row>
    <row r="308" spans="1:9" x14ac:dyDescent="0.3">
      <c r="A308">
        <v>307</v>
      </c>
      <c r="B308" t="s">
        <v>2407</v>
      </c>
      <c r="C308" t="s">
        <v>2408</v>
      </c>
      <c r="D308" t="s">
        <v>6299</v>
      </c>
      <c r="E308" t="s">
        <v>2409</v>
      </c>
      <c r="F308" t="s">
        <v>2410</v>
      </c>
      <c r="G308" t="s">
        <v>1316</v>
      </c>
      <c r="H308" t="s">
        <v>314</v>
      </c>
      <c r="I308">
        <v>91740</v>
      </c>
    </row>
    <row r="309" spans="1:9" x14ac:dyDescent="0.3">
      <c r="A309">
        <v>308</v>
      </c>
      <c r="B309" t="s">
        <v>2411</v>
      </c>
      <c r="C309" t="s">
        <v>2412</v>
      </c>
      <c r="D309" t="s">
        <v>6299</v>
      </c>
      <c r="E309" t="s">
        <v>2413</v>
      </c>
      <c r="F309" t="s">
        <v>2414</v>
      </c>
      <c r="G309" t="s">
        <v>1900</v>
      </c>
      <c r="H309" t="s">
        <v>320</v>
      </c>
      <c r="I309">
        <v>14580</v>
      </c>
    </row>
    <row r="310" spans="1:9" x14ac:dyDescent="0.3">
      <c r="A310">
        <v>309</v>
      </c>
      <c r="B310" t="s">
        <v>2415</v>
      </c>
      <c r="C310" t="s">
        <v>1518</v>
      </c>
      <c r="D310" t="s">
        <v>6299</v>
      </c>
      <c r="E310" t="s">
        <v>2416</v>
      </c>
      <c r="F310" t="s">
        <v>2417</v>
      </c>
      <c r="G310" t="s">
        <v>1147</v>
      </c>
      <c r="H310" t="s">
        <v>320</v>
      </c>
      <c r="I310">
        <v>14424</v>
      </c>
    </row>
    <row r="311" spans="1:9" x14ac:dyDescent="0.3">
      <c r="A311">
        <v>310</v>
      </c>
      <c r="B311" t="s">
        <v>2418</v>
      </c>
      <c r="C311" t="s">
        <v>2419</v>
      </c>
      <c r="D311" t="s">
        <v>6299</v>
      </c>
      <c r="E311" t="s">
        <v>2420</v>
      </c>
      <c r="F311" t="s">
        <v>2421</v>
      </c>
      <c r="G311" t="s">
        <v>2422</v>
      </c>
      <c r="H311" t="s">
        <v>320</v>
      </c>
      <c r="I311">
        <v>11379</v>
      </c>
    </row>
    <row r="312" spans="1:9" x14ac:dyDescent="0.3">
      <c r="A312">
        <v>311</v>
      </c>
      <c r="B312" t="s">
        <v>2423</v>
      </c>
      <c r="C312" t="s">
        <v>2424</v>
      </c>
      <c r="D312" t="s">
        <v>2425</v>
      </c>
      <c r="E312" t="s">
        <v>2426</v>
      </c>
      <c r="F312" t="s">
        <v>2427</v>
      </c>
      <c r="G312" t="s">
        <v>1624</v>
      </c>
      <c r="H312" t="s">
        <v>314</v>
      </c>
      <c r="I312">
        <v>93706</v>
      </c>
    </row>
    <row r="313" spans="1:9" x14ac:dyDescent="0.3">
      <c r="A313">
        <v>312</v>
      </c>
      <c r="B313" t="s">
        <v>2428</v>
      </c>
      <c r="C313" t="s">
        <v>2429</v>
      </c>
      <c r="D313" t="s">
        <v>6299</v>
      </c>
      <c r="E313" t="s">
        <v>2430</v>
      </c>
      <c r="F313" t="s">
        <v>2431</v>
      </c>
      <c r="G313" t="s">
        <v>1121</v>
      </c>
      <c r="H313" t="s">
        <v>326</v>
      </c>
      <c r="I313">
        <v>75604</v>
      </c>
    </row>
    <row r="314" spans="1:9" x14ac:dyDescent="0.3">
      <c r="A314">
        <v>313</v>
      </c>
      <c r="B314" t="s">
        <v>2432</v>
      </c>
      <c r="C314" t="s">
        <v>2229</v>
      </c>
      <c r="D314" t="s">
        <v>6299</v>
      </c>
      <c r="E314" t="s">
        <v>2433</v>
      </c>
      <c r="F314" t="s">
        <v>2434</v>
      </c>
      <c r="G314" t="s">
        <v>1241</v>
      </c>
      <c r="H314" t="s">
        <v>320</v>
      </c>
      <c r="I314">
        <v>11378</v>
      </c>
    </row>
    <row r="315" spans="1:9" x14ac:dyDescent="0.3">
      <c r="A315">
        <v>314</v>
      </c>
      <c r="B315" t="s">
        <v>2435</v>
      </c>
      <c r="C315" t="s">
        <v>2436</v>
      </c>
      <c r="D315" t="s">
        <v>6299</v>
      </c>
      <c r="E315" t="s">
        <v>2437</v>
      </c>
      <c r="F315" t="s">
        <v>2438</v>
      </c>
      <c r="G315" t="s">
        <v>325</v>
      </c>
      <c r="H315" t="s">
        <v>326</v>
      </c>
      <c r="I315">
        <v>75088</v>
      </c>
    </row>
    <row r="316" spans="1:9" x14ac:dyDescent="0.3">
      <c r="A316">
        <v>315</v>
      </c>
      <c r="B316" t="s">
        <v>2297</v>
      </c>
      <c r="C316" t="s">
        <v>2439</v>
      </c>
      <c r="D316" t="s">
        <v>6299</v>
      </c>
      <c r="E316" t="s">
        <v>2440</v>
      </c>
      <c r="F316" t="s">
        <v>2441</v>
      </c>
      <c r="G316" t="s">
        <v>319</v>
      </c>
      <c r="H316" t="s">
        <v>320</v>
      </c>
      <c r="I316">
        <v>11510</v>
      </c>
    </row>
    <row r="317" spans="1:9" x14ac:dyDescent="0.3">
      <c r="A317">
        <v>316</v>
      </c>
      <c r="B317" t="s">
        <v>2442</v>
      </c>
      <c r="C317" t="s">
        <v>2443</v>
      </c>
      <c r="D317" t="s">
        <v>6299</v>
      </c>
      <c r="E317" t="s">
        <v>2444</v>
      </c>
      <c r="F317" t="s">
        <v>2445</v>
      </c>
      <c r="G317" t="s">
        <v>1606</v>
      </c>
      <c r="H317" t="s">
        <v>326</v>
      </c>
      <c r="I317">
        <v>76039</v>
      </c>
    </row>
    <row r="318" spans="1:9" x14ac:dyDescent="0.3">
      <c r="A318">
        <v>317</v>
      </c>
      <c r="B318" t="s">
        <v>2369</v>
      </c>
      <c r="C318" t="s">
        <v>1679</v>
      </c>
      <c r="D318" t="s">
        <v>6299</v>
      </c>
      <c r="E318" t="s">
        <v>2446</v>
      </c>
      <c r="F318" t="s">
        <v>2447</v>
      </c>
      <c r="G318" t="s">
        <v>1819</v>
      </c>
      <c r="H318" t="s">
        <v>320</v>
      </c>
      <c r="I318">
        <v>11377</v>
      </c>
    </row>
    <row r="319" spans="1:9" x14ac:dyDescent="0.3">
      <c r="A319">
        <v>318</v>
      </c>
      <c r="B319" t="s">
        <v>2448</v>
      </c>
      <c r="C319" t="s">
        <v>2089</v>
      </c>
      <c r="D319" t="s">
        <v>6299</v>
      </c>
      <c r="E319" t="s">
        <v>2449</v>
      </c>
      <c r="F319" t="s">
        <v>2450</v>
      </c>
      <c r="G319" t="s">
        <v>1217</v>
      </c>
      <c r="H319" t="s">
        <v>314</v>
      </c>
      <c r="I319">
        <v>92831</v>
      </c>
    </row>
    <row r="320" spans="1:9" x14ac:dyDescent="0.3">
      <c r="A320">
        <v>319</v>
      </c>
      <c r="B320" t="s">
        <v>2451</v>
      </c>
      <c r="C320" t="s">
        <v>2452</v>
      </c>
      <c r="D320" t="s">
        <v>6299</v>
      </c>
      <c r="E320" t="s">
        <v>2453</v>
      </c>
      <c r="F320" t="s">
        <v>2454</v>
      </c>
      <c r="G320" t="s">
        <v>1913</v>
      </c>
      <c r="H320" t="s">
        <v>314</v>
      </c>
      <c r="I320">
        <v>92307</v>
      </c>
    </row>
    <row r="321" spans="1:9" x14ac:dyDescent="0.3">
      <c r="A321">
        <v>320</v>
      </c>
      <c r="B321" t="s">
        <v>2455</v>
      </c>
      <c r="C321" t="s">
        <v>347</v>
      </c>
      <c r="D321" t="s">
        <v>2456</v>
      </c>
      <c r="E321" t="s">
        <v>2457</v>
      </c>
      <c r="F321" t="s">
        <v>2458</v>
      </c>
      <c r="G321" t="s">
        <v>2053</v>
      </c>
      <c r="H321" t="s">
        <v>320</v>
      </c>
      <c r="I321">
        <v>11572</v>
      </c>
    </row>
    <row r="322" spans="1:9" x14ac:dyDescent="0.3">
      <c r="A322">
        <v>321</v>
      </c>
      <c r="B322" t="s">
        <v>2459</v>
      </c>
      <c r="C322" t="s">
        <v>1144</v>
      </c>
      <c r="D322" t="s">
        <v>6299</v>
      </c>
      <c r="E322" t="s">
        <v>2460</v>
      </c>
      <c r="F322" t="s">
        <v>2461</v>
      </c>
      <c r="G322" t="s">
        <v>1997</v>
      </c>
      <c r="H322" t="s">
        <v>320</v>
      </c>
      <c r="I322">
        <v>11201</v>
      </c>
    </row>
    <row r="323" spans="1:9" x14ac:dyDescent="0.3">
      <c r="A323">
        <v>322</v>
      </c>
      <c r="B323" t="s">
        <v>2462</v>
      </c>
      <c r="C323" t="s">
        <v>1773</v>
      </c>
      <c r="D323" t="s">
        <v>6299</v>
      </c>
      <c r="E323" t="s">
        <v>2463</v>
      </c>
      <c r="F323" t="s">
        <v>2464</v>
      </c>
      <c r="G323" t="s">
        <v>2316</v>
      </c>
      <c r="H323" t="s">
        <v>320</v>
      </c>
      <c r="I323">
        <v>12601</v>
      </c>
    </row>
    <row r="324" spans="1:9" x14ac:dyDescent="0.3">
      <c r="A324">
        <v>323</v>
      </c>
      <c r="B324" t="s">
        <v>1893</v>
      </c>
      <c r="C324" t="s">
        <v>2465</v>
      </c>
      <c r="D324" t="s">
        <v>6299</v>
      </c>
      <c r="E324" t="s">
        <v>2466</v>
      </c>
      <c r="F324" t="s">
        <v>2467</v>
      </c>
      <c r="G324" t="s">
        <v>2468</v>
      </c>
      <c r="H324" t="s">
        <v>320</v>
      </c>
      <c r="I324">
        <v>12302</v>
      </c>
    </row>
    <row r="325" spans="1:9" x14ac:dyDescent="0.3">
      <c r="A325">
        <v>324</v>
      </c>
      <c r="B325" t="s">
        <v>2469</v>
      </c>
      <c r="C325" t="s">
        <v>1910</v>
      </c>
      <c r="D325" t="s">
        <v>6299</v>
      </c>
      <c r="E325" t="s">
        <v>2470</v>
      </c>
      <c r="F325" t="s">
        <v>2471</v>
      </c>
      <c r="G325" t="s">
        <v>2257</v>
      </c>
      <c r="H325" t="s">
        <v>320</v>
      </c>
      <c r="I325">
        <v>11710</v>
      </c>
    </row>
    <row r="326" spans="1:9" x14ac:dyDescent="0.3">
      <c r="A326">
        <v>325</v>
      </c>
      <c r="B326" t="s">
        <v>2472</v>
      </c>
      <c r="C326" t="s">
        <v>2473</v>
      </c>
      <c r="D326" t="s">
        <v>6299</v>
      </c>
      <c r="E326" t="s">
        <v>2474</v>
      </c>
      <c r="F326" t="s">
        <v>2475</v>
      </c>
      <c r="G326" t="s">
        <v>1334</v>
      </c>
      <c r="H326" t="s">
        <v>320</v>
      </c>
      <c r="I326">
        <v>10451</v>
      </c>
    </row>
    <row r="327" spans="1:9" x14ac:dyDescent="0.3">
      <c r="A327">
        <v>326</v>
      </c>
      <c r="B327" t="s">
        <v>2476</v>
      </c>
      <c r="C327" t="s">
        <v>2477</v>
      </c>
      <c r="D327" t="s">
        <v>6299</v>
      </c>
      <c r="E327" t="s">
        <v>2478</v>
      </c>
      <c r="F327" t="s">
        <v>2479</v>
      </c>
      <c r="G327" t="s">
        <v>1391</v>
      </c>
      <c r="H327" t="s">
        <v>314</v>
      </c>
      <c r="I327">
        <v>95677</v>
      </c>
    </row>
    <row r="328" spans="1:9" x14ac:dyDescent="0.3">
      <c r="A328">
        <v>327</v>
      </c>
      <c r="B328" t="s">
        <v>2480</v>
      </c>
      <c r="C328" t="s">
        <v>2481</v>
      </c>
      <c r="D328" t="s">
        <v>2482</v>
      </c>
      <c r="E328" t="s">
        <v>2483</v>
      </c>
      <c r="F328" t="s">
        <v>2484</v>
      </c>
      <c r="G328" t="s">
        <v>1137</v>
      </c>
      <c r="H328" t="s">
        <v>320</v>
      </c>
      <c r="I328">
        <v>10002</v>
      </c>
    </row>
    <row r="329" spans="1:9" x14ac:dyDescent="0.3">
      <c r="A329">
        <v>328</v>
      </c>
      <c r="B329" t="s">
        <v>2485</v>
      </c>
      <c r="C329" t="s">
        <v>2486</v>
      </c>
      <c r="D329" t="s">
        <v>6299</v>
      </c>
      <c r="E329" t="s">
        <v>2487</v>
      </c>
      <c r="F329" t="s">
        <v>2488</v>
      </c>
      <c r="G329" t="s">
        <v>1606</v>
      </c>
      <c r="H329" t="s">
        <v>326</v>
      </c>
      <c r="I329">
        <v>76039</v>
      </c>
    </row>
    <row r="330" spans="1:9" x14ac:dyDescent="0.3">
      <c r="A330">
        <v>329</v>
      </c>
      <c r="B330" t="s">
        <v>2489</v>
      </c>
      <c r="C330" t="s">
        <v>2490</v>
      </c>
      <c r="D330" t="s">
        <v>6299</v>
      </c>
      <c r="E330" t="s">
        <v>2491</v>
      </c>
      <c r="F330" t="s">
        <v>2492</v>
      </c>
      <c r="G330" t="s">
        <v>1731</v>
      </c>
      <c r="H330" t="s">
        <v>320</v>
      </c>
      <c r="I330">
        <v>10573</v>
      </c>
    </row>
    <row r="331" spans="1:9" x14ac:dyDescent="0.3">
      <c r="A331">
        <v>330</v>
      </c>
      <c r="B331" t="s">
        <v>2493</v>
      </c>
      <c r="C331" t="s">
        <v>2494</v>
      </c>
      <c r="D331" t="s">
        <v>6299</v>
      </c>
      <c r="E331" t="s">
        <v>2495</v>
      </c>
      <c r="F331" t="s">
        <v>2496</v>
      </c>
      <c r="G331" t="s">
        <v>1819</v>
      </c>
      <c r="H331" t="s">
        <v>320</v>
      </c>
      <c r="I331">
        <v>11377</v>
      </c>
    </row>
    <row r="332" spans="1:9" x14ac:dyDescent="0.3">
      <c r="A332">
        <v>331</v>
      </c>
      <c r="B332" t="s">
        <v>1152</v>
      </c>
      <c r="C332" t="s">
        <v>2497</v>
      </c>
      <c r="D332" t="s">
        <v>6299</v>
      </c>
      <c r="E332" t="s">
        <v>2498</v>
      </c>
      <c r="F332" t="s">
        <v>2499</v>
      </c>
      <c r="G332" t="s">
        <v>1781</v>
      </c>
      <c r="H332" t="s">
        <v>320</v>
      </c>
      <c r="I332">
        <v>11706</v>
      </c>
    </row>
    <row r="333" spans="1:9" x14ac:dyDescent="0.3">
      <c r="A333">
        <v>332</v>
      </c>
      <c r="B333" t="s">
        <v>2500</v>
      </c>
      <c r="C333" t="s">
        <v>1513</v>
      </c>
      <c r="D333" t="s">
        <v>6299</v>
      </c>
      <c r="E333" t="s">
        <v>2501</v>
      </c>
      <c r="F333" t="s">
        <v>2502</v>
      </c>
      <c r="G333" t="s">
        <v>2138</v>
      </c>
      <c r="H333" t="s">
        <v>314</v>
      </c>
      <c r="I333">
        <v>91387</v>
      </c>
    </row>
    <row r="334" spans="1:9" x14ac:dyDescent="0.3">
      <c r="A334">
        <v>333</v>
      </c>
      <c r="B334" t="s">
        <v>2503</v>
      </c>
      <c r="C334" t="s">
        <v>2504</v>
      </c>
      <c r="D334" t="s">
        <v>6299</v>
      </c>
      <c r="E334" t="s">
        <v>2505</v>
      </c>
      <c r="F334" t="s">
        <v>2506</v>
      </c>
      <c r="G334" t="s">
        <v>1192</v>
      </c>
      <c r="H334" t="s">
        <v>320</v>
      </c>
      <c r="I334">
        <v>11104</v>
      </c>
    </row>
    <row r="335" spans="1:9" x14ac:dyDescent="0.3">
      <c r="A335">
        <v>334</v>
      </c>
      <c r="B335" t="s">
        <v>2507</v>
      </c>
      <c r="C335" t="s">
        <v>2508</v>
      </c>
      <c r="D335" t="s">
        <v>6299</v>
      </c>
      <c r="E335" t="s">
        <v>2509</v>
      </c>
      <c r="F335" t="s">
        <v>2510</v>
      </c>
      <c r="G335" t="s">
        <v>1462</v>
      </c>
      <c r="H335" t="s">
        <v>320</v>
      </c>
      <c r="I335">
        <v>11746</v>
      </c>
    </row>
    <row r="336" spans="1:9" x14ac:dyDescent="0.3">
      <c r="A336">
        <v>335</v>
      </c>
      <c r="B336" t="s">
        <v>2067</v>
      </c>
      <c r="C336" t="s">
        <v>2511</v>
      </c>
      <c r="D336" t="s">
        <v>6299</v>
      </c>
      <c r="E336" t="s">
        <v>2512</v>
      </c>
      <c r="F336" t="s">
        <v>2513</v>
      </c>
      <c r="G336" t="s">
        <v>1334</v>
      </c>
      <c r="H336" t="s">
        <v>320</v>
      </c>
      <c r="I336">
        <v>10451</v>
      </c>
    </row>
    <row r="337" spans="1:9" x14ac:dyDescent="0.3">
      <c r="A337">
        <v>336</v>
      </c>
      <c r="B337" t="s">
        <v>2514</v>
      </c>
      <c r="C337" t="s">
        <v>2515</v>
      </c>
      <c r="D337" t="s">
        <v>2516</v>
      </c>
      <c r="E337" t="s">
        <v>2517</v>
      </c>
      <c r="F337" t="s">
        <v>2518</v>
      </c>
      <c r="G337" t="s">
        <v>1252</v>
      </c>
      <c r="H337" t="s">
        <v>320</v>
      </c>
      <c r="I337">
        <v>14086</v>
      </c>
    </row>
    <row r="338" spans="1:9" x14ac:dyDescent="0.3">
      <c r="A338">
        <v>337</v>
      </c>
      <c r="B338" t="s">
        <v>2519</v>
      </c>
      <c r="C338" t="s">
        <v>2520</v>
      </c>
      <c r="D338" t="s">
        <v>6299</v>
      </c>
      <c r="E338" t="s">
        <v>2521</v>
      </c>
      <c r="F338" t="s">
        <v>2522</v>
      </c>
      <c r="G338" t="s">
        <v>1836</v>
      </c>
      <c r="H338" t="s">
        <v>320</v>
      </c>
      <c r="I338">
        <v>11420</v>
      </c>
    </row>
    <row r="339" spans="1:9" x14ac:dyDescent="0.3">
      <c r="A339">
        <v>338</v>
      </c>
      <c r="B339" t="s">
        <v>2523</v>
      </c>
      <c r="C339" t="s">
        <v>2028</v>
      </c>
      <c r="D339" t="s">
        <v>6299</v>
      </c>
      <c r="E339" t="s">
        <v>2524</v>
      </c>
      <c r="F339" t="s">
        <v>2525</v>
      </c>
      <c r="G339" t="s">
        <v>2526</v>
      </c>
      <c r="H339" t="s">
        <v>320</v>
      </c>
      <c r="I339">
        <v>11375</v>
      </c>
    </row>
    <row r="340" spans="1:9" x14ac:dyDescent="0.3">
      <c r="A340">
        <v>339</v>
      </c>
      <c r="B340" t="s">
        <v>2527</v>
      </c>
      <c r="C340" t="s">
        <v>2528</v>
      </c>
      <c r="D340" t="s">
        <v>6299</v>
      </c>
      <c r="E340" t="s">
        <v>2529</v>
      </c>
      <c r="F340" t="s">
        <v>2530</v>
      </c>
      <c r="G340" t="s">
        <v>1339</v>
      </c>
      <c r="H340" t="s">
        <v>320</v>
      </c>
      <c r="I340">
        <v>11722</v>
      </c>
    </row>
    <row r="341" spans="1:9" x14ac:dyDescent="0.3">
      <c r="A341">
        <v>340</v>
      </c>
      <c r="B341" t="s">
        <v>2531</v>
      </c>
      <c r="C341" t="s">
        <v>2532</v>
      </c>
      <c r="D341" t="s">
        <v>6299</v>
      </c>
      <c r="E341" t="s">
        <v>2533</v>
      </c>
      <c r="F341" t="s">
        <v>2534</v>
      </c>
      <c r="G341" t="s">
        <v>1745</v>
      </c>
      <c r="H341" t="s">
        <v>320</v>
      </c>
      <c r="I341">
        <v>11787</v>
      </c>
    </row>
    <row r="342" spans="1:9" x14ac:dyDescent="0.3">
      <c r="A342">
        <v>341</v>
      </c>
      <c r="B342" t="s">
        <v>2535</v>
      </c>
      <c r="C342" t="s">
        <v>2536</v>
      </c>
      <c r="D342" t="s">
        <v>6299</v>
      </c>
      <c r="E342" t="s">
        <v>2537</v>
      </c>
      <c r="F342" t="s">
        <v>2538</v>
      </c>
      <c r="G342" t="s">
        <v>2539</v>
      </c>
      <c r="H342" t="s">
        <v>320</v>
      </c>
      <c r="I342">
        <v>10550</v>
      </c>
    </row>
    <row r="343" spans="1:9" x14ac:dyDescent="0.3">
      <c r="A343">
        <v>342</v>
      </c>
      <c r="B343" t="s">
        <v>2540</v>
      </c>
      <c r="C343" t="s">
        <v>2541</v>
      </c>
      <c r="D343" t="s">
        <v>6299</v>
      </c>
      <c r="E343" t="s">
        <v>2542</v>
      </c>
      <c r="F343" t="s">
        <v>2543</v>
      </c>
      <c r="G343" t="s">
        <v>1306</v>
      </c>
      <c r="H343" t="s">
        <v>320</v>
      </c>
      <c r="I343">
        <v>11566</v>
      </c>
    </row>
    <row r="344" spans="1:9" x14ac:dyDescent="0.3">
      <c r="A344">
        <v>343</v>
      </c>
      <c r="B344" t="s">
        <v>2544</v>
      </c>
      <c r="C344" t="s">
        <v>2545</v>
      </c>
      <c r="D344" t="s">
        <v>6299</v>
      </c>
      <c r="E344" t="s">
        <v>2546</v>
      </c>
      <c r="F344" t="s">
        <v>2547</v>
      </c>
      <c r="G344" t="s">
        <v>1533</v>
      </c>
      <c r="H344" t="s">
        <v>320</v>
      </c>
      <c r="I344">
        <v>11725</v>
      </c>
    </row>
    <row r="345" spans="1:9" x14ac:dyDescent="0.3">
      <c r="A345">
        <v>344</v>
      </c>
      <c r="B345" t="s">
        <v>2548</v>
      </c>
      <c r="C345" t="s">
        <v>2549</v>
      </c>
      <c r="D345" t="s">
        <v>6299</v>
      </c>
      <c r="E345" t="s">
        <v>2550</v>
      </c>
      <c r="F345" t="s">
        <v>2551</v>
      </c>
      <c r="G345" t="s">
        <v>2383</v>
      </c>
      <c r="H345" t="s">
        <v>314</v>
      </c>
      <c r="I345">
        <v>94043</v>
      </c>
    </row>
    <row r="346" spans="1:9" x14ac:dyDescent="0.3">
      <c r="A346">
        <v>345</v>
      </c>
      <c r="B346" t="s">
        <v>2552</v>
      </c>
      <c r="C346" t="s">
        <v>2553</v>
      </c>
      <c r="D346" t="s">
        <v>2554</v>
      </c>
      <c r="E346" t="s">
        <v>2555</v>
      </c>
      <c r="F346" t="s">
        <v>2556</v>
      </c>
      <c r="G346" t="s">
        <v>2015</v>
      </c>
      <c r="H346" t="s">
        <v>320</v>
      </c>
      <c r="I346">
        <v>12203</v>
      </c>
    </row>
    <row r="347" spans="1:9" x14ac:dyDescent="0.3">
      <c r="A347">
        <v>346</v>
      </c>
      <c r="B347" t="s">
        <v>2557</v>
      </c>
      <c r="C347" t="s">
        <v>2558</v>
      </c>
      <c r="D347" t="s">
        <v>6299</v>
      </c>
      <c r="E347" t="s">
        <v>2559</v>
      </c>
      <c r="F347" t="s">
        <v>2560</v>
      </c>
      <c r="G347" t="s">
        <v>1241</v>
      </c>
      <c r="H347" t="s">
        <v>320</v>
      </c>
      <c r="I347">
        <v>11378</v>
      </c>
    </row>
    <row r="348" spans="1:9" x14ac:dyDescent="0.3">
      <c r="A348">
        <v>347</v>
      </c>
      <c r="B348" t="s">
        <v>1368</v>
      </c>
      <c r="C348" t="s">
        <v>2561</v>
      </c>
      <c r="D348" t="s">
        <v>2562</v>
      </c>
      <c r="E348" t="s">
        <v>2563</v>
      </c>
      <c r="F348" t="s">
        <v>2564</v>
      </c>
      <c r="G348" t="s">
        <v>1212</v>
      </c>
      <c r="H348" t="s">
        <v>314</v>
      </c>
      <c r="I348">
        <v>94603</v>
      </c>
    </row>
    <row r="349" spans="1:9" x14ac:dyDescent="0.3">
      <c r="A349">
        <v>348</v>
      </c>
      <c r="B349" t="s">
        <v>2565</v>
      </c>
      <c r="C349" t="s">
        <v>2566</v>
      </c>
      <c r="D349" t="s">
        <v>6299</v>
      </c>
      <c r="E349" t="s">
        <v>2567</v>
      </c>
      <c r="F349" t="s">
        <v>2568</v>
      </c>
      <c r="G349" t="s">
        <v>1449</v>
      </c>
      <c r="H349" t="s">
        <v>314</v>
      </c>
      <c r="I349">
        <v>92236</v>
      </c>
    </row>
    <row r="350" spans="1:9" x14ac:dyDescent="0.3">
      <c r="A350">
        <v>349</v>
      </c>
      <c r="B350" t="s">
        <v>2569</v>
      </c>
      <c r="C350" t="s">
        <v>1923</v>
      </c>
      <c r="D350" t="s">
        <v>6299</v>
      </c>
      <c r="E350" t="s">
        <v>2570</v>
      </c>
      <c r="F350" t="s">
        <v>2571</v>
      </c>
      <c r="G350" t="s">
        <v>1449</v>
      </c>
      <c r="H350" t="s">
        <v>314</v>
      </c>
      <c r="I350">
        <v>92236</v>
      </c>
    </row>
    <row r="351" spans="1:9" x14ac:dyDescent="0.3">
      <c r="A351">
        <v>350</v>
      </c>
      <c r="B351" t="s">
        <v>2572</v>
      </c>
      <c r="C351" t="s">
        <v>1345</v>
      </c>
      <c r="D351" t="s">
        <v>6299</v>
      </c>
      <c r="E351" t="s">
        <v>2573</v>
      </c>
      <c r="F351" t="s">
        <v>2574</v>
      </c>
      <c r="G351" t="s">
        <v>1781</v>
      </c>
      <c r="H351" t="s">
        <v>320</v>
      </c>
      <c r="I351">
        <v>11706</v>
      </c>
    </row>
    <row r="352" spans="1:9" x14ac:dyDescent="0.3">
      <c r="A352">
        <v>351</v>
      </c>
      <c r="B352" t="s">
        <v>2575</v>
      </c>
      <c r="C352" t="s">
        <v>2576</v>
      </c>
      <c r="D352" t="s">
        <v>6299</v>
      </c>
      <c r="E352" t="s">
        <v>2577</v>
      </c>
      <c r="F352" t="s">
        <v>2578</v>
      </c>
      <c r="G352" t="s">
        <v>1110</v>
      </c>
      <c r="H352" t="s">
        <v>320</v>
      </c>
      <c r="I352">
        <v>10952</v>
      </c>
    </row>
    <row r="353" spans="1:9" x14ac:dyDescent="0.3">
      <c r="A353">
        <v>352</v>
      </c>
      <c r="B353" t="s">
        <v>2579</v>
      </c>
      <c r="C353" t="s">
        <v>2580</v>
      </c>
      <c r="D353" t="s">
        <v>6299</v>
      </c>
      <c r="E353" t="s">
        <v>2581</v>
      </c>
      <c r="F353" t="s">
        <v>2582</v>
      </c>
      <c r="G353" t="s">
        <v>1992</v>
      </c>
      <c r="H353" t="s">
        <v>320</v>
      </c>
      <c r="I353">
        <v>11432</v>
      </c>
    </row>
    <row r="354" spans="1:9" x14ac:dyDescent="0.3">
      <c r="A354">
        <v>353</v>
      </c>
      <c r="B354" t="s">
        <v>2583</v>
      </c>
      <c r="C354" t="s">
        <v>2089</v>
      </c>
      <c r="D354" t="s">
        <v>6299</v>
      </c>
      <c r="E354" t="s">
        <v>2584</v>
      </c>
      <c r="F354" t="s">
        <v>2585</v>
      </c>
      <c r="G354" t="s">
        <v>1110</v>
      </c>
      <c r="H354" t="s">
        <v>320</v>
      </c>
      <c r="I354">
        <v>10952</v>
      </c>
    </row>
    <row r="355" spans="1:9" x14ac:dyDescent="0.3">
      <c r="A355">
        <v>354</v>
      </c>
      <c r="B355" t="s">
        <v>2586</v>
      </c>
      <c r="C355" t="s">
        <v>1279</v>
      </c>
      <c r="D355" t="s">
        <v>6299</v>
      </c>
      <c r="E355" t="s">
        <v>2587</v>
      </c>
      <c r="F355" t="s">
        <v>2588</v>
      </c>
      <c r="G355" t="s">
        <v>1192</v>
      </c>
      <c r="H355" t="s">
        <v>320</v>
      </c>
      <c r="I355">
        <v>11104</v>
      </c>
    </row>
    <row r="356" spans="1:9" x14ac:dyDescent="0.3">
      <c r="A356">
        <v>355</v>
      </c>
      <c r="B356" t="s">
        <v>1476</v>
      </c>
      <c r="C356" t="s">
        <v>2589</v>
      </c>
      <c r="D356" t="s">
        <v>6299</v>
      </c>
      <c r="E356" t="s">
        <v>2590</v>
      </c>
      <c r="F356" t="s">
        <v>2591</v>
      </c>
      <c r="G356" t="s">
        <v>1781</v>
      </c>
      <c r="H356" t="s">
        <v>320</v>
      </c>
      <c r="I356">
        <v>11706</v>
      </c>
    </row>
    <row r="357" spans="1:9" x14ac:dyDescent="0.3">
      <c r="A357">
        <v>356</v>
      </c>
      <c r="B357" t="s">
        <v>2592</v>
      </c>
      <c r="C357" t="s">
        <v>2593</v>
      </c>
      <c r="D357" t="s">
        <v>6299</v>
      </c>
      <c r="E357" t="s">
        <v>2594</v>
      </c>
      <c r="F357" t="s">
        <v>2595</v>
      </c>
      <c r="G357" t="s">
        <v>1334</v>
      </c>
      <c r="H357" t="s">
        <v>320</v>
      </c>
      <c r="I357">
        <v>10451</v>
      </c>
    </row>
    <row r="358" spans="1:9" x14ac:dyDescent="0.3">
      <c r="A358">
        <v>357</v>
      </c>
      <c r="B358" t="s">
        <v>2596</v>
      </c>
      <c r="C358" t="s">
        <v>2597</v>
      </c>
      <c r="D358" t="s">
        <v>2598</v>
      </c>
      <c r="E358" t="s">
        <v>2599</v>
      </c>
      <c r="F358" t="s">
        <v>2600</v>
      </c>
      <c r="G358" t="s">
        <v>1575</v>
      </c>
      <c r="H358" t="s">
        <v>314</v>
      </c>
      <c r="I358">
        <v>95127</v>
      </c>
    </row>
    <row r="359" spans="1:9" x14ac:dyDescent="0.3">
      <c r="A359">
        <v>358</v>
      </c>
      <c r="B359" t="s">
        <v>2601</v>
      </c>
      <c r="C359" t="s">
        <v>2602</v>
      </c>
      <c r="D359" t="s">
        <v>6299</v>
      </c>
      <c r="E359" t="s">
        <v>2603</v>
      </c>
      <c r="F359" t="s">
        <v>2604</v>
      </c>
      <c r="G359" t="s">
        <v>2605</v>
      </c>
      <c r="H359" t="s">
        <v>320</v>
      </c>
      <c r="I359">
        <v>11793</v>
      </c>
    </row>
    <row r="360" spans="1:9" x14ac:dyDescent="0.3">
      <c r="A360">
        <v>359</v>
      </c>
      <c r="B360" t="s">
        <v>2606</v>
      </c>
      <c r="C360" t="s">
        <v>2607</v>
      </c>
      <c r="D360" t="s">
        <v>6299</v>
      </c>
      <c r="E360" t="s">
        <v>2608</v>
      </c>
      <c r="F360" t="s">
        <v>2609</v>
      </c>
      <c r="G360" t="s">
        <v>2610</v>
      </c>
      <c r="H360" t="s">
        <v>314</v>
      </c>
      <c r="I360">
        <v>91768</v>
      </c>
    </row>
    <row r="361" spans="1:9" x14ac:dyDescent="0.3">
      <c r="A361">
        <v>360</v>
      </c>
      <c r="B361" t="s">
        <v>2611</v>
      </c>
      <c r="C361" t="s">
        <v>2612</v>
      </c>
      <c r="D361" t="s">
        <v>2613</v>
      </c>
      <c r="E361" t="s">
        <v>2614</v>
      </c>
      <c r="F361" t="s">
        <v>2615</v>
      </c>
      <c r="G361" t="s">
        <v>372</v>
      </c>
      <c r="H361" t="s">
        <v>326</v>
      </c>
      <c r="I361">
        <v>77016</v>
      </c>
    </row>
    <row r="362" spans="1:9" x14ac:dyDescent="0.3">
      <c r="A362">
        <v>361</v>
      </c>
      <c r="B362" t="s">
        <v>2616</v>
      </c>
      <c r="C362" t="s">
        <v>1284</v>
      </c>
      <c r="D362" t="s">
        <v>6299</v>
      </c>
      <c r="E362" t="s">
        <v>2617</v>
      </c>
      <c r="F362" t="s">
        <v>2618</v>
      </c>
      <c r="G362" t="s">
        <v>2619</v>
      </c>
      <c r="H362" t="s">
        <v>320</v>
      </c>
      <c r="I362">
        <v>11580</v>
      </c>
    </row>
    <row r="363" spans="1:9" x14ac:dyDescent="0.3">
      <c r="A363">
        <v>362</v>
      </c>
      <c r="B363" t="s">
        <v>1886</v>
      </c>
      <c r="C363" t="s">
        <v>2620</v>
      </c>
      <c r="D363" t="s">
        <v>6299</v>
      </c>
      <c r="E363" t="s">
        <v>2621</v>
      </c>
      <c r="F363" t="s">
        <v>2622</v>
      </c>
      <c r="G363" t="s">
        <v>2262</v>
      </c>
      <c r="H363" t="s">
        <v>320</v>
      </c>
      <c r="I363">
        <v>12401</v>
      </c>
    </row>
    <row r="364" spans="1:9" x14ac:dyDescent="0.3">
      <c r="A364">
        <v>363</v>
      </c>
      <c r="B364" t="s">
        <v>2623</v>
      </c>
      <c r="C364" t="s">
        <v>2624</v>
      </c>
      <c r="D364" t="s">
        <v>6299</v>
      </c>
      <c r="E364" t="s">
        <v>2625</v>
      </c>
      <c r="F364" t="s">
        <v>2626</v>
      </c>
      <c r="G364" t="s">
        <v>1973</v>
      </c>
      <c r="H364" t="s">
        <v>320</v>
      </c>
      <c r="I364">
        <v>12020</v>
      </c>
    </row>
    <row r="365" spans="1:9" x14ac:dyDescent="0.3">
      <c r="A365">
        <v>364</v>
      </c>
      <c r="B365" t="s">
        <v>2627</v>
      </c>
      <c r="C365" t="s">
        <v>2628</v>
      </c>
      <c r="D365" t="s">
        <v>6299</v>
      </c>
      <c r="E365" t="s">
        <v>2629</v>
      </c>
      <c r="F365" t="s">
        <v>2630</v>
      </c>
      <c r="G365" t="s">
        <v>2631</v>
      </c>
      <c r="H365" t="s">
        <v>320</v>
      </c>
      <c r="I365">
        <v>14850</v>
      </c>
    </row>
    <row r="366" spans="1:9" x14ac:dyDescent="0.3">
      <c r="A366">
        <v>365</v>
      </c>
      <c r="B366" t="s">
        <v>2632</v>
      </c>
      <c r="C366" t="s">
        <v>2633</v>
      </c>
      <c r="D366" t="s">
        <v>6299</v>
      </c>
      <c r="E366" t="s">
        <v>2634</v>
      </c>
      <c r="F366" t="s">
        <v>2635</v>
      </c>
      <c r="G366" t="s">
        <v>1516</v>
      </c>
      <c r="H366" t="s">
        <v>320</v>
      </c>
      <c r="I366">
        <v>11361</v>
      </c>
    </row>
    <row r="367" spans="1:9" x14ac:dyDescent="0.3">
      <c r="A367">
        <v>366</v>
      </c>
      <c r="B367" t="s">
        <v>2636</v>
      </c>
      <c r="C367" t="s">
        <v>2415</v>
      </c>
      <c r="D367" t="s">
        <v>6299</v>
      </c>
      <c r="E367" t="s">
        <v>2637</v>
      </c>
      <c r="F367" t="s">
        <v>2638</v>
      </c>
      <c r="G367" t="s">
        <v>1569</v>
      </c>
      <c r="H367" t="s">
        <v>320</v>
      </c>
      <c r="I367">
        <v>11001</v>
      </c>
    </row>
    <row r="368" spans="1:9" x14ac:dyDescent="0.3">
      <c r="A368">
        <v>367</v>
      </c>
      <c r="B368" t="s">
        <v>2639</v>
      </c>
      <c r="C368" t="s">
        <v>2243</v>
      </c>
      <c r="D368" t="s">
        <v>6299</v>
      </c>
      <c r="E368" t="s">
        <v>2640</v>
      </c>
      <c r="F368" t="s">
        <v>2641</v>
      </c>
      <c r="G368" t="s">
        <v>2275</v>
      </c>
      <c r="H368" t="s">
        <v>320</v>
      </c>
      <c r="I368">
        <v>11417</v>
      </c>
    </row>
    <row r="369" spans="1:9" x14ac:dyDescent="0.3">
      <c r="A369">
        <v>368</v>
      </c>
      <c r="B369" t="s">
        <v>2642</v>
      </c>
      <c r="C369" t="s">
        <v>2607</v>
      </c>
      <c r="D369" t="s">
        <v>6299</v>
      </c>
      <c r="E369" t="s">
        <v>2643</v>
      </c>
      <c r="F369" t="s">
        <v>2644</v>
      </c>
      <c r="G369" t="s">
        <v>2526</v>
      </c>
      <c r="H369" t="s">
        <v>320</v>
      </c>
      <c r="I369">
        <v>11375</v>
      </c>
    </row>
    <row r="370" spans="1:9" x14ac:dyDescent="0.3">
      <c r="A370">
        <v>369</v>
      </c>
      <c r="B370" t="s">
        <v>2645</v>
      </c>
      <c r="C370" t="s">
        <v>2646</v>
      </c>
      <c r="D370" t="s">
        <v>6299</v>
      </c>
      <c r="E370" t="s">
        <v>2647</v>
      </c>
      <c r="F370" t="s">
        <v>2648</v>
      </c>
      <c r="G370" t="s">
        <v>1819</v>
      </c>
      <c r="H370" t="s">
        <v>320</v>
      </c>
      <c r="I370">
        <v>11377</v>
      </c>
    </row>
    <row r="371" spans="1:9" x14ac:dyDescent="0.3">
      <c r="A371">
        <v>370</v>
      </c>
      <c r="B371" t="s">
        <v>2649</v>
      </c>
      <c r="C371" t="s">
        <v>2650</v>
      </c>
      <c r="D371" t="s">
        <v>6299</v>
      </c>
      <c r="E371" t="s">
        <v>2651</v>
      </c>
      <c r="F371" t="s">
        <v>2652</v>
      </c>
      <c r="G371" t="s">
        <v>1632</v>
      </c>
      <c r="H371" t="s">
        <v>320</v>
      </c>
      <c r="I371">
        <v>11414</v>
      </c>
    </row>
    <row r="372" spans="1:9" x14ac:dyDescent="0.3">
      <c r="A372">
        <v>371</v>
      </c>
      <c r="B372" t="s">
        <v>2653</v>
      </c>
      <c r="C372" t="s">
        <v>1093</v>
      </c>
      <c r="D372" t="s">
        <v>6299</v>
      </c>
      <c r="E372" t="s">
        <v>2654</v>
      </c>
      <c r="F372" t="s">
        <v>2655</v>
      </c>
      <c r="G372" t="s">
        <v>2656</v>
      </c>
      <c r="H372" t="s">
        <v>320</v>
      </c>
      <c r="I372">
        <v>11422</v>
      </c>
    </row>
    <row r="373" spans="1:9" x14ac:dyDescent="0.3">
      <c r="A373">
        <v>372</v>
      </c>
      <c r="B373" t="s">
        <v>2657</v>
      </c>
      <c r="C373" t="s">
        <v>2658</v>
      </c>
      <c r="D373" t="s">
        <v>6299</v>
      </c>
      <c r="E373" t="s">
        <v>2659</v>
      </c>
      <c r="F373" t="s">
        <v>2660</v>
      </c>
      <c r="G373" t="s">
        <v>2661</v>
      </c>
      <c r="H373" t="s">
        <v>320</v>
      </c>
      <c r="I373">
        <v>12590</v>
      </c>
    </row>
    <row r="374" spans="1:9" x14ac:dyDescent="0.3">
      <c r="A374">
        <v>373</v>
      </c>
      <c r="B374" t="s">
        <v>2662</v>
      </c>
      <c r="C374" t="s">
        <v>2663</v>
      </c>
      <c r="D374" t="s">
        <v>6299</v>
      </c>
      <c r="E374" t="s">
        <v>2664</v>
      </c>
      <c r="F374" t="s">
        <v>2665</v>
      </c>
      <c r="G374" t="s">
        <v>1321</v>
      </c>
      <c r="H374" t="s">
        <v>320</v>
      </c>
      <c r="I374">
        <v>13501</v>
      </c>
    </row>
    <row r="375" spans="1:9" x14ac:dyDescent="0.3">
      <c r="A375">
        <v>374</v>
      </c>
      <c r="B375" t="s">
        <v>2666</v>
      </c>
      <c r="C375" t="s">
        <v>2667</v>
      </c>
      <c r="D375" t="s">
        <v>6299</v>
      </c>
      <c r="E375" t="s">
        <v>2668</v>
      </c>
      <c r="F375" t="s">
        <v>2669</v>
      </c>
      <c r="G375" t="s">
        <v>1306</v>
      </c>
      <c r="H375" t="s">
        <v>320</v>
      </c>
      <c r="I375">
        <v>11566</v>
      </c>
    </row>
    <row r="376" spans="1:9" x14ac:dyDescent="0.3">
      <c r="A376">
        <v>375</v>
      </c>
      <c r="B376" t="s">
        <v>1467</v>
      </c>
      <c r="C376" t="s">
        <v>2663</v>
      </c>
      <c r="D376" t="s">
        <v>6299</v>
      </c>
      <c r="E376" t="s">
        <v>2670</v>
      </c>
      <c r="F376" t="s">
        <v>2671</v>
      </c>
      <c r="G376" t="s">
        <v>1074</v>
      </c>
      <c r="H376" t="s">
        <v>320</v>
      </c>
      <c r="I376">
        <v>11553</v>
      </c>
    </row>
    <row r="377" spans="1:9" x14ac:dyDescent="0.3">
      <c r="A377">
        <v>376</v>
      </c>
      <c r="B377" t="s">
        <v>2672</v>
      </c>
      <c r="C377" t="s">
        <v>2673</v>
      </c>
      <c r="D377" t="s">
        <v>6299</v>
      </c>
      <c r="E377" t="s">
        <v>2674</v>
      </c>
      <c r="F377" t="s">
        <v>2675</v>
      </c>
      <c r="G377" t="s">
        <v>1161</v>
      </c>
      <c r="H377" t="s">
        <v>326</v>
      </c>
      <c r="I377">
        <v>77904</v>
      </c>
    </row>
    <row r="378" spans="1:9" x14ac:dyDescent="0.3">
      <c r="A378">
        <v>377</v>
      </c>
      <c r="B378" t="s">
        <v>1897</v>
      </c>
      <c r="C378" t="s">
        <v>1326</v>
      </c>
      <c r="D378" t="s">
        <v>6299</v>
      </c>
      <c r="E378" t="s">
        <v>2676</v>
      </c>
      <c r="F378" t="s">
        <v>2677</v>
      </c>
      <c r="G378" t="s">
        <v>1731</v>
      </c>
      <c r="H378" t="s">
        <v>320</v>
      </c>
      <c r="I378">
        <v>10573</v>
      </c>
    </row>
    <row r="379" spans="1:9" x14ac:dyDescent="0.3">
      <c r="A379">
        <v>378</v>
      </c>
      <c r="B379" t="s">
        <v>2678</v>
      </c>
      <c r="C379" t="s">
        <v>2679</v>
      </c>
      <c r="D379" t="s">
        <v>6299</v>
      </c>
      <c r="E379" t="s">
        <v>2680</v>
      </c>
      <c r="F379" t="s">
        <v>2681</v>
      </c>
      <c r="G379" t="s">
        <v>2539</v>
      </c>
      <c r="H379" t="s">
        <v>320</v>
      </c>
      <c r="I379">
        <v>10550</v>
      </c>
    </row>
    <row r="380" spans="1:9" x14ac:dyDescent="0.3">
      <c r="A380">
        <v>379</v>
      </c>
      <c r="B380" t="s">
        <v>2682</v>
      </c>
      <c r="C380" t="s">
        <v>2683</v>
      </c>
      <c r="D380" t="s">
        <v>6299</v>
      </c>
      <c r="E380" t="s">
        <v>2684</v>
      </c>
      <c r="F380" t="s">
        <v>2685</v>
      </c>
      <c r="G380" t="s">
        <v>1074</v>
      </c>
      <c r="H380" t="s">
        <v>320</v>
      </c>
      <c r="I380">
        <v>11553</v>
      </c>
    </row>
    <row r="381" spans="1:9" x14ac:dyDescent="0.3">
      <c r="A381">
        <v>380</v>
      </c>
      <c r="B381" t="s">
        <v>2686</v>
      </c>
      <c r="C381" t="s">
        <v>1595</v>
      </c>
      <c r="D381" t="s">
        <v>6299</v>
      </c>
      <c r="E381" t="s">
        <v>2687</v>
      </c>
      <c r="F381" t="s">
        <v>2688</v>
      </c>
      <c r="G381" t="s">
        <v>2010</v>
      </c>
      <c r="H381" t="s">
        <v>320</v>
      </c>
      <c r="I381">
        <v>11784</v>
      </c>
    </row>
    <row r="382" spans="1:9" x14ac:dyDescent="0.3">
      <c r="A382">
        <v>381</v>
      </c>
      <c r="B382" t="s">
        <v>2689</v>
      </c>
      <c r="C382" t="s">
        <v>2481</v>
      </c>
      <c r="D382" t="s">
        <v>6299</v>
      </c>
      <c r="E382" t="s">
        <v>2690</v>
      </c>
      <c r="F382" t="s">
        <v>2691</v>
      </c>
      <c r="G382" t="s">
        <v>1334</v>
      </c>
      <c r="H382" t="s">
        <v>320</v>
      </c>
      <c r="I382">
        <v>10451</v>
      </c>
    </row>
    <row r="383" spans="1:9" x14ac:dyDescent="0.3">
      <c r="A383">
        <v>382</v>
      </c>
      <c r="B383" t="s">
        <v>2692</v>
      </c>
      <c r="C383" t="s">
        <v>1900</v>
      </c>
      <c r="D383" t="s">
        <v>6299</v>
      </c>
      <c r="E383" t="s">
        <v>2693</v>
      </c>
      <c r="F383" t="s">
        <v>2694</v>
      </c>
      <c r="G383" t="s">
        <v>1632</v>
      </c>
      <c r="H383" t="s">
        <v>320</v>
      </c>
      <c r="I383">
        <v>11414</v>
      </c>
    </row>
    <row r="384" spans="1:9" x14ac:dyDescent="0.3">
      <c r="A384">
        <v>383</v>
      </c>
      <c r="B384" t="s">
        <v>2695</v>
      </c>
      <c r="C384" t="s">
        <v>2696</v>
      </c>
      <c r="D384" t="s">
        <v>6299</v>
      </c>
      <c r="E384" t="s">
        <v>2697</v>
      </c>
      <c r="F384" t="s">
        <v>2698</v>
      </c>
      <c r="G384" t="s">
        <v>2035</v>
      </c>
      <c r="H384" t="s">
        <v>320</v>
      </c>
      <c r="I384">
        <v>11357</v>
      </c>
    </row>
    <row r="385" spans="1:9" x14ac:dyDescent="0.3">
      <c r="A385">
        <v>384</v>
      </c>
      <c r="B385" t="s">
        <v>2699</v>
      </c>
      <c r="C385" t="s">
        <v>2700</v>
      </c>
      <c r="D385" t="s">
        <v>6299</v>
      </c>
      <c r="E385" t="s">
        <v>2701</v>
      </c>
      <c r="F385" t="s">
        <v>2702</v>
      </c>
      <c r="G385" t="s">
        <v>2703</v>
      </c>
      <c r="H385" t="s">
        <v>320</v>
      </c>
      <c r="I385">
        <v>11354</v>
      </c>
    </row>
    <row r="386" spans="1:9" x14ac:dyDescent="0.3">
      <c r="A386">
        <v>385</v>
      </c>
      <c r="B386" t="s">
        <v>2704</v>
      </c>
      <c r="C386" t="s">
        <v>2705</v>
      </c>
      <c r="D386" t="s">
        <v>6299</v>
      </c>
      <c r="E386" t="s">
        <v>2706</v>
      </c>
      <c r="F386" t="s">
        <v>2707</v>
      </c>
      <c r="G386" t="s">
        <v>1316</v>
      </c>
      <c r="H386" t="s">
        <v>314</v>
      </c>
      <c r="I386">
        <v>91740</v>
      </c>
    </row>
    <row r="387" spans="1:9" x14ac:dyDescent="0.3">
      <c r="A387">
        <v>386</v>
      </c>
      <c r="B387" t="s">
        <v>2708</v>
      </c>
      <c r="C387" t="s">
        <v>2709</v>
      </c>
      <c r="D387" t="s">
        <v>6299</v>
      </c>
      <c r="E387" t="s">
        <v>2710</v>
      </c>
      <c r="F387" t="s">
        <v>2711</v>
      </c>
      <c r="G387" t="s">
        <v>1480</v>
      </c>
      <c r="H387" t="s">
        <v>314</v>
      </c>
      <c r="I387">
        <v>91784</v>
      </c>
    </row>
    <row r="388" spans="1:9" x14ac:dyDescent="0.3">
      <c r="A388">
        <v>387</v>
      </c>
      <c r="B388" t="s">
        <v>2712</v>
      </c>
      <c r="C388" t="s">
        <v>2713</v>
      </c>
      <c r="D388" t="s">
        <v>6299</v>
      </c>
      <c r="E388" t="s">
        <v>2714</v>
      </c>
      <c r="F388" t="s">
        <v>2715</v>
      </c>
      <c r="G388" t="s">
        <v>1560</v>
      </c>
      <c r="H388" t="s">
        <v>320</v>
      </c>
      <c r="I388">
        <v>11373</v>
      </c>
    </row>
    <row r="389" spans="1:9" x14ac:dyDescent="0.3">
      <c r="A389">
        <v>388</v>
      </c>
      <c r="B389" t="s">
        <v>1152</v>
      </c>
      <c r="C389" t="s">
        <v>1644</v>
      </c>
      <c r="D389" t="s">
        <v>6299</v>
      </c>
      <c r="E389" t="s">
        <v>2716</v>
      </c>
      <c r="F389" t="s">
        <v>2717</v>
      </c>
      <c r="G389" t="s">
        <v>2035</v>
      </c>
      <c r="H389" t="s">
        <v>320</v>
      </c>
      <c r="I389">
        <v>11357</v>
      </c>
    </row>
    <row r="390" spans="1:9" x14ac:dyDescent="0.3">
      <c r="A390">
        <v>389</v>
      </c>
      <c r="B390" t="s">
        <v>2718</v>
      </c>
      <c r="C390" t="s">
        <v>2719</v>
      </c>
      <c r="D390" t="s">
        <v>6299</v>
      </c>
      <c r="E390" t="s">
        <v>2720</v>
      </c>
      <c r="F390" t="s">
        <v>2721</v>
      </c>
      <c r="G390" t="s">
        <v>1353</v>
      </c>
      <c r="H390" t="s">
        <v>326</v>
      </c>
      <c r="I390">
        <v>76901</v>
      </c>
    </row>
    <row r="391" spans="1:9" x14ac:dyDescent="0.3">
      <c r="A391">
        <v>390</v>
      </c>
      <c r="B391" t="s">
        <v>1373</v>
      </c>
      <c r="C391" t="s">
        <v>2722</v>
      </c>
      <c r="D391" t="s">
        <v>6299</v>
      </c>
      <c r="E391" t="s">
        <v>2723</v>
      </c>
      <c r="F391" t="s">
        <v>2724</v>
      </c>
      <c r="G391" t="s">
        <v>2288</v>
      </c>
      <c r="H391" t="s">
        <v>320</v>
      </c>
      <c r="I391">
        <v>11779</v>
      </c>
    </row>
    <row r="392" spans="1:9" x14ac:dyDescent="0.3">
      <c r="A392">
        <v>391</v>
      </c>
      <c r="B392" t="s">
        <v>2725</v>
      </c>
      <c r="C392" t="s">
        <v>2726</v>
      </c>
      <c r="D392" t="s">
        <v>6299</v>
      </c>
      <c r="E392" t="s">
        <v>2727</v>
      </c>
      <c r="F392" t="s">
        <v>2728</v>
      </c>
      <c r="G392" t="s">
        <v>2729</v>
      </c>
      <c r="H392" t="s">
        <v>314</v>
      </c>
      <c r="I392">
        <v>93635</v>
      </c>
    </row>
    <row r="393" spans="1:9" x14ac:dyDescent="0.3">
      <c r="A393">
        <v>392</v>
      </c>
      <c r="B393" t="s">
        <v>2730</v>
      </c>
      <c r="C393" t="s">
        <v>2731</v>
      </c>
      <c r="D393" t="s">
        <v>6299</v>
      </c>
      <c r="E393" t="s">
        <v>2732</v>
      </c>
      <c r="F393" t="s">
        <v>2733</v>
      </c>
      <c r="G393" t="s">
        <v>1560</v>
      </c>
      <c r="H393" t="s">
        <v>320</v>
      </c>
      <c r="I393">
        <v>11373</v>
      </c>
    </row>
    <row r="394" spans="1:9" x14ac:dyDescent="0.3">
      <c r="A394">
        <v>393</v>
      </c>
      <c r="B394" t="s">
        <v>2734</v>
      </c>
      <c r="C394" t="s">
        <v>2735</v>
      </c>
      <c r="D394" t="s">
        <v>6299</v>
      </c>
      <c r="E394" t="s">
        <v>2736</v>
      </c>
      <c r="F394" t="s">
        <v>2737</v>
      </c>
      <c r="G394" t="s">
        <v>1480</v>
      </c>
      <c r="H394" t="s">
        <v>314</v>
      </c>
      <c r="I394">
        <v>91784</v>
      </c>
    </row>
    <row r="395" spans="1:9" x14ac:dyDescent="0.3">
      <c r="A395">
        <v>394</v>
      </c>
      <c r="B395" t="s">
        <v>2738</v>
      </c>
      <c r="C395" t="s">
        <v>2739</v>
      </c>
      <c r="D395" t="s">
        <v>6299</v>
      </c>
      <c r="E395" t="s">
        <v>2740</v>
      </c>
      <c r="F395" t="s">
        <v>2741</v>
      </c>
      <c r="G395" t="s">
        <v>1404</v>
      </c>
      <c r="H395" t="s">
        <v>314</v>
      </c>
      <c r="I395">
        <v>91733</v>
      </c>
    </row>
    <row r="396" spans="1:9" x14ac:dyDescent="0.3">
      <c r="A396">
        <v>395</v>
      </c>
      <c r="B396" t="s">
        <v>2742</v>
      </c>
      <c r="C396" t="s">
        <v>2743</v>
      </c>
      <c r="D396" t="s">
        <v>6299</v>
      </c>
      <c r="E396" t="s">
        <v>2744</v>
      </c>
      <c r="F396" t="s">
        <v>2745</v>
      </c>
      <c r="G396" t="s">
        <v>1236</v>
      </c>
      <c r="H396" t="s">
        <v>320</v>
      </c>
      <c r="I396">
        <v>13090</v>
      </c>
    </row>
    <row r="397" spans="1:9" x14ac:dyDescent="0.3">
      <c r="A397">
        <v>396</v>
      </c>
      <c r="B397" t="s">
        <v>2746</v>
      </c>
      <c r="C397" t="s">
        <v>2747</v>
      </c>
      <c r="D397" t="s">
        <v>6299</v>
      </c>
      <c r="E397" t="s">
        <v>2748</v>
      </c>
      <c r="F397" t="s">
        <v>2749</v>
      </c>
      <c r="G397" t="s">
        <v>2164</v>
      </c>
      <c r="H397" t="s">
        <v>320</v>
      </c>
      <c r="I397">
        <v>14304</v>
      </c>
    </row>
    <row r="398" spans="1:9" x14ac:dyDescent="0.3">
      <c r="A398">
        <v>397</v>
      </c>
      <c r="B398" t="s">
        <v>2750</v>
      </c>
      <c r="C398" t="s">
        <v>2751</v>
      </c>
      <c r="D398" t="s">
        <v>6299</v>
      </c>
      <c r="E398" t="s">
        <v>2752</v>
      </c>
      <c r="F398" t="s">
        <v>2753</v>
      </c>
      <c r="G398" t="s">
        <v>1485</v>
      </c>
      <c r="H398" t="s">
        <v>320</v>
      </c>
      <c r="I398">
        <v>11010</v>
      </c>
    </row>
    <row r="399" spans="1:9" x14ac:dyDescent="0.3">
      <c r="A399">
        <v>398</v>
      </c>
      <c r="B399" t="s">
        <v>2754</v>
      </c>
      <c r="C399" t="s">
        <v>2755</v>
      </c>
      <c r="D399" t="s">
        <v>6299</v>
      </c>
      <c r="E399" t="s">
        <v>2756</v>
      </c>
      <c r="F399" t="s">
        <v>2757</v>
      </c>
      <c r="G399" t="s">
        <v>1192</v>
      </c>
      <c r="H399" t="s">
        <v>320</v>
      </c>
      <c r="I399">
        <v>11104</v>
      </c>
    </row>
    <row r="400" spans="1:9" x14ac:dyDescent="0.3">
      <c r="A400">
        <v>399</v>
      </c>
      <c r="B400" t="s">
        <v>2758</v>
      </c>
      <c r="C400" t="s">
        <v>1864</v>
      </c>
      <c r="D400" t="s">
        <v>6299</v>
      </c>
      <c r="E400" t="s">
        <v>2759</v>
      </c>
      <c r="F400" t="s">
        <v>2760</v>
      </c>
      <c r="G400" t="s">
        <v>2262</v>
      </c>
      <c r="H400" t="s">
        <v>320</v>
      </c>
      <c r="I400">
        <v>12401</v>
      </c>
    </row>
    <row r="401" spans="1:9" x14ac:dyDescent="0.3">
      <c r="A401">
        <v>400</v>
      </c>
      <c r="B401" t="s">
        <v>2761</v>
      </c>
      <c r="C401" t="s">
        <v>2762</v>
      </c>
      <c r="D401" t="s">
        <v>6299</v>
      </c>
      <c r="E401" t="s">
        <v>2763</v>
      </c>
      <c r="F401" t="s">
        <v>2764</v>
      </c>
      <c r="G401" t="s">
        <v>2765</v>
      </c>
      <c r="H401" t="s">
        <v>320</v>
      </c>
      <c r="I401">
        <v>14043</v>
      </c>
    </row>
    <row r="402" spans="1:9" x14ac:dyDescent="0.3">
      <c r="A402">
        <v>401</v>
      </c>
      <c r="B402" t="s">
        <v>2766</v>
      </c>
      <c r="C402" t="s">
        <v>2558</v>
      </c>
      <c r="D402" t="s">
        <v>6299</v>
      </c>
      <c r="E402" t="s">
        <v>2767</v>
      </c>
      <c r="F402" t="s">
        <v>2768</v>
      </c>
      <c r="G402" t="s">
        <v>1121</v>
      </c>
      <c r="H402" t="s">
        <v>326</v>
      </c>
      <c r="I402">
        <v>75604</v>
      </c>
    </row>
    <row r="403" spans="1:9" x14ac:dyDescent="0.3">
      <c r="A403">
        <v>402</v>
      </c>
      <c r="B403" t="s">
        <v>2769</v>
      </c>
      <c r="C403" t="s">
        <v>1901</v>
      </c>
      <c r="D403" t="s">
        <v>6299</v>
      </c>
      <c r="E403" t="s">
        <v>2770</v>
      </c>
      <c r="F403" t="s">
        <v>2771</v>
      </c>
      <c r="G403" t="s">
        <v>1615</v>
      </c>
      <c r="H403" t="s">
        <v>320</v>
      </c>
      <c r="I403">
        <v>14534</v>
      </c>
    </row>
    <row r="404" spans="1:9" x14ac:dyDescent="0.3">
      <c r="A404">
        <v>403</v>
      </c>
      <c r="B404" t="s">
        <v>2772</v>
      </c>
      <c r="C404" t="s">
        <v>2773</v>
      </c>
      <c r="D404" t="s">
        <v>6299</v>
      </c>
      <c r="E404" t="s">
        <v>2774</v>
      </c>
      <c r="F404" t="s">
        <v>2775</v>
      </c>
      <c r="G404" t="s">
        <v>2138</v>
      </c>
      <c r="H404" t="s">
        <v>314</v>
      </c>
      <c r="I404">
        <v>91387</v>
      </c>
    </row>
    <row r="405" spans="1:9" x14ac:dyDescent="0.3">
      <c r="A405">
        <v>404</v>
      </c>
      <c r="B405" t="s">
        <v>2776</v>
      </c>
      <c r="C405" t="s">
        <v>1883</v>
      </c>
      <c r="D405" t="s">
        <v>6299</v>
      </c>
      <c r="E405" t="s">
        <v>2777</v>
      </c>
      <c r="F405" t="s">
        <v>2778</v>
      </c>
      <c r="G405" t="s">
        <v>1973</v>
      </c>
      <c r="H405" t="s">
        <v>320</v>
      </c>
      <c r="I405">
        <v>12020</v>
      </c>
    </row>
    <row r="406" spans="1:9" x14ac:dyDescent="0.3">
      <c r="A406">
        <v>405</v>
      </c>
      <c r="B406" t="s">
        <v>2779</v>
      </c>
      <c r="C406" t="s">
        <v>1778</v>
      </c>
      <c r="D406" t="s">
        <v>6299</v>
      </c>
      <c r="E406" t="s">
        <v>2780</v>
      </c>
      <c r="F406" t="s">
        <v>2781</v>
      </c>
      <c r="G406" t="s">
        <v>1533</v>
      </c>
      <c r="H406" t="s">
        <v>320</v>
      </c>
      <c r="I406">
        <v>11725</v>
      </c>
    </row>
    <row r="407" spans="1:9" x14ac:dyDescent="0.3">
      <c r="A407">
        <v>406</v>
      </c>
      <c r="B407" t="s">
        <v>2769</v>
      </c>
      <c r="C407" t="s">
        <v>1952</v>
      </c>
      <c r="D407" t="s">
        <v>6299</v>
      </c>
      <c r="E407" t="s">
        <v>2782</v>
      </c>
      <c r="F407" t="s">
        <v>2783</v>
      </c>
      <c r="G407" t="s">
        <v>2784</v>
      </c>
      <c r="H407" t="s">
        <v>320</v>
      </c>
      <c r="I407">
        <v>11967</v>
      </c>
    </row>
    <row r="408" spans="1:9" x14ac:dyDescent="0.3">
      <c r="A408">
        <v>407</v>
      </c>
      <c r="B408" t="s">
        <v>2785</v>
      </c>
      <c r="C408" t="s">
        <v>2786</v>
      </c>
      <c r="D408" t="s">
        <v>6299</v>
      </c>
      <c r="E408" t="s">
        <v>2787</v>
      </c>
      <c r="F408" t="s">
        <v>2788</v>
      </c>
      <c r="G408" t="s">
        <v>2156</v>
      </c>
      <c r="H408" t="s">
        <v>314</v>
      </c>
      <c r="I408">
        <v>94806</v>
      </c>
    </row>
    <row r="409" spans="1:9" x14ac:dyDescent="0.3">
      <c r="A409">
        <v>408</v>
      </c>
      <c r="B409" t="s">
        <v>2789</v>
      </c>
      <c r="C409" t="s">
        <v>2790</v>
      </c>
      <c r="D409" t="s">
        <v>6299</v>
      </c>
      <c r="E409" t="s">
        <v>2791</v>
      </c>
      <c r="F409" t="s">
        <v>2792</v>
      </c>
      <c r="G409" t="s">
        <v>1339</v>
      </c>
      <c r="H409" t="s">
        <v>320</v>
      </c>
      <c r="I409">
        <v>11722</v>
      </c>
    </row>
    <row r="410" spans="1:9" x14ac:dyDescent="0.3">
      <c r="A410">
        <v>409</v>
      </c>
      <c r="B410" t="s">
        <v>2793</v>
      </c>
      <c r="C410" t="s">
        <v>1975</v>
      </c>
      <c r="D410" t="s">
        <v>6299</v>
      </c>
      <c r="E410" t="s">
        <v>2794</v>
      </c>
      <c r="F410" t="s">
        <v>2795</v>
      </c>
      <c r="G410" t="s">
        <v>2796</v>
      </c>
      <c r="H410" t="s">
        <v>320</v>
      </c>
      <c r="I410">
        <v>10512</v>
      </c>
    </row>
    <row r="411" spans="1:9" x14ac:dyDescent="0.3">
      <c r="A411">
        <v>410</v>
      </c>
      <c r="B411" t="s">
        <v>2797</v>
      </c>
      <c r="C411" t="s">
        <v>2465</v>
      </c>
      <c r="D411" t="s">
        <v>6299</v>
      </c>
      <c r="E411" t="s">
        <v>2798</v>
      </c>
      <c r="F411" t="s">
        <v>2799</v>
      </c>
      <c r="G411" t="s">
        <v>2257</v>
      </c>
      <c r="H411" t="s">
        <v>320</v>
      </c>
      <c r="I411">
        <v>11710</v>
      </c>
    </row>
    <row r="412" spans="1:9" x14ac:dyDescent="0.3">
      <c r="A412">
        <v>411</v>
      </c>
      <c r="B412" t="s">
        <v>2800</v>
      </c>
      <c r="C412" t="s">
        <v>2801</v>
      </c>
      <c r="D412" t="s">
        <v>2802</v>
      </c>
      <c r="E412" t="s">
        <v>2803</v>
      </c>
      <c r="F412" t="s">
        <v>2804</v>
      </c>
      <c r="G412" t="s">
        <v>1137</v>
      </c>
      <c r="H412" t="s">
        <v>320</v>
      </c>
      <c r="I412">
        <v>10002</v>
      </c>
    </row>
    <row r="413" spans="1:9" x14ac:dyDescent="0.3">
      <c r="A413">
        <v>412</v>
      </c>
      <c r="B413" t="s">
        <v>2805</v>
      </c>
      <c r="C413" t="s">
        <v>2806</v>
      </c>
      <c r="D413" t="s">
        <v>6299</v>
      </c>
      <c r="E413" t="s">
        <v>2807</v>
      </c>
      <c r="F413" t="s">
        <v>2808</v>
      </c>
      <c r="G413" t="s">
        <v>1192</v>
      </c>
      <c r="H413" t="s">
        <v>320</v>
      </c>
      <c r="I413">
        <v>11104</v>
      </c>
    </row>
    <row r="414" spans="1:9" x14ac:dyDescent="0.3">
      <c r="A414">
        <v>413</v>
      </c>
      <c r="B414" t="s">
        <v>2809</v>
      </c>
      <c r="C414" t="s">
        <v>2810</v>
      </c>
      <c r="D414" t="s">
        <v>6299</v>
      </c>
      <c r="E414" t="s">
        <v>2811</v>
      </c>
      <c r="F414" t="s">
        <v>2812</v>
      </c>
      <c r="G414" t="s">
        <v>319</v>
      </c>
      <c r="H414" t="s">
        <v>320</v>
      </c>
      <c r="I414">
        <v>11510</v>
      </c>
    </row>
    <row r="415" spans="1:9" x14ac:dyDescent="0.3">
      <c r="A415">
        <v>414</v>
      </c>
      <c r="B415" t="s">
        <v>2813</v>
      </c>
      <c r="C415" t="s">
        <v>2814</v>
      </c>
      <c r="D415" t="s">
        <v>6299</v>
      </c>
      <c r="E415" t="s">
        <v>2815</v>
      </c>
      <c r="F415" t="s">
        <v>2816</v>
      </c>
      <c r="G415" t="s">
        <v>2631</v>
      </c>
      <c r="H415" t="s">
        <v>320</v>
      </c>
      <c r="I415">
        <v>14850</v>
      </c>
    </row>
    <row r="416" spans="1:9" x14ac:dyDescent="0.3">
      <c r="A416">
        <v>415</v>
      </c>
      <c r="B416" t="s">
        <v>2817</v>
      </c>
      <c r="C416" t="s">
        <v>2818</v>
      </c>
      <c r="D416" t="s">
        <v>6299</v>
      </c>
      <c r="E416" t="s">
        <v>2819</v>
      </c>
      <c r="F416" t="s">
        <v>2820</v>
      </c>
      <c r="G416" t="s">
        <v>2821</v>
      </c>
      <c r="H416" t="s">
        <v>326</v>
      </c>
      <c r="I416">
        <v>78552</v>
      </c>
    </row>
    <row r="417" spans="1:9" x14ac:dyDescent="0.3">
      <c r="A417">
        <v>416</v>
      </c>
      <c r="B417" t="s">
        <v>2822</v>
      </c>
      <c r="C417" t="s">
        <v>2823</v>
      </c>
      <c r="D417" t="s">
        <v>2824</v>
      </c>
      <c r="E417" t="s">
        <v>2825</v>
      </c>
      <c r="F417" t="s">
        <v>2826</v>
      </c>
      <c r="G417" t="s">
        <v>1116</v>
      </c>
      <c r="H417" t="s">
        <v>320</v>
      </c>
      <c r="I417">
        <v>11550</v>
      </c>
    </row>
    <row r="418" spans="1:9" x14ac:dyDescent="0.3">
      <c r="A418">
        <v>417</v>
      </c>
      <c r="B418" t="s">
        <v>2827</v>
      </c>
      <c r="C418" t="s">
        <v>2828</v>
      </c>
      <c r="D418" t="s">
        <v>6299</v>
      </c>
      <c r="E418" t="s">
        <v>2829</v>
      </c>
      <c r="F418" t="s">
        <v>2830</v>
      </c>
      <c r="G418" t="s">
        <v>1462</v>
      </c>
      <c r="H418" t="s">
        <v>320</v>
      </c>
      <c r="I418">
        <v>11746</v>
      </c>
    </row>
    <row r="419" spans="1:9" x14ac:dyDescent="0.3">
      <c r="A419">
        <v>418</v>
      </c>
      <c r="B419" t="s">
        <v>2831</v>
      </c>
      <c r="C419" t="s">
        <v>1900</v>
      </c>
      <c r="D419" t="s">
        <v>2832</v>
      </c>
      <c r="E419" t="s">
        <v>2833</v>
      </c>
      <c r="F419" t="s">
        <v>2834</v>
      </c>
      <c r="G419" t="s">
        <v>1846</v>
      </c>
      <c r="H419" t="s">
        <v>314</v>
      </c>
      <c r="I419">
        <v>93035</v>
      </c>
    </row>
    <row r="420" spans="1:9" x14ac:dyDescent="0.3">
      <c r="A420">
        <v>419</v>
      </c>
      <c r="B420" t="s">
        <v>2835</v>
      </c>
      <c r="C420" t="s">
        <v>2836</v>
      </c>
      <c r="D420" t="s">
        <v>6299</v>
      </c>
      <c r="E420" t="s">
        <v>2837</v>
      </c>
      <c r="F420" t="s">
        <v>2838</v>
      </c>
      <c r="G420" t="s">
        <v>2316</v>
      </c>
      <c r="H420" t="s">
        <v>320</v>
      </c>
      <c r="I420">
        <v>12601</v>
      </c>
    </row>
    <row r="421" spans="1:9" x14ac:dyDescent="0.3">
      <c r="A421">
        <v>420</v>
      </c>
      <c r="B421" t="s">
        <v>2839</v>
      </c>
      <c r="C421" t="s">
        <v>2840</v>
      </c>
      <c r="D421" t="s">
        <v>6299</v>
      </c>
      <c r="E421" t="s">
        <v>2841</v>
      </c>
      <c r="F421" t="s">
        <v>2842</v>
      </c>
      <c r="G421" t="s">
        <v>1306</v>
      </c>
      <c r="H421" t="s">
        <v>320</v>
      </c>
      <c r="I421">
        <v>11566</v>
      </c>
    </row>
    <row r="422" spans="1:9" x14ac:dyDescent="0.3">
      <c r="A422">
        <v>421</v>
      </c>
      <c r="B422" t="s">
        <v>2843</v>
      </c>
      <c r="C422" t="s">
        <v>2105</v>
      </c>
      <c r="D422" t="s">
        <v>6299</v>
      </c>
      <c r="E422" t="s">
        <v>2844</v>
      </c>
      <c r="F422" t="s">
        <v>2845</v>
      </c>
      <c r="G422" t="s">
        <v>1105</v>
      </c>
      <c r="H422" t="s">
        <v>320</v>
      </c>
      <c r="I422">
        <v>10950</v>
      </c>
    </row>
    <row r="423" spans="1:9" x14ac:dyDescent="0.3">
      <c r="A423">
        <v>422</v>
      </c>
      <c r="B423" t="s">
        <v>2846</v>
      </c>
      <c r="C423" t="s">
        <v>2847</v>
      </c>
      <c r="D423" t="s">
        <v>6299</v>
      </c>
      <c r="E423" t="s">
        <v>2848</v>
      </c>
      <c r="F423" t="s">
        <v>2849</v>
      </c>
      <c r="G423" t="s">
        <v>1161</v>
      </c>
      <c r="H423" t="s">
        <v>326</v>
      </c>
      <c r="I423">
        <v>77904</v>
      </c>
    </row>
    <row r="424" spans="1:9" x14ac:dyDescent="0.3">
      <c r="A424">
        <v>423</v>
      </c>
      <c r="B424" t="s">
        <v>2850</v>
      </c>
      <c r="C424" t="s">
        <v>2607</v>
      </c>
      <c r="D424" t="s">
        <v>6299</v>
      </c>
      <c r="E424" t="s">
        <v>2851</v>
      </c>
      <c r="F424" t="s">
        <v>2852</v>
      </c>
      <c r="G424" t="s">
        <v>2103</v>
      </c>
      <c r="H424" t="s">
        <v>320</v>
      </c>
      <c r="I424">
        <v>11729</v>
      </c>
    </row>
    <row r="425" spans="1:9" x14ac:dyDescent="0.3">
      <c r="A425">
        <v>424</v>
      </c>
      <c r="B425" t="s">
        <v>2853</v>
      </c>
      <c r="C425" t="s">
        <v>2854</v>
      </c>
      <c r="D425" t="s">
        <v>6299</v>
      </c>
      <c r="E425" t="s">
        <v>2855</v>
      </c>
      <c r="F425" t="s">
        <v>2856</v>
      </c>
      <c r="G425" t="s">
        <v>1321</v>
      </c>
      <c r="H425" t="s">
        <v>320</v>
      </c>
      <c r="I425">
        <v>13501</v>
      </c>
    </row>
    <row r="426" spans="1:9" x14ac:dyDescent="0.3">
      <c r="A426">
        <v>425</v>
      </c>
      <c r="B426" t="s">
        <v>2857</v>
      </c>
      <c r="C426" t="s">
        <v>1446</v>
      </c>
      <c r="D426" t="s">
        <v>6299</v>
      </c>
      <c r="E426" t="s">
        <v>2858</v>
      </c>
      <c r="F426" t="s">
        <v>2859</v>
      </c>
      <c r="G426" t="s">
        <v>2539</v>
      </c>
      <c r="H426" t="s">
        <v>320</v>
      </c>
      <c r="I426">
        <v>10550</v>
      </c>
    </row>
    <row r="427" spans="1:9" x14ac:dyDescent="0.3">
      <c r="A427">
        <v>426</v>
      </c>
      <c r="B427" t="s">
        <v>2860</v>
      </c>
      <c r="C427" t="s">
        <v>2705</v>
      </c>
      <c r="D427" t="s">
        <v>6299</v>
      </c>
      <c r="E427" t="s">
        <v>2861</v>
      </c>
      <c r="F427" t="s">
        <v>2862</v>
      </c>
      <c r="G427" t="s">
        <v>2610</v>
      </c>
      <c r="H427" t="s">
        <v>314</v>
      </c>
      <c r="I427">
        <v>91768</v>
      </c>
    </row>
    <row r="428" spans="1:9" x14ac:dyDescent="0.3">
      <c r="A428">
        <v>427</v>
      </c>
      <c r="B428" t="s">
        <v>2863</v>
      </c>
      <c r="C428" t="s">
        <v>2864</v>
      </c>
      <c r="D428" t="s">
        <v>6299</v>
      </c>
      <c r="E428" t="s">
        <v>2865</v>
      </c>
      <c r="F428" t="s">
        <v>2866</v>
      </c>
      <c r="G428" t="s">
        <v>1377</v>
      </c>
      <c r="H428" t="s">
        <v>326</v>
      </c>
      <c r="I428">
        <v>75043</v>
      </c>
    </row>
    <row r="429" spans="1:9" x14ac:dyDescent="0.3">
      <c r="A429">
        <v>428</v>
      </c>
      <c r="B429" t="s">
        <v>2867</v>
      </c>
      <c r="C429" t="s">
        <v>2868</v>
      </c>
      <c r="D429" t="s">
        <v>6299</v>
      </c>
      <c r="E429" t="s">
        <v>2869</v>
      </c>
      <c r="F429" t="s">
        <v>2870</v>
      </c>
      <c r="G429" t="s">
        <v>2871</v>
      </c>
      <c r="H429" t="s">
        <v>320</v>
      </c>
      <c r="I429">
        <v>10801</v>
      </c>
    </row>
    <row r="430" spans="1:9" x14ac:dyDescent="0.3">
      <c r="A430">
        <v>429</v>
      </c>
      <c r="B430" t="s">
        <v>2872</v>
      </c>
      <c r="C430" t="s">
        <v>1397</v>
      </c>
      <c r="D430" t="s">
        <v>6299</v>
      </c>
      <c r="E430" t="s">
        <v>2873</v>
      </c>
      <c r="F430" t="s">
        <v>2874</v>
      </c>
      <c r="G430" t="s">
        <v>2619</v>
      </c>
      <c r="H430" t="s">
        <v>320</v>
      </c>
      <c r="I430">
        <v>11580</v>
      </c>
    </row>
    <row r="431" spans="1:9" x14ac:dyDescent="0.3">
      <c r="A431">
        <v>430</v>
      </c>
      <c r="B431" t="s">
        <v>2875</v>
      </c>
      <c r="C431" t="s">
        <v>2876</v>
      </c>
      <c r="D431" t="s">
        <v>6299</v>
      </c>
      <c r="E431" t="s">
        <v>2877</v>
      </c>
      <c r="F431" t="s">
        <v>2878</v>
      </c>
      <c r="G431" t="s">
        <v>2200</v>
      </c>
      <c r="H431" t="s">
        <v>320</v>
      </c>
      <c r="I431">
        <v>11762</v>
      </c>
    </row>
    <row r="432" spans="1:9" x14ac:dyDescent="0.3">
      <c r="A432">
        <v>431</v>
      </c>
      <c r="B432" t="s">
        <v>2879</v>
      </c>
      <c r="C432" t="s">
        <v>2880</v>
      </c>
      <c r="D432" t="s">
        <v>6299</v>
      </c>
      <c r="E432" t="s">
        <v>2881</v>
      </c>
      <c r="F432" t="s">
        <v>2882</v>
      </c>
      <c r="G432" t="s">
        <v>2257</v>
      </c>
      <c r="H432" t="s">
        <v>320</v>
      </c>
      <c r="I432">
        <v>11710</v>
      </c>
    </row>
    <row r="433" spans="1:9" x14ac:dyDescent="0.3">
      <c r="A433">
        <v>432</v>
      </c>
      <c r="B433" t="s">
        <v>2883</v>
      </c>
      <c r="C433" t="s">
        <v>2884</v>
      </c>
      <c r="D433" t="s">
        <v>6299</v>
      </c>
      <c r="E433" t="s">
        <v>2885</v>
      </c>
      <c r="F433" t="s">
        <v>2886</v>
      </c>
      <c r="G433" t="s">
        <v>2120</v>
      </c>
      <c r="H433" t="s">
        <v>320</v>
      </c>
      <c r="I433">
        <v>11554</v>
      </c>
    </row>
    <row r="434" spans="1:9" x14ac:dyDescent="0.3">
      <c r="A434">
        <v>433</v>
      </c>
      <c r="B434" t="s">
        <v>2887</v>
      </c>
      <c r="C434" t="s">
        <v>2888</v>
      </c>
      <c r="D434" t="s">
        <v>6299</v>
      </c>
      <c r="E434" t="s">
        <v>2889</v>
      </c>
      <c r="F434" t="s">
        <v>2890</v>
      </c>
      <c r="G434" t="s">
        <v>1121</v>
      </c>
      <c r="H434" t="s">
        <v>326</v>
      </c>
      <c r="I434">
        <v>75604</v>
      </c>
    </row>
    <row r="435" spans="1:9" x14ac:dyDescent="0.3">
      <c r="A435">
        <v>434</v>
      </c>
      <c r="B435" t="s">
        <v>2891</v>
      </c>
      <c r="C435" t="s">
        <v>1158</v>
      </c>
      <c r="D435" t="s">
        <v>6299</v>
      </c>
      <c r="E435" t="s">
        <v>2892</v>
      </c>
      <c r="F435" t="s">
        <v>2893</v>
      </c>
      <c r="G435" t="s">
        <v>1471</v>
      </c>
      <c r="H435" t="s">
        <v>314</v>
      </c>
      <c r="I435">
        <v>91010</v>
      </c>
    </row>
    <row r="436" spans="1:9" x14ac:dyDescent="0.3">
      <c r="A436">
        <v>435</v>
      </c>
      <c r="B436" t="s">
        <v>2894</v>
      </c>
      <c r="C436" t="s">
        <v>2895</v>
      </c>
      <c r="D436" t="s">
        <v>6299</v>
      </c>
      <c r="E436" t="s">
        <v>2896</v>
      </c>
      <c r="F436" t="s">
        <v>2897</v>
      </c>
      <c r="G436" t="s">
        <v>1555</v>
      </c>
      <c r="H436" t="s">
        <v>320</v>
      </c>
      <c r="I436">
        <v>11421</v>
      </c>
    </row>
    <row r="437" spans="1:9" x14ac:dyDescent="0.3">
      <c r="A437">
        <v>436</v>
      </c>
      <c r="B437" t="s">
        <v>2898</v>
      </c>
      <c r="C437" t="s">
        <v>2899</v>
      </c>
      <c r="D437" t="s">
        <v>6299</v>
      </c>
      <c r="E437" t="s">
        <v>2900</v>
      </c>
      <c r="F437" t="s">
        <v>2901</v>
      </c>
      <c r="G437" t="s">
        <v>1516</v>
      </c>
      <c r="H437" t="s">
        <v>320</v>
      </c>
      <c r="I437">
        <v>11361</v>
      </c>
    </row>
    <row r="438" spans="1:9" x14ac:dyDescent="0.3">
      <c r="A438">
        <v>437</v>
      </c>
      <c r="B438" t="s">
        <v>2469</v>
      </c>
      <c r="C438" t="s">
        <v>2341</v>
      </c>
      <c r="D438" t="s">
        <v>6299</v>
      </c>
      <c r="E438" t="s">
        <v>2902</v>
      </c>
      <c r="F438" t="s">
        <v>2903</v>
      </c>
      <c r="G438" t="s">
        <v>1059</v>
      </c>
      <c r="H438" t="s">
        <v>320</v>
      </c>
      <c r="I438">
        <v>14127</v>
      </c>
    </row>
    <row r="439" spans="1:9" x14ac:dyDescent="0.3">
      <c r="A439">
        <v>438</v>
      </c>
      <c r="B439" t="s">
        <v>2904</v>
      </c>
      <c r="C439" t="s">
        <v>2905</v>
      </c>
      <c r="D439" t="s">
        <v>6299</v>
      </c>
      <c r="E439" t="s">
        <v>2906</v>
      </c>
      <c r="F439" t="s">
        <v>2907</v>
      </c>
      <c r="G439" t="s">
        <v>1262</v>
      </c>
      <c r="H439" t="s">
        <v>320</v>
      </c>
      <c r="I439">
        <v>12804</v>
      </c>
    </row>
    <row r="440" spans="1:9" x14ac:dyDescent="0.3">
      <c r="A440">
        <v>439</v>
      </c>
      <c r="B440" t="s">
        <v>2908</v>
      </c>
      <c r="C440" t="s">
        <v>2593</v>
      </c>
      <c r="D440" t="s">
        <v>6299</v>
      </c>
      <c r="E440" t="s">
        <v>2909</v>
      </c>
      <c r="F440" t="s">
        <v>2910</v>
      </c>
      <c r="G440" t="s">
        <v>1992</v>
      </c>
      <c r="H440" t="s">
        <v>320</v>
      </c>
      <c r="I440">
        <v>11432</v>
      </c>
    </row>
    <row r="441" spans="1:9" x14ac:dyDescent="0.3">
      <c r="A441">
        <v>440</v>
      </c>
      <c r="B441" t="s">
        <v>2911</v>
      </c>
      <c r="C441" t="s">
        <v>1061</v>
      </c>
      <c r="D441" t="s">
        <v>6299</v>
      </c>
      <c r="E441" t="s">
        <v>2912</v>
      </c>
      <c r="F441" t="s">
        <v>2913</v>
      </c>
      <c r="G441" t="s">
        <v>1973</v>
      </c>
      <c r="H441" t="s">
        <v>320</v>
      </c>
      <c r="I441">
        <v>12020</v>
      </c>
    </row>
    <row r="442" spans="1:9" x14ac:dyDescent="0.3">
      <c r="A442">
        <v>441</v>
      </c>
      <c r="B442" t="s">
        <v>2914</v>
      </c>
      <c r="C442" t="s">
        <v>2915</v>
      </c>
      <c r="D442" t="s">
        <v>6299</v>
      </c>
      <c r="E442" t="s">
        <v>2916</v>
      </c>
      <c r="F442" t="s">
        <v>2917</v>
      </c>
      <c r="G442" t="s">
        <v>1100</v>
      </c>
      <c r="H442" t="s">
        <v>320</v>
      </c>
      <c r="I442">
        <v>11050</v>
      </c>
    </row>
    <row r="443" spans="1:9" x14ac:dyDescent="0.3">
      <c r="A443">
        <v>442</v>
      </c>
      <c r="B443" t="s">
        <v>1792</v>
      </c>
      <c r="C443" t="s">
        <v>2918</v>
      </c>
      <c r="D443" t="s">
        <v>2919</v>
      </c>
      <c r="E443" t="s">
        <v>2920</v>
      </c>
      <c r="F443" t="s">
        <v>2921</v>
      </c>
      <c r="G443" t="s">
        <v>2922</v>
      </c>
      <c r="H443" t="s">
        <v>320</v>
      </c>
      <c r="I443">
        <v>10701</v>
      </c>
    </row>
    <row r="444" spans="1:9" x14ac:dyDescent="0.3">
      <c r="A444">
        <v>443</v>
      </c>
      <c r="B444" t="s">
        <v>2923</v>
      </c>
      <c r="C444" t="s">
        <v>2924</v>
      </c>
      <c r="D444" t="s">
        <v>2925</v>
      </c>
      <c r="E444" t="s">
        <v>2926</v>
      </c>
      <c r="F444" t="s">
        <v>2927</v>
      </c>
      <c r="G444" t="s">
        <v>1846</v>
      </c>
      <c r="H444" t="s">
        <v>314</v>
      </c>
      <c r="I444">
        <v>93035</v>
      </c>
    </row>
    <row r="445" spans="1:9" x14ac:dyDescent="0.3">
      <c r="A445">
        <v>444</v>
      </c>
      <c r="B445" t="s">
        <v>2928</v>
      </c>
      <c r="C445" t="s">
        <v>2929</v>
      </c>
      <c r="D445" t="s">
        <v>6299</v>
      </c>
      <c r="E445" t="s">
        <v>2930</v>
      </c>
      <c r="F445" t="s">
        <v>2931</v>
      </c>
      <c r="G445" t="s">
        <v>1291</v>
      </c>
      <c r="H445" t="s">
        <v>314</v>
      </c>
      <c r="I445">
        <v>94580</v>
      </c>
    </row>
    <row r="446" spans="1:9" x14ac:dyDescent="0.3">
      <c r="A446">
        <v>445</v>
      </c>
      <c r="B446" t="s">
        <v>2932</v>
      </c>
      <c r="C446" t="s">
        <v>2933</v>
      </c>
      <c r="D446" t="s">
        <v>6299</v>
      </c>
      <c r="E446" t="s">
        <v>2934</v>
      </c>
      <c r="F446" t="s">
        <v>2935</v>
      </c>
      <c r="G446" t="s">
        <v>2539</v>
      </c>
      <c r="H446" t="s">
        <v>320</v>
      </c>
      <c r="I446">
        <v>10550</v>
      </c>
    </row>
    <row r="447" spans="1:9" x14ac:dyDescent="0.3">
      <c r="A447">
        <v>446</v>
      </c>
      <c r="B447" t="s">
        <v>2936</v>
      </c>
      <c r="C447" t="s">
        <v>2937</v>
      </c>
      <c r="D447" t="s">
        <v>6299</v>
      </c>
      <c r="E447" t="s">
        <v>2938</v>
      </c>
      <c r="F447" t="s">
        <v>2939</v>
      </c>
      <c r="G447" t="s">
        <v>2940</v>
      </c>
      <c r="H447" t="s">
        <v>320</v>
      </c>
      <c r="I447">
        <v>12010</v>
      </c>
    </row>
    <row r="448" spans="1:9" x14ac:dyDescent="0.3">
      <c r="A448">
        <v>447</v>
      </c>
      <c r="B448" t="s">
        <v>2941</v>
      </c>
      <c r="C448" t="s">
        <v>2942</v>
      </c>
      <c r="D448" t="s">
        <v>6299</v>
      </c>
      <c r="E448" t="s">
        <v>2943</v>
      </c>
      <c r="F448" t="s">
        <v>2944</v>
      </c>
      <c r="G448" t="s">
        <v>2945</v>
      </c>
      <c r="H448" t="s">
        <v>314</v>
      </c>
      <c r="I448">
        <v>92083</v>
      </c>
    </row>
    <row r="449" spans="1:9" x14ac:dyDescent="0.3">
      <c r="A449">
        <v>448</v>
      </c>
      <c r="B449" t="s">
        <v>2946</v>
      </c>
      <c r="C449" t="s">
        <v>2947</v>
      </c>
      <c r="D449" t="s">
        <v>2948</v>
      </c>
      <c r="E449" t="s">
        <v>2949</v>
      </c>
      <c r="F449" t="s">
        <v>2950</v>
      </c>
      <c r="G449" t="s">
        <v>2951</v>
      </c>
      <c r="H449" t="s">
        <v>320</v>
      </c>
      <c r="I449">
        <v>14606</v>
      </c>
    </row>
    <row r="450" spans="1:9" x14ac:dyDescent="0.3">
      <c r="A450">
        <v>449</v>
      </c>
      <c r="B450" t="s">
        <v>2952</v>
      </c>
      <c r="C450" t="s">
        <v>2953</v>
      </c>
      <c r="D450" t="s">
        <v>6299</v>
      </c>
      <c r="E450" t="s">
        <v>2954</v>
      </c>
      <c r="F450" t="s">
        <v>2955</v>
      </c>
      <c r="G450" t="s">
        <v>2138</v>
      </c>
      <c r="H450" t="s">
        <v>314</v>
      </c>
      <c r="I450">
        <v>91387</v>
      </c>
    </row>
    <row r="451" spans="1:9" x14ac:dyDescent="0.3">
      <c r="A451">
        <v>450</v>
      </c>
      <c r="B451" t="s">
        <v>2956</v>
      </c>
      <c r="C451" t="s">
        <v>1755</v>
      </c>
      <c r="D451" t="s">
        <v>6299</v>
      </c>
      <c r="E451" t="s">
        <v>2957</v>
      </c>
      <c r="F451" t="s">
        <v>2958</v>
      </c>
      <c r="G451" t="s">
        <v>2796</v>
      </c>
      <c r="H451" t="s">
        <v>320</v>
      </c>
      <c r="I451">
        <v>10512</v>
      </c>
    </row>
    <row r="452" spans="1:9" x14ac:dyDescent="0.3">
      <c r="A452">
        <v>451</v>
      </c>
      <c r="B452" t="s">
        <v>2959</v>
      </c>
      <c r="C452" t="s">
        <v>2960</v>
      </c>
      <c r="D452" t="s">
        <v>6299</v>
      </c>
      <c r="E452" t="s">
        <v>2961</v>
      </c>
      <c r="F452" t="s">
        <v>2962</v>
      </c>
      <c r="G452" t="s">
        <v>325</v>
      </c>
      <c r="H452" t="s">
        <v>326</v>
      </c>
      <c r="I452">
        <v>75088</v>
      </c>
    </row>
    <row r="453" spans="1:9" x14ac:dyDescent="0.3">
      <c r="A453">
        <v>452</v>
      </c>
      <c r="B453" t="s">
        <v>2963</v>
      </c>
      <c r="C453" t="s">
        <v>2436</v>
      </c>
      <c r="D453" t="s">
        <v>6299</v>
      </c>
      <c r="E453" t="s">
        <v>2964</v>
      </c>
      <c r="F453" t="s">
        <v>2965</v>
      </c>
      <c r="G453" t="s">
        <v>1939</v>
      </c>
      <c r="H453" t="s">
        <v>320</v>
      </c>
      <c r="I453">
        <v>11801</v>
      </c>
    </row>
    <row r="454" spans="1:9" x14ac:dyDescent="0.3">
      <c r="A454">
        <v>453</v>
      </c>
      <c r="B454" t="s">
        <v>2966</v>
      </c>
      <c r="C454" t="s">
        <v>2520</v>
      </c>
      <c r="D454" t="s">
        <v>6299</v>
      </c>
      <c r="E454" t="s">
        <v>2967</v>
      </c>
      <c r="F454" t="s">
        <v>2968</v>
      </c>
      <c r="G454" t="s">
        <v>2237</v>
      </c>
      <c r="H454" t="s">
        <v>320</v>
      </c>
      <c r="I454">
        <v>11530</v>
      </c>
    </row>
    <row r="455" spans="1:9" x14ac:dyDescent="0.3">
      <c r="A455">
        <v>454</v>
      </c>
      <c r="B455" t="s">
        <v>2969</v>
      </c>
      <c r="C455" t="s">
        <v>2970</v>
      </c>
      <c r="D455" t="s">
        <v>6299</v>
      </c>
      <c r="E455" t="s">
        <v>2971</v>
      </c>
      <c r="F455" t="s">
        <v>2972</v>
      </c>
      <c r="G455" t="s">
        <v>1781</v>
      </c>
      <c r="H455" t="s">
        <v>320</v>
      </c>
      <c r="I455">
        <v>11706</v>
      </c>
    </row>
    <row r="456" spans="1:9" x14ac:dyDescent="0.3">
      <c r="A456">
        <v>455</v>
      </c>
      <c r="B456" t="s">
        <v>2973</v>
      </c>
      <c r="C456" t="s">
        <v>2974</v>
      </c>
      <c r="D456" t="s">
        <v>6299</v>
      </c>
      <c r="E456" t="s">
        <v>2975</v>
      </c>
      <c r="F456" t="s">
        <v>2976</v>
      </c>
      <c r="G456" t="s">
        <v>1236</v>
      </c>
      <c r="H456" t="s">
        <v>320</v>
      </c>
      <c r="I456">
        <v>13090</v>
      </c>
    </row>
    <row r="457" spans="1:9" x14ac:dyDescent="0.3">
      <c r="A457">
        <v>456</v>
      </c>
      <c r="B457" t="s">
        <v>2977</v>
      </c>
      <c r="C457" t="s">
        <v>2024</v>
      </c>
      <c r="D457" t="s">
        <v>6299</v>
      </c>
      <c r="E457" t="s">
        <v>2978</v>
      </c>
      <c r="F457" t="s">
        <v>2979</v>
      </c>
      <c r="G457" t="s">
        <v>1992</v>
      </c>
      <c r="H457" t="s">
        <v>320</v>
      </c>
      <c r="I457">
        <v>11432</v>
      </c>
    </row>
    <row r="458" spans="1:9" x14ac:dyDescent="0.3">
      <c r="A458">
        <v>457</v>
      </c>
      <c r="B458" t="s">
        <v>1639</v>
      </c>
      <c r="C458" t="s">
        <v>2239</v>
      </c>
      <c r="D458" t="s">
        <v>6299</v>
      </c>
      <c r="E458" t="s">
        <v>2980</v>
      </c>
      <c r="F458" t="s">
        <v>2981</v>
      </c>
      <c r="G458" t="s">
        <v>1267</v>
      </c>
      <c r="H458" t="s">
        <v>320</v>
      </c>
      <c r="I458">
        <v>11418</v>
      </c>
    </row>
    <row r="459" spans="1:9" x14ac:dyDescent="0.3">
      <c r="A459">
        <v>458</v>
      </c>
      <c r="B459" t="s">
        <v>2007</v>
      </c>
      <c r="C459" t="s">
        <v>1369</v>
      </c>
      <c r="D459" t="s">
        <v>6299</v>
      </c>
      <c r="E459" t="s">
        <v>2982</v>
      </c>
      <c r="F459" t="s">
        <v>2983</v>
      </c>
      <c r="G459" t="s">
        <v>2099</v>
      </c>
      <c r="H459" t="s">
        <v>320</v>
      </c>
      <c r="I459">
        <v>11741</v>
      </c>
    </row>
    <row r="460" spans="1:9" x14ac:dyDescent="0.3">
      <c r="A460">
        <v>459</v>
      </c>
      <c r="B460" t="s">
        <v>2984</v>
      </c>
      <c r="C460" t="s">
        <v>2985</v>
      </c>
      <c r="D460" t="s">
        <v>2986</v>
      </c>
      <c r="E460" t="s">
        <v>2987</v>
      </c>
      <c r="F460" t="s">
        <v>2988</v>
      </c>
      <c r="G460" t="s">
        <v>2989</v>
      </c>
      <c r="H460" t="s">
        <v>314</v>
      </c>
      <c r="I460">
        <v>93306</v>
      </c>
    </row>
    <row r="461" spans="1:9" x14ac:dyDescent="0.3">
      <c r="A461">
        <v>460</v>
      </c>
      <c r="B461" t="s">
        <v>2990</v>
      </c>
      <c r="C461" t="s">
        <v>2991</v>
      </c>
      <c r="D461" t="s">
        <v>6299</v>
      </c>
      <c r="E461" t="s">
        <v>2992</v>
      </c>
      <c r="F461" t="s">
        <v>2993</v>
      </c>
      <c r="G461" t="s">
        <v>2237</v>
      </c>
      <c r="H461" t="s">
        <v>320</v>
      </c>
      <c r="I461">
        <v>11530</v>
      </c>
    </row>
    <row r="462" spans="1:9" x14ac:dyDescent="0.3">
      <c r="A462">
        <v>461</v>
      </c>
      <c r="B462" t="s">
        <v>2994</v>
      </c>
      <c r="C462" t="s">
        <v>2439</v>
      </c>
      <c r="D462" t="s">
        <v>2995</v>
      </c>
      <c r="E462" t="s">
        <v>2996</v>
      </c>
      <c r="F462" t="s">
        <v>2997</v>
      </c>
      <c r="G462" t="s">
        <v>2094</v>
      </c>
      <c r="H462" t="s">
        <v>320</v>
      </c>
      <c r="I462">
        <v>11717</v>
      </c>
    </row>
    <row r="463" spans="1:9" x14ac:dyDescent="0.3">
      <c r="A463">
        <v>462</v>
      </c>
      <c r="B463" t="s">
        <v>2998</v>
      </c>
      <c r="C463" t="s">
        <v>2999</v>
      </c>
      <c r="D463" t="s">
        <v>6299</v>
      </c>
      <c r="E463" t="s">
        <v>3000</v>
      </c>
      <c r="F463" t="s">
        <v>3001</v>
      </c>
      <c r="G463" t="s">
        <v>3002</v>
      </c>
      <c r="H463" t="s">
        <v>320</v>
      </c>
      <c r="I463">
        <v>10954</v>
      </c>
    </row>
    <row r="464" spans="1:9" x14ac:dyDescent="0.3">
      <c r="A464">
        <v>463</v>
      </c>
      <c r="B464" t="s">
        <v>3003</v>
      </c>
      <c r="C464" t="s">
        <v>3004</v>
      </c>
      <c r="D464" t="s">
        <v>6299</v>
      </c>
      <c r="E464" t="s">
        <v>3005</v>
      </c>
      <c r="F464" t="s">
        <v>3006</v>
      </c>
      <c r="G464" t="s">
        <v>1767</v>
      </c>
      <c r="H464" t="s">
        <v>320</v>
      </c>
      <c r="I464">
        <v>11803</v>
      </c>
    </row>
    <row r="465" spans="1:9" x14ac:dyDescent="0.3">
      <c r="A465">
        <v>464</v>
      </c>
      <c r="B465" t="s">
        <v>3007</v>
      </c>
      <c r="C465" t="s">
        <v>3008</v>
      </c>
      <c r="D465" t="s">
        <v>6299</v>
      </c>
      <c r="E465" t="s">
        <v>3009</v>
      </c>
      <c r="F465" t="s">
        <v>3010</v>
      </c>
      <c r="G465" t="s">
        <v>2237</v>
      </c>
      <c r="H465" t="s">
        <v>320</v>
      </c>
      <c r="I465">
        <v>11530</v>
      </c>
    </row>
    <row r="466" spans="1:9" x14ac:dyDescent="0.3">
      <c r="A466">
        <v>465</v>
      </c>
      <c r="B466" t="s">
        <v>3011</v>
      </c>
      <c r="C466" t="s">
        <v>3012</v>
      </c>
      <c r="D466" t="s">
        <v>3013</v>
      </c>
      <c r="E466" t="s">
        <v>3014</v>
      </c>
      <c r="F466" t="s">
        <v>3015</v>
      </c>
      <c r="G466" t="s">
        <v>1502</v>
      </c>
      <c r="H466" t="s">
        <v>320</v>
      </c>
      <c r="I466">
        <v>12180</v>
      </c>
    </row>
    <row r="467" spans="1:9" x14ac:dyDescent="0.3">
      <c r="A467">
        <v>466</v>
      </c>
      <c r="B467" t="s">
        <v>3016</v>
      </c>
      <c r="C467" t="s">
        <v>1406</v>
      </c>
      <c r="D467" t="s">
        <v>6299</v>
      </c>
      <c r="E467" t="s">
        <v>3017</v>
      </c>
      <c r="F467" t="s">
        <v>3018</v>
      </c>
      <c r="G467" t="s">
        <v>1745</v>
      </c>
      <c r="H467" t="s">
        <v>320</v>
      </c>
      <c r="I467">
        <v>11787</v>
      </c>
    </row>
    <row r="468" spans="1:9" x14ac:dyDescent="0.3">
      <c r="A468">
        <v>467</v>
      </c>
      <c r="B468" t="s">
        <v>3019</v>
      </c>
      <c r="C468" t="s">
        <v>1733</v>
      </c>
      <c r="D468" t="s">
        <v>6299</v>
      </c>
      <c r="E468" t="s">
        <v>3020</v>
      </c>
      <c r="F468" t="s">
        <v>3021</v>
      </c>
      <c r="G468" t="s">
        <v>1181</v>
      </c>
      <c r="H468" t="s">
        <v>320</v>
      </c>
      <c r="I468">
        <v>10541</v>
      </c>
    </row>
    <row r="469" spans="1:9" x14ac:dyDescent="0.3">
      <c r="A469">
        <v>468</v>
      </c>
      <c r="B469" t="s">
        <v>3022</v>
      </c>
      <c r="C469" t="s">
        <v>3023</v>
      </c>
      <c r="D469" t="s">
        <v>6299</v>
      </c>
      <c r="E469" t="s">
        <v>3024</v>
      </c>
      <c r="F469" t="s">
        <v>3025</v>
      </c>
      <c r="G469" t="s">
        <v>1457</v>
      </c>
      <c r="H469" t="s">
        <v>320</v>
      </c>
      <c r="I469">
        <v>11757</v>
      </c>
    </row>
    <row r="470" spans="1:9" x14ac:dyDescent="0.3">
      <c r="A470">
        <v>469</v>
      </c>
      <c r="B470" t="s">
        <v>3026</v>
      </c>
      <c r="C470" t="s">
        <v>3027</v>
      </c>
      <c r="D470" t="s">
        <v>6299</v>
      </c>
      <c r="E470" t="s">
        <v>3028</v>
      </c>
      <c r="F470" t="s">
        <v>3029</v>
      </c>
      <c r="G470" t="s">
        <v>1267</v>
      </c>
      <c r="H470" t="s">
        <v>320</v>
      </c>
      <c r="I470">
        <v>11418</v>
      </c>
    </row>
    <row r="471" spans="1:9" x14ac:dyDescent="0.3">
      <c r="A471">
        <v>470</v>
      </c>
      <c r="B471" t="s">
        <v>3030</v>
      </c>
      <c r="C471" t="s">
        <v>2915</v>
      </c>
      <c r="D471" t="s">
        <v>6299</v>
      </c>
      <c r="E471" t="s">
        <v>3031</v>
      </c>
      <c r="F471" t="s">
        <v>3032</v>
      </c>
      <c r="G471" t="s">
        <v>2784</v>
      </c>
      <c r="H471" t="s">
        <v>320</v>
      </c>
      <c r="I471">
        <v>11967</v>
      </c>
    </row>
    <row r="472" spans="1:9" x14ac:dyDescent="0.3">
      <c r="A472">
        <v>471</v>
      </c>
      <c r="B472" t="s">
        <v>3033</v>
      </c>
      <c r="C472" t="s">
        <v>3034</v>
      </c>
      <c r="D472" t="s">
        <v>6299</v>
      </c>
      <c r="E472" t="s">
        <v>3035</v>
      </c>
      <c r="F472" t="s">
        <v>3036</v>
      </c>
      <c r="G472" t="s">
        <v>3037</v>
      </c>
      <c r="H472" t="s">
        <v>320</v>
      </c>
      <c r="I472">
        <v>11520</v>
      </c>
    </row>
    <row r="473" spans="1:9" x14ac:dyDescent="0.3">
      <c r="A473">
        <v>472</v>
      </c>
      <c r="B473" t="s">
        <v>3038</v>
      </c>
      <c r="C473" t="s">
        <v>3039</v>
      </c>
      <c r="D473" t="s">
        <v>6299</v>
      </c>
      <c r="E473" t="s">
        <v>3040</v>
      </c>
      <c r="F473" t="s">
        <v>3041</v>
      </c>
      <c r="G473" t="s">
        <v>1362</v>
      </c>
      <c r="H473" t="s">
        <v>320</v>
      </c>
      <c r="I473">
        <v>11701</v>
      </c>
    </row>
    <row r="474" spans="1:9" x14ac:dyDescent="0.3">
      <c r="A474">
        <v>473</v>
      </c>
      <c r="B474" t="s">
        <v>3042</v>
      </c>
      <c r="C474" t="s">
        <v>1427</v>
      </c>
      <c r="D474" t="s">
        <v>6299</v>
      </c>
      <c r="E474" t="s">
        <v>3043</v>
      </c>
      <c r="F474" t="s">
        <v>3044</v>
      </c>
      <c r="G474" t="s">
        <v>319</v>
      </c>
      <c r="H474" t="s">
        <v>320</v>
      </c>
      <c r="I474">
        <v>11510</v>
      </c>
    </row>
    <row r="475" spans="1:9" x14ac:dyDescent="0.3">
      <c r="A475">
        <v>474</v>
      </c>
      <c r="B475" t="s">
        <v>3045</v>
      </c>
      <c r="C475" t="s">
        <v>3046</v>
      </c>
      <c r="D475" t="s">
        <v>6299</v>
      </c>
      <c r="E475" t="s">
        <v>3047</v>
      </c>
      <c r="F475" t="s">
        <v>3048</v>
      </c>
      <c r="G475" t="s">
        <v>1900</v>
      </c>
      <c r="H475" t="s">
        <v>320</v>
      </c>
      <c r="I475">
        <v>14580</v>
      </c>
    </row>
    <row r="476" spans="1:9" x14ac:dyDescent="0.3">
      <c r="A476">
        <v>475</v>
      </c>
      <c r="B476" t="s">
        <v>3049</v>
      </c>
      <c r="C476" t="s">
        <v>2128</v>
      </c>
      <c r="D476" t="s">
        <v>6299</v>
      </c>
      <c r="E476" t="s">
        <v>3050</v>
      </c>
      <c r="F476" t="s">
        <v>3051</v>
      </c>
      <c r="G476" t="s">
        <v>1161</v>
      </c>
      <c r="H476" t="s">
        <v>326</v>
      </c>
      <c r="I476">
        <v>77904</v>
      </c>
    </row>
    <row r="477" spans="1:9" x14ac:dyDescent="0.3">
      <c r="A477">
        <v>476</v>
      </c>
      <c r="B477" t="s">
        <v>3052</v>
      </c>
      <c r="C477" t="s">
        <v>1427</v>
      </c>
      <c r="D477" t="s">
        <v>6299</v>
      </c>
      <c r="E477" t="s">
        <v>3053</v>
      </c>
      <c r="F477" t="s">
        <v>3054</v>
      </c>
      <c r="G477" t="s">
        <v>313</v>
      </c>
      <c r="H477" t="s">
        <v>314</v>
      </c>
      <c r="I477">
        <v>95060</v>
      </c>
    </row>
    <row r="478" spans="1:9" x14ac:dyDescent="0.3">
      <c r="A478">
        <v>477</v>
      </c>
      <c r="B478" t="s">
        <v>3055</v>
      </c>
      <c r="C478" t="s">
        <v>3056</v>
      </c>
      <c r="D478" t="s">
        <v>6299</v>
      </c>
      <c r="E478" t="s">
        <v>3057</v>
      </c>
      <c r="F478" t="s">
        <v>3058</v>
      </c>
      <c r="G478" t="s">
        <v>2257</v>
      </c>
      <c r="H478" t="s">
        <v>320</v>
      </c>
      <c r="I478">
        <v>11710</v>
      </c>
    </row>
    <row r="479" spans="1:9" x14ac:dyDescent="0.3">
      <c r="A479">
        <v>478</v>
      </c>
      <c r="B479" t="s">
        <v>2872</v>
      </c>
      <c r="C479" t="s">
        <v>1945</v>
      </c>
      <c r="D479" t="s">
        <v>6299</v>
      </c>
      <c r="E479" t="s">
        <v>3059</v>
      </c>
      <c r="F479" t="s">
        <v>3060</v>
      </c>
      <c r="G479" t="s">
        <v>3037</v>
      </c>
      <c r="H479" t="s">
        <v>320</v>
      </c>
      <c r="I479">
        <v>11520</v>
      </c>
    </row>
    <row r="480" spans="1:9" x14ac:dyDescent="0.3">
      <c r="A480">
        <v>479</v>
      </c>
      <c r="B480" t="s">
        <v>3061</v>
      </c>
      <c r="C480" t="s">
        <v>3062</v>
      </c>
      <c r="D480" t="s">
        <v>6299</v>
      </c>
      <c r="E480" t="s">
        <v>3063</v>
      </c>
      <c r="F480" t="s">
        <v>3064</v>
      </c>
      <c r="G480" t="s">
        <v>2703</v>
      </c>
      <c r="H480" t="s">
        <v>320</v>
      </c>
      <c r="I480">
        <v>11354</v>
      </c>
    </row>
    <row r="481" spans="1:9" x14ac:dyDescent="0.3">
      <c r="A481">
        <v>480</v>
      </c>
      <c r="B481" t="s">
        <v>1377</v>
      </c>
      <c r="C481" t="s">
        <v>3065</v>
      </c>
      <c r="D481" t="s">
        <v>6299</v>
      </c>
      <c r="E481" t="s">
        <v>3066</v>
      </c>
      <c r="F481" t="s">
        <v>3067</v>
      </c>
      <c r="G481" t="s">
        <v>2940</v>
      </c>
      <c r="H481" t="s">
        <v>320</v>
      </c>
      <c r="I481">
        <v>12010</v>
      </c>
    </row>
    <row r="482" spans="1:9" x14ac:dyDescent="0.3">
      <c r="A482">
        <v>481</v>
      </c>
      <c r="B482" t="s">
        <v>3068</v>
      </c>
      <c r="C482" t="s">
        <v>3027</v>
      </c>
      <c r="D482" t="s">
        <v>6299</v>
      </c>
      <c r="E482" t="s">
        <v>3069</v>
      </c>
      <c r="F482" t="s">
        <v>3070</v>
      </c>
      <c r="G482" t="s">
        <v>3071</v>
      </c>
      <c r="H482" t="s">
        <v>326</v>
      </c>
      <c r="I482">
        <v>77566</v>
      </c>
    </row>
    <row r="483" spans="1:9" x14ac:dyDescent="0.3">
      <c r="A483">
        <v>482</v>
      </c>
      <c r="B483" t="s">
        <v>3072</v>
      </c>
      <c r="C483" t="s">
        <v>2494</v>
      </c>
      <c r="D483" t="s">
        <v>6299</v>
      </c>
      <c r="E483" t="s">
        <v>3073</v>
      </c>
      <c r="F483" t="s">
        <v>3074</v>
      </c>
      <c r="G483" t="s">
        <v>1959</v>
      </c>
      <c r="H483" t="s">
        <v>326</v>
      </c>
      <c r="I483">
        <v>79106</v>
      </c>
    </row>
    <row r="484" spans="1:9" x14ac:dyDescent="0.3">
      <c r="A484">
        <v>483</v>
      </c>
      <c r="B484" t="s">
        <v>3075</v>
      </c>
      <c r="C484" t="s">
        <v>3076</v>
      </c>
      <c r="D484" t="s">
        <v>6299</v>
      </c>
      <c r="E484" t="s">
        <v>3077</v>
      </c>
      <c r="F484" t="s">
        <v>3078</v>
      </c>
      <c r="G484" t="s">
        <v>1457</v>
      </c>
      <c r="H484" t="s">
        <v>320</v>
      </c>
      <c r="I484">
        <v>11757</v>
      </c>
    </row>
    <row r="485" spans="1:9" x14ac:dyDescent="0.3">
      <c r="A485">
        <v>484</v>
      </c>
      <c r="B485" t="s">
        <v>2100</v>
      </c>
      <c r="C485" t="s">
        <v>1673</v>
      </c>
      <c r="D485" t="s">
        <v>6299</v>
      </c>
      <c r="E485" t="s">
        <v>3079</v>
      </c>
      <c r="F485" t="s">
        <v>3080</v>
      </c>
      <c r="G485" t="s">
        <v>1606</v>
      </c>
      <c r="H485" t="s">
        <v>326</v>
      </c>
      <c r="I485">
        <v>76039</v>
      </c>
    </row>
    <row r="486" spans="1:9" x14ac:dyDescent="0.3">
      <c r="A486">
        <v>485</v>
      </c>
      <c r="B486" t="s">
        <v>3081</v>
      </c>
      <c r="C486" t="s">
        <v>3082</v>
      </c>
      <c r="D486" t="s">
        <v>6299</v>
      </c>
      <c r="E486" t="s">
        <v>3083</v>
      </c>
      <c r="F486" t="s">
        <v>3084</v>
      </c>
      <c r="G486" t="s">
        <v>1311</v>
      </c>
      <c r="H486" t="s">
        <v>320</v>
      </c>
      <c r="I486">
        <v>11369</v>
      </c>
    </row>
    <row r="487" spans="1:9" x14ac:dyDescent="0.3">
      <c r="A487">
        <v>486</v>
      </c>
      <c r="B487" t="s">
        <v>3085</v>
      </c>
      <c r="C487" t="s">
        <v>2836</v>
      </c>
      <c r="D487" t="s">
        <v>6299</v>
      </c>
      <c r="E487" t="s">
        <v>3086</v>
      </c>
      <c r="F487" t="s">
        <v>3087</v>
      </c>
      <c r="G487" t="s">
        <v>2120</v>
      </c>
      <c r="H487" t="s">
        <v>320</v>
      </c>
      <c r="I487">
        <v>11554</v>
      </c>
    </row>
    <row r="488" spans="1:9" x14ac:dyDescent="0.3">
      <c r="A488">
        <v>487</v>
      </c>
      <c r="B488" t="s">
        <v>3088</v>
      </c>
      <c r="C488" t="s">
        <v>3089</v>
      </c>
      <c r="D488" t="s">
        <v>6299</v>
      </c>
      <c r="E488" t="s">
        <v>3090</v>
      </c>
      <c r="F488" t="s">
        <v>3091</v>
      </c>
      <c r="G488" t="s">
        <v>2156</v>
      </c>
      <c r="H488" t="s">
        <v>314</v>
      </c>
      <c r="I488">
        <v>94806</v>
      </c>
    </row>
    <row r="489" spans="1:9" x14ac:dyDescent="0.3">
      <c r="A489">
        <v>488</v>
      </c>
      <c r="B489" t="s">
        <v>3092</v>
      </c>
      <c r="C489" t="s">
        <v>3093</v>
      </c>
      <c r="D489" t="s">
        <v>3094</v>
      </c>
      <c r="E489" t="s">
        <v>3095</v>
      </c>
      <c r="F489" t="s">
        <v>3096</v>
      </c>
      <c r="G489" t="s">
        <v>1581</v>
      </c>
      <c r="H489" t="s">
        <v>314</v>
      </c>
      <c r="I489">
        <v>92806</v>
      </c>
    </row>
    <row r="490" spans="1:9" x14ac:dyDescent="0.3">
      <c r="A490">
        <v>489</v>
      </c>
      <c r="B490" t="s">
        <v>3097</v>
      </c>
      <c r="C490" t="s">
        <v>1720</v>
      </c>
      <c r="D490" t="s">
        <v>6299</v>
      </c>
      <c r="E490" t="s">
        <v>3098</v>
      </c>
      <c r="F490" t="s">
        <v>3099</v>
      </c>
      <c r="G490" t="s">
        <v>1511</v>
      </c>
      <c r="H490" t="s">
        <v>320</v>
      </c>
      <c r="I490">
        <v>12866</v>
      </c>
    </row>
    <row r="491" spans="1:9" x14ac:dyDescent="0.3">
      <c r="A491">
        <v>490</v>
      </c>
      <c r="B491" t="s">
        <v>3100</v>
      </c>
      <c r="C491" t="s">
        <v>3101</v>
      </c>
      <c r="D491" t="s">
        <v>6299</v>
      </c>
      <c r="E491" t="s">
        <v>3102</v>
      </c>
      <c r="F491" t="s">
        <v>3103</v>
      </c>
      <c r="G491" t="s">
        <v>1197</v>
      </c>
      <c r="H491" t="s">
        <v>320</v>
      </c>
      <c r="I491">
        <v>10562</v>
      </c>
    </row>
    <row r="492" spans="1:9" x14ac:dyDescent="0.3">
      <c r="A492">
        <v>491</v>
      </c>
      <c r="B492" t="s">
        <v>3104</v>
      </c>
      <c r="C492" t="s">
        <v>3105</v>
      </c>
      <c r="D492" t="s">
        <v>6299</v>
      </c>
      <c r="E492" t="s">
        <v>3106</v>
      </c>
      <c r="F492" t="s">
        <v>3107</v>
      </c>
      <c r="G492" t="s">
        <v>1699</v>
      </c>
      <c r="H492" t="s">
        <v>320</v>
      </c>
      <c r="I492">
        <v>11758</v>
      </c>
    </row>
    <row r="493" spans="1:9" x14ac:dyDescent="0.3">
      <c r="A493">
        <v>492</v>
      </c>
      <c r="B493" t="s">
        <v>3108</v>
      </c>
      <c r="C493" t="s">
        <v>3109</v>
      </c>
      <c r="D493" t="s">
        <v>6299</v>
      </c>
      <c r="E493" t="s">
        <v>3110</v>
      </c>
      <c r="F493" t="s">
        <v>3111</v>
      </c>
      <c r="G493" t="s">
        <v>3112</v>
      </c>
      <c r="H493" t="s">
        <v>320</v>
      </c>
      <c r="I493">
        <v>11368</v>
      </c>
    </row>
    <row r="494" spans="1:9" x14ac:dyDescent="0.3">
      <c r="A494">
        <v>493</v>
      </c>
      <c r="B494" t="s">
        <v>3113</v>
      </c>
      <c r="C494" t="s">
        <v>3114</v>
      </c>
      <c r="D494" t="s">
        <v>6299</v>
      </c>
      <c r="E494" t="s">
        <v>3115</v>
      </c>
      <c r="F494" t="s">
        <v>3116</v>
      </c>
      <c r="G494" t="s">
        <v>1677</v>
      </c>
      <c r="H494" t="s">
        <v>320</v>
      </c>
      <c r="I494">
        <v>14075</v>
      </c>
    </row>
    <row r="495" spans="1:9" x14ac:dyDescent="0.3">
      <c r="A495">
        <v>494</v>
      </c>
      <c r="B495" t="s">
        <v>3117</v>
      </c>
      <c r="C495" t="s">
        <v>3118</v>
      </c>
      <c r="D495" t="s">
        <v>6299</v>
      </c>
      <c r="E495" t="s">
        <v>3119</v>
      </c>
      <c r="F495" t="s">
        <v>3120</v>
      </c>
      <c r="G495" t="s">
        <v>1074</v>
      </c>
      <c r="H495" t="s">
        <v>320</v>
      </c>
      <c r="I495">
        <v>11553</v>
      </c>
    </row>
    <row r="496" spans="1:9" x14ac:dyDescent="0.3">
      <c r="A496">
        <v>495</v>
      </c>
      <c r="B496" t="s">
        <v>3121</v>
      </c>
      <c r="C496" t="s">
        <v>1539</v>
      </c>
      <c r="D496" t="s">
        <v>6299</v>
      </c>
      <c r="E496" t="s">
        <v>3122</v>
      </c>
      <c r="F496" t="s">
        <v>3123</v>
      </c>
      <c r="G496" t="s">
        <v>2729</v>
      </c>
      <c r="H496" t="s">
        <v>314</v>
      </c>
      <c r="I496">
        <v>93635</v>
      </c>
    </row>
    <row r="497" spans="1:9" x14ac:dyDescent="0.3">
      <c r="A497">
        <v>496</v>
      </c>
      <c r="B497" t="s">
        <v>3124</v>
      </c>
      <c r="C497" t="s">
        <v>3125</v>
      </c>
      <c r="D497" t="s">
        <v>6299</v>
      </c>
      <c r="E497" t="s">
        <v>3126</v>
      </c>
      <c r="F497" t="s">
        <v>3127</v>
      </c>
      <c r="G497" t="s">
        <v>1246</v>
      </c>
      <c r="H497" t="s">
        <v>320</v>
      </c>
      <c r="I497">
        <v>11102</v>
      </c>
    </row>
    <row r="498" spans="1:9" x14ac:dyDescent="0.3">
      <c r="A498">
        <v>497</v>
      </c>
      <c r="B498" t="s">
        <v>3128</v>
      </c>
      <c r="C498" t="s">
        <v>3129</v>
      </c>
      <c r="D498" t="s">
        <v>6299</v>
      </c>
      <c r="E498" t="s">
        <v>3130</v>
      </c>
      <c r="F498" t="s">
        <v>3131</v>
      </c>
      <c r="G498" t="s">
        <v>3002</v>
      </c>
      <c r="H498" t="s">
        <v>320</v>
      </c>
      <c r="I498">
        <v>10954</v>
      </c>
    </row>
    <row r="499" spans="1:9" x14ac:dyDescent="0.3">
      <c r="A499">
        <v>498</v>
      </c>
      <c r="B499" t="s">
        <v>3132</v>
      </c>
      <c r="C499" t="s">
        <v>3133</v>
      </c>
      <c r="D499" t="s">
        <v>6299</v>
      </c>
      <c r="E499" t="s">
        <v>3134</v>
      </c>
      <c r="F499" t="s">
        <v>3135</v>
      </c>
      <c r="G499" t="s">
        <v>1413</v>
      </c>
      <c r="H499" t="s">
        <v>320</v>
      </c>
      <c r="I499">
        <v>14120</v>
      </c>
    </row>
    <row r="500" spans="1:9" x14ac:dyDescent="0.3">
      <c r="A500">
        <v>499</v>
      </c>
      <c r="B500" t="s">
        <v>3136</v>
      </c>
      <c r="C500" t="s">
        <v>3137</v>
      </c>
      <c r="D500" t="s">
        <v>6299</v>
      </c>
      <c r="E500" t="s">
        <v>3138</v>
      </c>
      <c r="F500" t="s">
        <v>3139</v>
      </c>
      <c r="G500" t="s">
        <v>1231</v>
      </c>
      <c r="H500" t="s">
        <v>320</v>
      </c>
      <c r="I500">
        <v>13027</v>
      </c>
    </row>
    <row r="501" spans="1:9" x14ac:dyDescent="0.3">
      <c r="A501">
        <v>500</v>
      </c>
      <c r="B501" t="s">
        <v>3140</v>
      </c>
      <c r="C501" t="s">
        <v>3141</v>
      </c>
      <c r="D501" t="s">
        <v>6299</v>
      </c>
      <c r="E501" t="s">
        <v>3142</v>
      </c>
      <c r="F501" t="s">
        <v>3143</v>
      </c>
      <c r="G501" t="s">
        <v>1096</v>
      </c>
      <c r="H501" t="s">
        <v>320</v>
      </c>
      <c r="I501">
        <v>11372</v>
      </c>
    </row>
    <row r="502" spans="1:9" x14ac:dyDescent="0.3">
      <c r="A502">
        <v>501</v>
      </c>
      <c r="B502" t="s">
        <v>3144</v>
      </c>
      <c r="C502" t="s">
        <v>3145</v>
      </c>
      <c r="D502" t="s">
        <v>3146</v>
      </c>
      <c r="E502" t="s">
        <v>3147</v>
      </c>
      <c r="F502" t="s">
        <v>3148</v>
      </c>
      <c r="G502" t="s">
        <v>1581</v>
      </c>
      <c r="H502" t="s">
        <v>314</v>
      </c>
      <c r="I502">
        <v>92806</v>
      </c>
    </row>
    <row r="503" spans="1:9" x14ac:dyDescent="0.3">
      <c r="A503">
        <v>502</v>
      </c>
      <c r="B503" t="s">
        <v>3149</v>
      </c>
      <c r="C503" t="s">
        <v>3150</v>
      </c>
      <c r="D503" t="s">
        <v>6299</v>
      </c>
      <c r="E503" t="s">
        <v>3151</v>
      </c>
      <c r="F503" t="s">
        <v>3152</v>
      </c>
      <c r="G503" t="s">
        <v>2035</v>
      </c>
      <c r="H503" t="s">
        <v>320</v>
      </c>
      <c r="I503">
        <v>11357</v>
      </c>
    </row>
    <row r="504" spans="1:9" x14ac:dyDescent="0.3">
      <c r="A504">
        <v>503</v>
      </c>
      <c r="B504" t="s">
        <v>3153</v>
      </c>
      <c r="C504" t="s">
        <v>3154</v>
      </c>
      <c r="D504" t="s">
        <v>6299</v>
      </c>
      <c r="E504" t="s">
        <v>3155</v>
      </c>
      <c r="F504" t="s">
        <v>3156</v>
      </c>
      <c r="G504" t="s">
        <v>2164</v>
      </c>
      <c r="H504" t="s">
        <v>320</v>
      </c>
      <c r="I504">
        <v>14304</v>
      </c>
    </row>
    <row r="505" spans="1:9" x14ac:dyDescent="0.3">
      <c r="A505">
        <v>504</v>
      </c>
      <c r="B505" t="s">
        <v>3157</v>
      </c>
      <c r="C505" t="s">
        <v>3158</v>
      </c>
      <c r="D505" t="s">
        <v>6299</v>
      </c>
      <c r="E505" t="s">
        <v>3159</v>
      </c>
      <c r="F505" t="s">
        <v>3160</v>
      </c>
      <c r="G505" t="s">
        <v>1485</v>
      </c>
      <c r="H505" t="s">
        <v>320</v>
      </c>
      <c r="I505">
        <v>11010</v>
      </c>
    </row>
    <row r="506" spans="1:9" x14ac:dyDescent="0.3">
      <c r="A506">
        <v>505</v>
      </c>
      <c r="B506" t="s">
        <v>3161</v>
      </c>
      <c r="C506" t="s">
        <v>3162</v>
      </c>
      <c r="D506" t="s">
        <v>6299</v>
      </c>
      <c r="E506" t="s">
        <v>3163</v>
      </c>
      <c r="F506" t="s">
        <v>3164</v>
      </c>
      <c r="G506" t="s">
        <v>1992</v>
      </c>
      <c r="H506" t="s">
        <v>320</v>
      </c>
      <c r="I506">
        <v>11432</v>
      </c>
    </row>
    <row r="507" spans="1:9" x14ac:dyDescent="0.3">
      <c r="A507">
        <v>506</v>
      </c>
      <c r="B507" t="s">
        <v>3165</v>
      </c>
      <c r="C507" t="s">
        <v>1887</v>
      </c>
      <c r="D507" t="s">
        <v>6299</v>
      </c>
      <c r="E507" t="s">
        <v>3166</v>
      </c>
      <c r="F507" t="s">
        <v>3167</v>
      </c>
      <c r="G507" t="s">
        <v>1206</v>
      </c>
      <c r="H507" t="s">
        <v>314</v>
      </c>
      <c r="I507">
        <v>90505</v>
      </c>
    </row>
    <row r="508" spans="1:9" x14ac:dyDescent="0.3">
      <c r="A508">
        <v>507</v>
      </c>
      <c r="B508" t="s">
        <v>3168</v>
      </c>
      <c r="C508" t="s">
        <v>2696</v>
      </c>
      <c r="D508" t="s">
        <v>6299</v>
      </c>
      <c r="E508" t="s">
        <v>3169</v>
      </c>
      <c r="F508" t="s">
        <v>3170</v>
      </c>
      <c r="G508" t="s">
        <v>1736</v>
      </c>
      <c r="H508" t="s">
        <v>320</v>
      </c>
      <c r="I508">
        <v>10301</v>
      </c>
    </row>
    <row r="509" spans="1:9" x14ac:dyDescent="0.3">
      <c r="A509">
        <v>508</v>
      </c>
      <c r="B509" t="s">
        <v>2272</v>
      </c>
      <c r="C509" t="s">
        <v>3171</v>
      </c>
      <c r="D509" t="s">
        <v>3172</v>
      </c>
      <c r="E509" t="s">
        <v>3173</v>
      </c>
      <c r="F509" t="s">
        <v>3174</v>
      </c>
      <c r="G509" t="s">
        <v>1252</v>
      </c>
      <c r="H509" t="s">
        <v>320</v>
      </c>
      <c r="I509">
        <v>14086</v>
      </c>
    </row>
    <row r="510" spans="1:9" x14ac:dyDescent="0.3">
      <c r="A510">
        <v>509</v>
      </c>
      <c r="B510" t="s">
        <v>3175</v>
      </c>
      <c r="C510" t="s">
        <v>3176</v>
      </c>
      <c r="D510" t="s">
        <v>6299</v>
      </c>
      <c r="E510" t="s">
        <v>3177</v>
      </c>
      <c r="F510" t="s">
        <v>3178</v>
      </c>
      <c r="G510" t="s">
        <v>2940</v>
      </c>
      <c r="H510" t="s">
        <v>320</v>
      </c>
      <c r="I510">
        <v>12010</v>
      </c>
    </row>
    <row r="511" spans="1:9" x14ac:dyDescent="0.3">
      <c r="A511">
        <v>510</v>
      </c>
      <c r="B511" t="s">
        <v>3179</v>
      </c>
      <c r="C511" t="s">
        <v>1760</v>
      </c>
      <c r="D511" t="s">
        <v>6299</v>
      </c>
      <c r="E511" t="s">
        <v>3180</v>
      </c>
      <c r="F511" t="s">
        <v>3181</v>
      </c>
      <c r="G511" t="s">
        <v>3182</v>
      </c>
      <c r="H511" t="s">
        <v>320</v>
      </c>
      <c r="I511">
        <v>11419</v>
      </c>
    </row>
    <row r="512" spans="1:9" x14ac:dyDescent="0.3">
      <c r="A512">
        <v>511</v>
      </c>
      <c r="B512" t="s">
        <v>3183</v>
      </c>
      <c r="C512" t="s">
        <v>3184</v>
      </c>
      <c r="D512" t="s">
        <v>3185</v>
      </c>
      <c r="E512" t="s">
        <v>3186</v>
      </c>
      <c r="F512" t="s">
        <v>3187</v>
      </c>
      <c r="G512" t="s">
        <v>3188</v>
      </c>
      <c r="H512" t="s">
        <v>326</v>
      </c>
      <c r="I512">
        <v>76110</v>
      </c>
    </row>
    <row r="513" spans="1:9" x14ac:dyDescent="0.3">
      <c r="A513">
        <v>512</v>
      </c>
      <c r="B513" t="s">
        <v>3189</v>
      </c>
      <c r="C513" t="s">
        <v>2580</v>
      </c>
      <c r="D513" t="s">
        <v>6299</v>
      </c>
      <c r="E513" t="s">
        <v>3190</v>
      </c>
      <c r="F513" t="s">
        <v>3191</v>
      </c>
      <c r="G513" t="s">
        <v>2010</v>
      </c>
      <c r="H513" t="s">
        <v>320</v>
      </c>
      <c r="I513">
        <v>11784</v>
      </c>
    </row>
    <row r="514" spans="1:9" x14ac:dyDescent="0.3">
      <c r="A514">
        <v>513</v>
      </c>
      <c r="B514" t="s">
        <v>2089</v>
      </c>
      <c r="C514" t="s">
        <v>3192</v>
      </c>
      <c r="D514" t="s">
        <v>6299</v>
      </c>
      <c r="E514" t="s">
        <v>3193</v>
      </c>
      <c r="F514" t="s">
        <v>3194</v>
      </c>
      <c r="G514" t="s">
        <v>1677</v>
      </c>
      <c r="H514" t="s">
        <v>320</v>
      </c>
      <c r="I514">
        <v>14075</v>
      </c>
    </row>
    <row r="515" spans="1:9" x14ac:dyDescent="0.3">
      <c r="A515">
        <v>514</v>
      </c>
      <c r="B515" t="s">
        <v>3195</v>
      </c>
      <c r="C515" t="s">
        <v>3196</v>
      </c>
      <c r="D515" t="s">
        <v>6299</v>
      </c>
      <c r="E515" t="s">
        <v>3197</v>
      </c>
      <c r="F515" t="s">
        <v>3198</v>
      </c>
      <c r="G515" t="s">
        <v>1171</v>
      </c>
      <c r="H515" t="s">
        <v>320</v>
      </c>
      <c r="I515">
        <v>11423</v>
      </c>
    </row>
    <row r="516" spans="1:9" x14ac:dyDescent="0.3">
      <c r="A516">
        <v>515</v>
      </c>
      <c r="B516" t="s">
        <v>3199</v>
      </c>
      <c r="C516" t="s">
        <v>3200</v>
      </c>
      <c r="D516" t="s">
        <v>6299</v>
      </c>
      <c r="E516" t="s">
        <v>3201</v>
      </c>
      <c r="F516" t="s">
        <v>3202</v>
      </c>
      <c r="G516" t="s">
        <v>1142</v>
      </c>
      <c r="H516" t="s">
        <v>320</v>
      </c>
      <c r="I516">
        <v>10583</v>
      </c>
    </row>
    <row r="517" spans="1:9" x14ac:dyDescent="0.3">
      <c r="A517">
        <v>516</v>
      </c>
      <c r="B517" t="s">
        <v>3203</v>
      </c>
      <c r="C517" t="s">
        <v>3204</v>
      </c>
      <c r="D517" t="s">
        <v>6299</v>
      </c>
      <c r="E517" t="s">
        <v>3205</v>
      </c>
      <c r="F517" t="s">
        <v>3206</v>
      </c>
      <c r="G517" t="s">
        <v>1997</v>
      </c>
      <c r="H517" t="s">
        <v>320</v>
      </c>
      <c r="I517">
        <v>11201</v>
      </c>
    </row>
    <row r="518" spans="1:9" x14ac:dyDescent="0.3">
      <c r="A518">
        <v>517</v>
      </c>
      <c r="B518" t="s">
        <v>2019</v>
      </c>
      <c r="C518" t="s">
        <v>3207</v>
      </c>
      <c r="D518" t="s">
        <v>6299</v>
      </c>
      <c r="E518" t="s">
        <v>3208</v>
      </c>
      <c r="F518" t="s">
        <v>3209</v>
      </c>
      <c r="G518" t="s">
        <v>2257</v>
      </c>
      <c r="H518" t="s">
        <v>320</v>
      </c>
      <c r="I518">
        <v>11710</v>
      </c>
    </row>
    <row r="519" spans="1:9" x14ac:dyDescent="0.3">
      <c r="A519">
        <v>518</v>
      </c>
      <c r="B519" t="s">
        <v>3210</v>
      </c>
      <c r="C519" t="s">
        <v>2607</v>
      </c>
      <c r="D519" t="s">
        <v>6299</v>
      </c>
      <c r="E519" t="s">
        <v>3211</v>
      </c>
      <c r="F519" t="s">
        <v>3212</v>
      </c>
      <c r="G519" t="s">
        <v>1222</v>
      </c>
      <c r="H519" t="s">
        <v>314</v>
      </c>
      <c r="I519">
        <v>90274</v>
      </c>
    </row>
    <row r="520" spans="1:9" x14ac:dyDescent="0.3">
      <c r="A520">
        <v>519</v>
      </c>
      <c r="B520" t="s">
        <v>3213</v>
      </c>
      <c r="C520" t="s">
        <v>1804</v>
      </c>
      <c r="D520" t="s">
        <v>6299</v>
      </c>
      <c r="E520" t="s">
        <v>3214</v>
      </c>
      <c r="F520" t="s">
        <v>3215</v>
      </c>
      <c r="G520" t="s">
        <v>1222</v>
      </c>
      <c r="H520" t="s">
        <v>314</v>
      </c>
      <c r="I520">
        <v>90274</v>
      </c>
    </row>
    <row r="521" spans="1:9" x14ac:dyDescent="0.3">
      <c r="A521">
        <v>520</v>
      </c>
      <c r="B521" t="s">
        <v>3216</v>
      </c>
      <c r="C521" t="s">
        <v>3023</v>
      </c>
      <c r="D521" t="s">
        <v>6299</v>
      </c>
      <c r="E521" t="s">
        <v>3217</v>
      </c>
      <c r="F521" t="s">
        <v>3218</v>
      </c>
      <c r="G521" t="s">
        <v>2539</v>
      </c>
      <c r="H521" t="s">
        <v>320</v>
      </c>
      <c r="I521">
        <v>10550</v>
      </c>
    </row>
    <row r="522" spans="1:9" x14ac:dyDescent="0.3">
      <c r="A522">
        <v>521</v>
      </c>
      <c r="B522" t="s">
        <v>3219</v>
      </c>
      <c r="C522" t="s">
        <v>1906</v>
      </c>
      <c r="D522" t="s">
        <v>6299</v>
      </c>
      <c r="E522" t="s">
        <v>3220</v>
      </c>
      <c r="F522" t="s">
        <v>3221</v>
      </c>
      <c r="G522" t="s">
        <v>3222</v>
      </c>
      <c r="H522" t="s">
        <v>320</v>
      </c>
      <c r="I522">
        <v>11542</v>
      </c>
    </row>
    <row r="523" spans="1:9" x14ac:dyDescent="0.3">
      <c r="A523">
        <v>522</v>
      </c>
      <c r="B523" t="s">
        <v>3223</v>
      </c>
      <c r="C523" t="s">
        <v>1459</v>
      </c>
      <c r="D523" t="s">
        <v>3224</v>
      </c>
      <c r="E523" t="s">
        <v>3225</v>
      </c>
      <c r="F523" t="s">
        <v>3226</v>
      </c>
      <c r="G523" t="s">
        <v>1212</v>
      </c>
      <c r="H523" t="s">
        <v>314</v>
      </c>
      <c r="I523">
        <v>94603</v>
      </c>
    </row>
    <row r="524" spans="1:9" x14ac:dyDescent="0.3">
      <c r="A524">
        <v>523</v>
      </c>
      <c r="B524" t="s">
        <v>3227</v>
      </c>
      <c r="C524" t="s">
        <v>3228</v>
      </c>
      <c r="D524" t="s">
        <v>6299</v>
      </c>
      <c r="E524" t="s">
        <v>3229</v>
      </c>
      <c r="F524" t="s">
        <v>3230</v>
      </c>
      <c r="G524" t="s">
        <v>2071</v>
      </c>
      <c r="H524" t="s">
        <v>320</v>
      </c>
      <c r="I524">
        <v>11772</v>
      </c>
    </row>
    <row r="525" spans="1:9" x14ac:dyDescent="0.3">
      <c r="A525">
        <v>524</v>
      </c>
      <c r="B525" t="s">
        <v>3231</v>
      </c>
      <c r="C525" t="s">
        <v>3232</v>
      </c>
      <c r="D525" t="s">
        <v>6299</v>
      </c>
      <c r="E525" t="s">
        <v>3233</v>
      </c>
      <c r="F525" t="s">
        <v>3234</v>
      </c>
      <c r="G525" t="s">
        <v>1321</v>
      </c>
      <c r="H525" t="s">
        <v>320</v>
      </c>
      <c r="I525">
        <v>13501</v>
      </c>
    </row>
    <row r="526" spans="1:9" x14ac:dyDescent="0.3">
      <c r="A526">
        <v>525</v>
      </c>
      <c r="B526" t="s">
        <v>3216</v>
      </c>
      <c r="C526" t="s">
        <v>3235</v>
      </c>
      <c r="D526" t="s">
        <v>6299</v>
      </c>
      <c r="E526" t="s">
        <v>3236</v>
      </c>
      <c r="F526" t="s">
        <v>3237</v>
      </c>
      <c r="G526" t="s">
        <v>2871</v>
      </c>
      <c r="H526" t="s">
        <v>320</v>
      </c>
      <c r="I526">
        <v>10801</v>
      </c>
    </row>
    <row r="527" spans="1:9" x14ac:dyDescent="0.3">
      <c r="A527">
        <v>526</v>
      </c>
      <c r="B527" t="s">
        <v>3238</v>
      </c>
      <c r="C527" t="s">
        <v>3239</v>
      </c>
      <c r="D527" t="s">
        <v>6299</v>
      </c>
      <c r="E527" t="s">
        <v>3240</v>
      </c>
      <c r="F527" t="s">
        <v>3241</v>
      </c>
      <c r="G527" t="s">
        <v>1156</v>
      </c>
      <c r="H527" t="s">
        <v>326</v>
      </c>
      <c r="I527">
        <v>77478</v>
      </c>
    </row>
    <row r="528" spans="1:9" x14ac:dyDescent="0.3">
      <c r="A528">
        <v>527</v>
      </c>
      <c r="B528" t="s">
        <v>3242</v>
      </c>
      <c r="C528" t="s">
        <v>2166</v>
      </c>
      <c r="D528" t="s">
        <v>6299</v>
      </c>
      <c r="E528" t="s">
        <v>3243</v>
      </c>
      <c r="F528" t="s">
        <v>3244</v>
      </c>
      <c r="G528" t="s">
        <v>1682</v>
      </c>
      <c r="H528" t="s">
        <v>320</v>
      </c>
      <c r="I528">
        <v>11727</v>
      </c>
    </row>
    <row r="529" spans="1:9" x14ac:dyDescent="0.3">
      <c r="A529">
        <v>528</v>
      </c>
      <c r="B529" t="s">
        <v>3245</v>
      </c>
      <c r="C529" t="s">
        <v>3246</v>
      </c>
      <c r="D529" t="s">
        <v>3247</v>
      </c>
      <c r="E529" t="s">
        <v>3248</v>
      </c>
      <c r="F529" t="s">
        <v>3249</v>
      </c>
      <c r="G529" t="s">
        <v>3250</v>
      </c>
      <c r="H529" t="s">
        <v>320</v>
      </c>
      <c r="I529">
        <v>10956</v>
      </c>
    </row>
    <row r="530" spans="1:9" x14ac:dyDescent="0.3">
      <c r="A530">
        <v>529</v>
      </c>
      <c r="B530" t="s">
        <v>3251</v>
      </c>
      <c r="C530" t="s">
        <v>3252</v>
      </c>
      <c r="D530" t="s">
        <v>6299</v>
      </c>
      <c r="E530" t="s">
        <v>3253</v>
      </c>
      <c r="F530" t="s">
        <v>3254</v>
      </c>
      <c r="G530" t="s">
        <v>3255</v>
      </c>
      <c r="H530" t="s">
        <v>314</v>
      </c>
      <c r="I530">
        <v>90403</v>
      </c>
    </row>
    <row r="531" spans="1:9" x14ac:dyDescent="0.3">
      <c r="A531">
        <v>530</v>
      </c>
      <c r="B531" t="s">
        <v>3256</v>
      </c>
      <c r="C531" t="s">
        <v>3257</v>
      </c>
      <c r="D531" t="s">
        <v>6299</v>
      </c>
      <c r="E531" t="s">
        <v>3258</v>
      </c>
      <c r="F531" t="s">
        <v>3259</v>
      </c>
      <c r="G531" t="s">
        <v>1471</v>
      </c>
      <c r="H531" t="s">
        <v>314</v>
      </c>
      <c r="I531">
        <v>91010</v>
      </c>
    </row>
    <row r="532" spans="1:9" x14ac:dyDescent="0.3">
      <c r="A532">
        <v>531</v>
      </c>
      <c r="B532" t="s">
        <v>3260</v>
      </c>
      <c r="C532" t="s">
        <v>3261</v>
      </c>
      <c r="D532" t="s">
        <v>3262</v>
      </c>
      <c r="E532" t="s">
        <v>3263</v>
      </c>
      <c r="F532" t="s">
        <v>3264</v>
      </c>
      <c r="G532" t="s">
        <v>1502</v>
      </c>
      <c r="H532" t="s">
        <v>320</v>
      </c>
      <c r="I532">
        <v>12180</v>
      </c>
    </row>
    <row r="533" spans="1:9" x14ac:dyDescent="0.3">
      <c r="A533">
        <v>532</v>
      </c>
      <c r="B533" t="s">
        <v>3265</v>
      </c>
      <c r="C533" t="s">
        <v>3266</v>
      </c>
      <c r="D533" t="s">
        <v>6299</v>
      </c>
      <c r="E533" t="s">
        <v>3267</v>
      </c>
      <c r="F533" t="s">
        <v>3268</v>
      </c>
      <c r="G533" t="s">
        <v>1449</v>
      </c>
      <c r="H533" t="s">
        <v>314</v>
      </c>
      <c r="I533">
        <v>92236</v>
      </c>
    </row>
    <row r="534" spans="1:9" x14ac:dyDescent="0.3">
      <c r="A534">
        <v>533</v>
      </c>
      <c r="B534" t="s">
        <v>3269</v>
      </c>
      <c r="C534" t="s">
        <v>3270</v>
      </c>
      <c r="D534" t="s">
        <v>3271</v>
      </c>
      <c r="E534" t="s">
        <v>3272</v>
      </c>
      <c r="F534" t="s">
        <v>3273</v>
      </c>
      <c r="G534" t="s">
        <v>1638</v>
      </c>
      <c r="H534" t="s">
        <v>326</v>
      </c>
      <c r="I534">
        <v>78418</v>
      </c>
    </row>
    <row r="535" spans="1:9" x14ac:dyDescent="0.3">
      <c r="A535">
        <v>534</v>
      </c>
      <c r="B535" t="s">
        <v>3274</v>
      </c>
      <c r="C535" t="s">
        <v>3275</v>
      </c>
      <c r="D535" t="s">
        <v>6299</v>
      </c>
      <c r="E535" t="s">
        <v>3276</v>
      </c>
      <c r="F535" t="s">
        <v>3277</v>
      </c>
      <c r="G535" t="s">
        <v>2605</v>
      </c>
      <c r="H535" t="s">
        <v>320</v>
      </c>
      <c r="I535">
        <v>11793</v>
      </c>
    </row>
    <row r="536" spans="1:9" x14ac:dyDescent="0.3">
      <c r="A536">
        <v>535</v>
      </c>
      <c r="B536" t="s">
        <v>3278</v>
      </c>
      <c r="C536" t="s">
        <v>3279</v>
      </c>
      <c r="D536" t="s">
        <v>3280</v>
      </c>
      <c r="E536" t="s">
        <v>3281</v>
      </c>
      <c r="F536" t="s">
        <v>3282</v>
      </c>
      <c r="G536" t="s">
        <v>1187</v>
      </c>
      <c r="H536" t="s">
        <v>320</v>
      </c>
      <c r="I536">
        <v>11561</v>
      </c>
    </row>
    <row r="537" spans="1:9" x14ac:dyDescent="0.3">
      <c r="A537">
        <v>536</v>
      </c>
      <c r="B537" t="s">
        <v>3283</v>
      </c>
      <c r="C537" t="s">
        <v>3284</v>
      </c>
      <c r="D537" t="s">
        <v>6299</v>
      </c>
      <c r="E537" t="s">
        <v>3285</v>
      </c>
      <c r="F537" t="s">
        <v>3286</v>
      </c>
      <c r="G537" t="s">
        <v>1059</v>
      </c>
      <c r="H537" t="s">
        <v>320</v>
      </c>
      <c r="I537">
        <v>14127</v>
      </c>
    </row>
    <row r="538" spans="1:9" x14ac:dyDescent="0.3">
      <c r="A538">
        <v>537</v>
      </c>
      <c r="B538" t="s">
        <v>1269</v>
      </c>
      <c r="C538" t="s">
        <v>3287</v>
      </c>
      <c r="D538" t="s">
        <v>6299</v>
      </c>
      <c r="E538" t="s">
        <v>3288</v>
      </c>
      <c r="F538" t="s">
        <v>3289</v>
      </c>
      <c r="G538" t="s">
        <v>2796</v>
      </c>
      <c r="H538" t="s">
        <v>320</v>
      </c>
      <c r="I538">
        <v>10512</v>
      </c>
    </row>
    <row r="539" spans="1:9" x14ac:dyDescent="0.3">
      <c r="A539">
        <v>538</v>
      </c>
      <c r="B539" t="s">
        <v>3290</v>
      </c>
      <c r="C539" t="s">
        <v>3291</v>
      </c>
      <c r="D539" t="s">
        <v>6299</v>
      </c>
      <c r="E539" t="s">
        <v>3292</v>
      </c>
      <c r="F539" t="s">
        <v>3293</v>
      </c>
      <c r="G539" t="s">
        <v>1404</v>
      </c>
      <c r="H539" t="s">
        <v>314</v>
      </c>
      <c r="I539">
        <v>91733</v>
      </c>
    </row>
    <row r="540" spans="1:9" x14ac:dyDescent="0.3">
      <c r="A540">
        <v>539</v>
      </c>
      <c r="B540" t="s">
        <v>3294</v>
      </c>
      <c r="C540" t="s">
        <v>3295</v>
      </c>
      <c r="D540" t="s">
        <v>6299</v>
      </c>
      <c r="E540" t="s">
        <v>3296</v>
      </c>
      <c r="F540" t="s">
        <v>3297</v>
      </c>
      <c r="G540" t="s">
        <v>2275</v>
      </c>
      <c r="H540" t="s">
        <v>320</v>
      </c>
      <c r="I540">
        <v>11417</v>
      </c>
    </row>
    <row r="541" spans="1:9" x14ac:dyDescent="0.3">
      <c r="A541">
        <v>540</v>
      </c>
      <c r="B541" t="s">
        <v>3298</v>
      </c>
      <c r="C541" t="s">
        <v>2308</v>
      </c>
      <c r="D541" t="s">
        <v>6299</v>
      </c>
      <c r="E541" t="s">
        <v>3299</v>
      </c>
      <c r="F541" t="s">
        <v>3300</v>
      </c>
      <c r="G541" t="s">
        <v>3301</v>
      </c>
      <c r="H541" t="s">
        <v>314</v>
      </c>
      <c r="I541">
        <v>91762</v>
      </c>
    </row>
    <row r="542" spans="1:9" x14ac:dyDescent="0.3">
      <c r="A542">
        <v>541</v>
      </c>
      <c r="B542" t="s">
        <v>3302</v>
      </c>
      <c r="C542" t="s">
        <v>3303</v>
      </c>
      <c r="D542" t="s">
        <v>6299</v>
      </c>
      <c r="E542" t="s">
        <v>3304</v>
      </c>
      <c r="F542" t="s">
        <v>3305</v>
      </c>
      <c r="G542" t="s">
        <v>1449</v>
      </c>
      <c r="H542" t="s">
        <v>314</v>
      </c>
      <c r="I542">
        <v>92236</v>
      </c>
    </row>
    <row r="543" spans="1:9" x14ac:dyDescent="0.3">
      <c r="A543">
        <v>542</v>
      </c>
      <c r="B543" t="s">
        <v>3306</v>
      </c>
      <c r="C543" t="s">
        <v>1715</v>
      </c>
      <c r="D543" t="s">
        <v>6299</v>
      </c>
      <c r="E543" t="s">
        <v>3307</v>
      </c>
      <c r="F543" t="s">
        <v>3308</v>
      </c>
      <c r="G543" t="s">
        <v>2288</v>
      </c>
      <c r="H543" t="s">
        <v>320</v>
      </c>
      <c r="I543">
        <v>11779</v>
      </c>
    </row>
    <row r="544" spans="1:9" x14ac:dyDescent="0.3">
      <c r="A544">
        <v>543</v>
      </c>
      <c r="B544" t="s">
        <v>3309</v>
      </c>
      <c r="C544" t="s">
        <v>3133</v>
      </c>
      <c r="D544" t="s">
        <v>6299</v>
      </c>
      <c r="E544" t="s">
        <v>3310</v>
      </c>
      <c r="F544" t="s">
        <v>3311</v>
      </c>
      <c r="G544" t="s">
        <v>1776</v>
      </c>
      <c r="H544" t="s">
        <v>326</v>
      </c>
      <c r="I544">
        <v>78023</v>
      </c>
    </row>
    <row r="545" spans="1:9" x14ac:dyDescent="0.3">
      <c r="A545">
        <v>544</v>
      </c>
      <c r="B545" t="s">
        <v>3312</v>
      </c>
      <c r="C545" t="s">
        <v>3313</v>
      </c>
      <c r="D545" t="s">
        <v>6299</v>
      </c>
      <c r="E545" t="s">
        <v>3314</v>
      </c>
      <c r="F545" t="s">
        <v>3315</v>
      </c>
      <c r="G545" t="s">
        <v>1786</v>
      </c>
      <c r="H545" t="s">
        <v>320</v>
      </c>
      <c r="I545">
        <v>11795</v>
      </c>
    </row>
    <row r="546" spans="1:9" x14ac:dyDescent="0.3">
      <c r="A546">
        <v>545</v>
      </c>
      <c r="B546" t="s">
        <v>3316</v>
      </c>
      <c r="C546" t="s">
        <v>2549</v>
      </c>
      <c r="D546" t="s">
        <v>6299</v>
      </c>
      <c r="E546" t="s">
        <v>3317</v>
      </c>
      <c r="F546" t="s">
        <v>3318</v>
      </c>
      <c r="G546" t="s">
        <v>1466</v>
      </c>
      <c r="H546" t="s">
        <v>320</v>
      </c>
      <c r="I546">
        <v>13126</v>
      </c>
    </row>
    <row r="547" spans="1:9" x14ac:dyDescent="0.3">
      <c r="A547">
        <v>546</v>
      </c>
      <c r="B547" t="s">
        <v>3319</v>
      </c>
      <c r="C547" t="s">
        <v>3320</v>
      </c>
      <c r="D547" t="s">
        <v>3321</v>
      </c>
      <c r="E547" t="s">
        <v>3322</v>
      </c>
      <c r="F547" t="s">
        <v>3323</v>
      </c>
      <c r="G547" t="s">
        <v>2094</v>
      </c>
      <c r="H547" t="s">
        <v>320</v>
      </c>
      <c r="I547">
        <v>11717</v>
      </c>
    </row>
    <row r="548" spans="1:9" x14ac:dyDescent="0.3">
      <c r="A548">
        <v>547</v>
      </c>
      <c r="B548" t="s">
        <v>1492</v>
      </c>
      <c r="C548" t="s">
        <v>3324</v>
      </c>
      <c r="D548" t="s">
        <v>6299</v>
      </c>
      <c r="E548" t="s">
        <v>3325</v>
      </c>
      <c r="F548" t="s">
        <v>3326</v>
      </c>
      <c r="G548" t="s">
        <v>1651</v>
      </c>
      <c r="H548" t="s">
        <v>320</v>
      </c>
      <c r="I548">
        <v>12550</v>
      </c>
    </row>
    <row r="549" spans="1:9" x14ac:dyDescent="0.3">
      <c r="A549">
        <v>548</v>
      </c>
      <c r="B549" t="s">
        <v>3327</v>
      </c>
      <c r="C549" t="s">
        <v>2481</v>
      </c>
      <c r="D549" t="s">
        <v>6299</v>
      </c>
      <c r="E549" t="s">
        <v>3328</v>
      </c>
      <c r="F549" t="s">
        <v>3329</v>
      </c>
      <c r="G549" t="s">
        <v>2262</v>
      </c>
      <c r="H549" t="s">
        <v>320</v>
      </c>
      <c r="I549">
        <v>12401</v>
      </c>
    </row>
    <row r="550" spans="1:9" x14ac:dyDescent="0.3">
      <c r="A550">
        <v>549</v>
      </c>
      <c r="B550" t="s">
        <v>3330</v>
      </c>
      <c r="C550" t="s">
        <v>3331</v>
      </c>
      <c r="D550" t="s">
        <v>3332</v>
      </c>
      <c r="E550" t="s">
        <v>3333</v>
      </c>
      <c r="F550" t="s">
        <v>3334</v>
      </c>
      <c r="G550" t="s">
        <v>1187</v>
      </c>
      <c r="H550" t="s">
        <v>320</v>
      </c>
      <c r="I550">
        <v>11561</v>
      </c>
    </row>
    <row r="551" spans="1:9" x14ac:dyDescent="0.3">
      <c r="A551">
        <v>550</v>
      </c>
      <c r="B551" t="s">
        <v>3335</v>
      </c>
      <c r="C551" t="s">
        <v>1214</v>
      </c>
      <c r="D551" t="s">
        <v>6299</v>
      </c>
      <c r="E551" t="s">
        <v>3336</v>
      </c>
      <c r="F551" t="s">
        <v>3337</v>
      </c>
      <c r="G551" t="s">
        <v>1663</v>
      </c>
      <c r="H551" t="s">
        <v>320</v>
      </c>
      <c r="I551">
        <v>14094</v>
      </c>
    </row>
    <row r="552" spans="1:9" x14ac:dyDescent="0.3">
      <c r="A552">
        <v>551</v>
      </c>
      <c r="B552" t="s">
        <v>3338</v>
      </c>
      <c r="C552" t="s">
        <v>3339</v>
      </c>
      <c r="D552" t="s">
        <v>3340</v>
      </c>
      <c r="E552" t="s">
        <v>3341</v>
      </c>
      <c r="F552" t="s">
        <v>3342</v>
      </c>
      <c r="G552" t="s">
        <v>3188</v>
      </c>
      <c r="H552" t="s">
        <v>326</v>
      </c>
      <c r="I552">
        <v>76110</v>
      </c>
    </row>
    <row r="553" spans="1:9" x14ac:dyDescent="0.3">
      <c r="A553">
        <v>552</v>
      </c>
      <c r="B553" t="s">
        <v>3343</v>
      </c>
      <c r="C553" t="s">
        <v>3344</v>
      </c>
      <c r="D553" t="s">
        <v>6299</v>
      </c>
      <c r="E553" t="s">
        <v>3345</v>
      </c>
      <c r="F553" t="s">
        <v>3346</v>
      </c>
      <c r="G553" t="s">
        <v>1791</v>
      </c>
      <c r="H553" t="s">
        <v>314</v>
      </c>
      <c r="I553">
        <v>92220</v>
      </c>
    </row>
    <row r="554" spans="1:9" x14ac:dyDescent="0.3">
      <c r="A554">
        <v>553</v>
      </c>
      <c r="B554" t="s">
        <v>3347</v>
      </c>
      <c r="C554" t="s">
        <v>2650</v>
      </c>
      <c r="D554" t="s">
        <v>6299</v>
      </c>
      <c r="E554" t="s">
        <v>3348</v>
      </c>
      <c r="F554" t="s">
        <v>3349</v>
      </c>
      <c r="G554" t="s">
        <v>1391</v>
      </c>
      <c r="H554" t="s">
        <v>314</v>
      </c>
      <c r="I554">
        <v>95677</v>
      </c>
    </row>
    <row r="555" spans="1:9" x14ac:dyDescent="0.3">
      <c r="A555">
        <v>554</v>
      </c>
      <c r="B555" t="s">
        <v>3350</v>
      </c>
      <c r="C555" t="s">
        <v>2888</v>
      </c>
      <c r="D555" t="s">
        <v>6299</v>
      </c>
      <c r="E555" t="s">
        <v>3351</v>
      </c>
      <c r="F555" t="s">
        <v>3352</v>
      </c>
      <c r="G555" t="s">
        <v>1064</v>
      </c>
      <c r="H555" t="s">
        <v>314</v>
      </c>
      <c r="I555">
        <v>95008</v>
      </c>
    </row>
    <row r="556" spans="1:9" x14ac:dyDescent="0.3">
      <c r="A556">
        <v>555</v>
      </c>
      <c r="B556" t="s">
        <v>3353</v>
      </c>
      <c r="C556" t="s">
        <v>3354</v>
      </c>
      <c r="D556" t="s">
        <v>6299</v>
      </c>
      <c r="E556" t="s">
        <v>3355</v>
      </c>
      <c r="F556" t="s">
        <v>3356</v>
      </c>
      <c r="G556" t="s">
        <v>1126</v>
      </c>
      <c r="H556" t="s">
        <v>326</v>
      </c>
      <c r="I556">
        <v>75126</v>
      </c>
    </row>
    <row r="557" spans="1:9" x14ac:dyDescent="0.3">
      <c r="A557">
        <v>556</v>
      </c>
      <c r="B557" t="s">
        <v>3357</v>
      </c>
      <c r="C557" t="s">
        <v>1429</v>
      </c>
      <c r="D557" t="s">
        <v>6299</v>
      </c>
      <c r="E557" t="s">
        <v>3358</v>
      </c>
      <c r="F557" t="s">
        <v>3359</v>
      </c>
      <c r="G557" t="s">
        <v>1105</v>
      </c>
      <c r="H557" t="s">
        <v>320</v>
      </c>
      <c r="I557">
        <v>10950</v>
      </c>
    </row>
    <row r="558" spans="1:9" x14ac:dyDescent="0.3">
      <c r="A558">
        <v>557</v>
      </c>
      <c r="B558" t="s">
        <v>3360</v>
      </c>
      <c r="C558" t="s">
        <v>3361</v>
      </c>
      <c r="D558" t="s">
        <v>6299</v>
      </c>
      <c r="E558" t="s">
        <v>3362</v>
      </c>
      <c r="F558" t="s">
        <v>3363</v>
      </c>
      <c r="G558" t="s">
        <v>2539</v>
      </c>
      <c r="H558" t="s">
        <v>320</v>
      </c>
      <c r="I558">
        <v>10550</v>
      </c>
    </row>
    <row r="559" spans="1:9" x14ac:dyDescent="0.3">
      <c r="A559">
        <v>558</v>
      </c>
      <c r="B559" t="s">
        <v>2429</v>
      </c>
      <c r="C559" t="s">
        <v>3364</v>
      </c>
      <c r="D559" t="s">
        <v>6299</v>
      </c>
      <c r="E559" t="s">
        <v>3365</v>
      </c>
      <c r="F559" t="s">
        <v>3366</v>
      </c>
      <c r="G559" t="s">
        <v>1105</v>
      </c>
      <c r="H559" t="s">
        <v>320</v>
      </c>
      <c r="I559">
        <v>10950</v>
      </c>
    </row>
    <row r="560" spans="1:9" x14ac:dyDescent="0.3">
      <c r="A560">
        <v>559</v>
      </c>
      <c r="B560" t="s">
        <v>3367</v>
      </c>
      <c r="C560" t="s">
        <v>3368</v>
      </c>
      <c r="D560" t="s">
        <v>3369</v>
      </c>
      <c r="E560" t="s">
        <v>3370</v>
      </c>
      <c r="F560" t="s">
        <v>3371</v>
      </c>
      <c r="G560" t="s">
        <v>2094</v>
      </c>
      <c r="H560" t="s">
        <v>320</v>
      </c>
      <c r="I560">
        <v>11717</v>
      </c>
    </row>
    <row r="561" spans="1:9" x14ac:dyDescent="0.3">
      <c r="A561">
        <v>560</v>
      </c>
      <c r="B561" t="s">
        <v>3372</v>
      </c>
      <c r="C561" t="s">
        <v>3373</v>
      </c>
      <c r="D561" t="s">
        <v>6299</v>
      </c>
      <c r="E561" t="s">
        <v>3374</v>
      </c>
      <c r="F561" t="s">
        <v>3375</v>
      </c>
      <c r="G561" t="s">
        <v>1126</v>
      </c>
      <c r="H561" t="s">
        <v>326</v>
      </c>
      <c r="I561">
        <v>75126</v>
      </c>
    </row>
    <row r="562" spans="1:9" x14ac:dyDescent="0.3">
      <c r="A562">
        <v>561</v>
      </c>
      <c r="B562" t="s">
        <v>2601</v>
      </c>
      <c r="C562" t="s">
        <v>3376</v>
      </c>
      <c r="D562" t="s">
        <v>6299</v>
      </c>
      <c r="E562" t="s">
        <v>3377</v>
      </c>
      <c r="F562" t="s">
        <v>3378</v>
      </c>
      <c r="G562" t="s">
        <v>1291</v>
      </c>
      <c r="H562" t="s">
        <v>314</v>
      </c>
      <c r="I562">
        <v>94580</v>
      </c>
    </row>
    <row r="563" spans="1:9" x14ac:dyDescent="0.3">
      <c r="A563">
        <v>562</v>
      </c>
      <c r="B563" t="s">
        <v>3274</v>
      </c>
      <c r="C563" t="s">
        <v>3379</v>
      </c>
      <c r="D563" t="s">
        <v>6299</v>
      </c>
      <c r="E563" t="s">
        <v>3380</v>
      </c>
      <c r="F563" t="s">
        <v>3381</v>
      </c>
      <c r="G563" t="s">
        <v>1480</v>
      </c>
      <c r="H563" t="s">
        <v>314</v>
      </c>
      <c r="I563">
        <v>91784</v>
      </c>
    </row>
    <row r="564" spans="1:9" x14ac:dyDescent="0.3">
      <c r="A564">
        <v>563</v>
      </c>
      <c r="B564" t="s">
        <v>3382</v>
      </c>
      <c r="C564" t="s">
        <v>1764</v>
      </c>
      <c r="D564" t="s">
        <v>6299</v>
      </c>
      <c r="E564" t="s">
        <v>3383</v>
      </c>
      <c r="F564" t="s">
        <v>3384</v>
      </c>
      <c r="G564" t="s">
        <v>1267</v>
      </c>
      <c r="H564" t="s">
        <v>320</v>
      </c>
      <c r="I564">
        <v>11418</v>
      </c>
    </row>
    <row r="565" spans="1:9" x14ac:dyDescent="0.3">
      <c r="A565">
        <v>564</v>
      </c>
      <c r="B565" t="s">
        <v>2485</v>
      </c>
      <c r="C565" t="s">
        <v>3385</v>
      </c>
      <c r="D565" t="s">
        <v>6299</v>
      </c>
      <c r="E565" t="s">
        <v>3386</v>
      </c>
      <c r="F565" t="s">
        <v>3387</v>
      </c>
      <c r="G565" t="s">
        <v>1496</v>
      </c>
      <c r="H565" t="s">
        <v>320</v>
      </c>
      <c r="I565">
        <v>11735</v>
      </c>
    </row>
    <row r="566" spans="1:9" x14ac:dyDescent="0.3">
      <c r="A566">
        <v>565</v>
      </c>
      <c r="B566" t="s">
        <v>3388</v>
      </c>
      <c r="C566" t="s">
        <v>3389</v>
      </c>
      <c r="D566" t="s">
        <v>6299</v>
      </c>
      <c r="E566" t="s">
        <v>3390</v>
      </c>
      <c r="F566" t="s">
        <v>3391</v>
      </c>
      <c r="G566" t="s">
        <v>1353</v>
      </c>
      <c r="H566" t="s">
        <v>326</v>
      </c>
      <c r="I566">
        <v>76901</v>
      </c>
    </row>
    <row r="567" spans="1:9" x14ac:dyDescent="0.3">
      <c r="A567">
        <v>566</v>
      </c>
      <c r="B567" t="s">
        <v>3392</v>
      </c>
      <c r="C567" t="s">
        <v>3393</v>
      </c>
      <c r="D567" t="s">
        <v>6299</v>
      </c>
      <c r="E567" t="s">
        <v>3394</v>
      </c>
      <c r="F567" t="s">
        <v>3395</v>
      </c>
      <c r="G567" t="s">
        <v>3071</v>
      </c>
      <c r="H567" t="s">
        <v>326</v>
      </c>
      <c r="I567">
        <v>77566</v>
      </c>
    </row>
    <row r="568" spans="1:9" x14ac:dyDescent="0.3">
      <c r="A568">
        <v>567</v>
      </c>
      <c r="B568" t="s">
        <v>3396</v>
      </c>
      <c r="C568" t="s">
        <v>3121</v>
      </c>
      <c r="D568" t="s">
        <v>6299</v>
      </c>
      <c r="E568" t="s">
        <v>3397</v>
      </c>
      <c r="F568" t="s">
        <v>3398</v>
      </c>
      <c r="G568" t="s">
        <v>1121</v>
      </c>
      <c r="H568" t="s">
        <v>326</v>
      </c>
      <c r="I568">
        <v>75604</v>
      </c>
    </row>
    <row r="569" spans="1:9" x14ac:dyDescent="0.3">
      <c r="A569">
        <v>568</v>
      </c>
      <c r="B569" t="s">
        <v>3399</v>
      </c>
      <c r="C569" t="s">
        <v>1603</v>
      </c>
      <c r="D569" t="s">
        <v>6299</v>
      </c>
      <c r="E569" t="s">
        <v>3400</v>
      </c>
      <c r="F569" t="s">
        <v>3401</v>
      </c>
      <c r="G569" t="s">
        <v>1786</v>
      </c>
      <c r="H569" t="s">
        <v>320</v>
      </c>
      <c r="I569">
        <v>11795</v>
      </c>
    </row>
    <row r="570" spans="1:9" x14ac:dyDescent="0.3">
      <c r="A570">
        <v>569</v>
      </c>
      <c r="B570" t="s">
        <v>3402</v>
      </c>
      <c r="C570" t="s">
        <v>2090</v>
      </c>
      <c r="D570" t="s">
        <v>6299</v>
      </c>
      <c r="E570" t="s">
        <v>3403</v>
      </c>
      <c r="F570" t="s">
        <v>3404</v>
      </c>
      <c r="G570" t="s">
        <v>3255</v>
      </c>
      <c r="H570" t="s">
        <v>314</v>
      </c>
      <c r="I570">
        <v>90403</v>
      </c>
    </row>
    <row r="571" spans="1:9" x14ac:dyDescent="0.3">
      <c r="A571">
        <v>570</v>
      </c>
      <c r="B571" t="s">
        <v>3405</v>
      </c>
      <c r="C571" t="s">
        <v>3034</v>
      </c>
      <c r="D571" t="s">
        <v>6299</v>
      </c>
      <c r="E571" t="s">
        <v>3406</v>
      </c>
      <c r="F571" t="s">
        <v>3407</v>
      </c>
      <c r="G571" t="s">
        <v>1718</v>
      </c>
      <c r="H571" t="s">
        <v>320</v>
      </c>
      <c r="I571">
        <v>11412</v>
      </c>
    </row>
    <row r="572" spans="1:9" x14ac:dyDescent="0.3">
      <c r="A572">
        <v>571</v>
      </c>
      <c r="B572" t="s">
        <v>3408</v>
      </c>
      <c r="C572" t="s">
        <v>3409</v>
      </c>
      <c r="D572" t="s">
        <v>6299</v>
      </c>
      <c r="E572" t="s">
        <v>3410</v>
      </c>
      <c r="F572" t="s">
        <v>3411</v>
      </c>
      <c r="G572" t="s">
        <v>1222</v>
      </c>
      <c r="H572" t="s">
        <v>314</v>
      </c>
      <c r="I572">
        <v>90274</v>
      </c>
    </row>
    <row r="573" spans="1:9" x14ac:dyDescent="0.3">
      <c r="A573">
        <v>572</v>
      </c>
      <c r="B573" t="s">
        <v>3412</v>
      </c>
      <c r="C573" t="s">
        <v>2073</v>
      </c>
      <c r="D573" t="s">
        <v>6299</v>
      </c>
      <c r="E573" t="s">
        <v>3413</v>
      </c>
      <c r="F573" t="s">
        <v>3414</v>
      </c>
      <c r="G573" t="s">
        <v>3415</v>
      </c>
      <c r="H573" t="s">
        <v>320</v>
      </c>
      <c r="I573">
        <v>13021</v>
      </c>
    </row>
    <row r="574" spans="1:9" x14ac:dyDescent="0.3">
      <c r="A574">
        <v>573</v>
      </c>
      <c r="B574" t="s">
        <v>3416</v>
      </c>
      <c r="C574" t="s">
        <v>1345</v>
      </c>
      <c r="D574" t="s">
        <v>3417</v>
      </c>
      <c r="E574" t="s">
        <v>3418</v>
      </c>
      <c r="F574" t="s">
        <v>3419</v>
      </c>
      <c r="G574" t="s">
        <v>1502</v>
      </c>
      <c r="H574" t="s">
        <v>320</v>
      </c>
      <c r="I574">
        <v>12180</v>
      </c>
    </row>
    <row r="575" spans="1:9" x14ac:dyDescent="0.3">
      <c r="A575">
        <v>574</v>
      </c>
      <c r="B575" t="s">
        <v>3420</v>
      </c>
      <c r="C575" t="s">
        <v>2082</v>
      </c>
      <c r="D575" t="s">
        <v>6299</v>
      </c>
      <c r="E575" t="s">
        <v>3421</v>
      </c>
      <c r="F575" t="s">
        <v>3422</v>
      </c>
      <c r="G575" t="s">
        <v>1257</v>
      </c>
      <c r="H575" t="s">
        <v>314</v>
      </c>
      <c r="I575">
        <v>91316</v>
      </c>
    </row>
    <row r="576" spans="1:9" x14ac:dyDescent="0.3">
      <c r="A576">
        <v>575</v>
      </c>
      <c r="B576" t="s">
        <v>3423</v>
      </c>
      <c r="C576" t="s">
        <v>3424</v>
      </c>
      <c r="D576" t="s">
        <v>6299</v>
      </c>
      <c r="E576" t="s">
        <v>3425</v>
      </c>
      <c r="F576" t="s">
        <v>3426</v>
      </c>
      <c r="G576" t="s">
        <v>1992</v>
      </c>
      <c r="H576" t="s">
        <v>320</v>
      </c>
      <c r="I576">
        <v>11432</v>
      </c>
    </row>
    <row r="577" spans="1:9" x14ac:dyDescent="0.3">
      <c r="A577">
        <v>576</v>
      </c>
      <c r="B577" t="s">
        <v>3427</v>
      </c>
      <c r="C577" t="s">
        <v>1340</v>
      </c>
      <c r="D577" t="s">
        <v>3428</v>
      </c>
      <c r="E577" t="s">
        <v>3429</v>
      </c>
      <c r="F577" t="s">
        <v>3430</v>
      </c>
      <c r="G577" t="s">
        <v>2180</v>
      </c>
      <c r="H577" t="s">
        <v>326</v>
      </c>
      <c r="I577">
        <v>79930</v>
      </c>
    </row>
    <row r="578" spans="1:9" x14ac:dyDescent="0.3">
      <c r="A578">
        <v>577</v>
      </c>
      <c r="B578" t="s">
        <v>3431</v>
      </c>
      <c r="C578" t="s">
        <v>3432</v>
      </c>
      <c r="D578" t="s">
        <v>6299</v>
      </c>
      <c r="E578" t="s">
        <v>3433</v>
      </c>
      <c r="F578" t="s">
        <v>3434</v>
      </c>
      <c r="G578" t="s">
        <v>1391</v>
      </c>
      <c r="H578" t="s">
        <v>314</v>
      </c>
      <c r="I578">
        <v>95677</v>
      </c>
    </row>
    <row r="579" spans="1:9" x14ac:dyDescent="0.3">
      <c r="A579">
        <v>578</v>
      </c>
      <c r="B579" t="s">
        <v>3435</v>
      </c>
      <c r="C579" t="s">
        <v>2313</v>
      </c>
      <c r="D579" t="s">
        <v>6299</v>
      </c>
      <c r="E579" t="s">
        <v>3436</v>
      </c>
      <c r="F579" t="s">
        <v>3437</v>
      </c>
      <c r="G579" t="s">
        <v>1291</v>
      </c>
      <c r="H579" t="s">
        <v>314</v>
      </c>
      <c r="I579">
        <v>94580</v>
      </c>
    </row>
    <row r="580" spans="1:9" x14ac:dyDescent="0.3">
      <c r="A580">
        <v>579</v>
      </c>
      <c r="B580" t="s">
        <v>3438</v>
      </c>
      <c r="C580" t="s">
        <v>1816</v>
      </c>
      <c r="D580" t="s">
        <v>6299</v>
      </c>
      <c r="E580" t="s">
        <v>3439</v>
      </c>
      <c r="F580" t="s">
        <v>3440</v>
      </c>
      <c r="G580" t="s">
        <v>2821</v>
      </c>
      <c r="H580" t="s">
        <v>326</v>
      </c>
      <c r="I580">
        <v>78552</v>
      </c>
    </row>
    <row r="581" spans="1:9" x14ac:dyDescent="0.3">
      <c r="A581">
        <v>580</v>
      </c>
      <c r="B581" t="s">
        <v>2238</v>
      </c>
      <c r="C581" t="s">
        <v>2362</v>
      </c>
      <c r="D581" t="s">
        <v>3441</v>
      </c>
      <c r="E581" t="s">
        <v>3442</v>
      </c>
      <c r="F581" t="s">
        <v>3443</v>
      </c>
      <c r="G581" t="s">
        <v>3444</v>
      </c>
      <c r="H581" t="s">
        <v>314</v>
      </c>
      <c r="I581">
        <v>90008</v>
      </c>
    </row>
    <row r="582" spans="1:9" x14ac:dyDescent="0.3">
      <c r="A582">
        <v>581</v>
      </c>
      <c r="B582" t="s">
        <v>3445</v>
      </c>
      <c r="C582" t="s">
        <v>3446</v>
      </c>
      <c r="D582" t="s">
        <v>6299</v>
      </c>
      <c r="E582" t="s">
        <v>3447</v>
      </c>
      <c r="F582" t="s">
        <v>3448</v>
      </c>
      <c r="G582" t="s">
        <v>1854</v>
      </c>
      <c r="H582" t="s">
        <v>314</v>
      </c>
      <c r="I582">
        <v>95050</v>
      </c>
    </row>
    <row r="583" spans="1:9" x14ac:dyDescent="0.3">
      <c r="A583">
        <v>582</v>
      </c>
      <c r="B583" t="s">
        <v>3449</v>
      </c>
      <c r="C583" t="s">
        <v>2072</v>
      </c>
      <c r="D583" t="s">
        <v>6299</v>
      </c>
      <c r="E583" t="s">
        <v>3450</v>
      </c>
      <c r="F583" t="s">
        <v>3451</v>
      </c>
      <c r="G583" t="s">
        <v>1096</v>
      </c>
      <c r="H583" t="s">
        <v>320</v>
      </c>
      <c r="I583">
        <v>11372</v>
      </c>
    </row>
    <row r="584" spans="1:9" x14ac:dyDescent="0.3">
      <c r="A584">
        <v>583</v>
      </c>
      <c r="B584" t="s">
        <v>3452</v>
      </c>
      <c r="C584" t="s">
        <v>3453</v>
      </c>
      <c r="D584" t="s">
        <v>3454</v>
      </c>
      <c r="E584" t="s">
        <v>3455</v>
      </c>
      <c r="F584" t="s">
        <v>3456</v>
      </c>
      <c r="G584" t="s">
        <v>1187</v>
      </c>
      <c r="H584" t="s">
        <v>320</v>
      </c>
      <c r="I584">
        <v>11561</v>
      </c>
    </row>
    <row r="585" spans="1:9" x14ac:dyDescent="0.3">
      <c r="A585">
        <v>584</v>
      </c>
      <c r="B585" t="s">
        <v>3457</v>
      </c>
      <c r="C585" t="s">
        <v>2415</v>
      </c>
      <c r="D585" t="s">
        <v>3458</v>
      </c>
      <c r="E585" t="s">
        <v>3459</v>
      </c>
      <c r="F585" t="s">
        <v>3460</v>
      </c>
      <c r="G585" t="s">
        <v>2180</v>
      </c>
      <c r="H585" t="s">
        <v>326</v>
      </c>
      <c r="I585">
        <v>79930</v>
      </c>
    </row>
    <row r="586" spans="1:9" x14ac:dyDescent="0.3">
      <c r="A586">
        <v>585</v>
      </c>
      <c r="B586" t="s">
        <v>2941</v>
      </c>
      <c r="C586" t="s">
        <v>1900</v>
      </c>
      <c r="D586" t="s">
        <v>6299</v>
      </c>
      <c r="E586" t="s">
        <v>3461</v>
      </c>
      <c r="F586" t="s">
        <v>3462</v>
      </c>
      <c r="G586" t="s">
        <v>1391</v>
      </c>
      <c r="H586" t="s">
        <v>314</v>
      </c>
      <c r="I586">
        <v>95677</v>
      </c>
    </row>
    <row r="587" spans="1:9" x14ac:dyDescent="0.3">
      <c r="A587">
        <v>586</v>
      </c>
      <c r="B587" t="s">
        <v>3463</v>
      </c>
      <c r="C587" t="s">
        <v>3464</v>
      </c>
      <c r="D587" t="s">
        <v>6299</v>
      </c>
      <c r="E587" t="s">
        <v>3465</v>
      </c>
      <c r="F587" t="s">
        <v>3466</v>
      </c>
      <c r="G587" t="s">
        <v>1110</v>
      </c>
      <c r="H587" t="s">
        <v>320</v>
      </c>
      <c r="I587">
        <v>10952</v>
      </c>
    </row>
    <row r="588" spans="1:9" x14ac:dyDescent="0.3">
      <c r="A588">
        <v>587</v>
      </c>
      <c r="B588" t="s">
        <v>3467</v>
      </c>
      <c r="C588" t="s">
        <v>3468</v>
      </c>
      <c r="D588" t="s">
        <v>6299</v>
      </c>
      <c r="E588" t="s">
        <v>3469</v>
      </c>
      <c r="F588" t="s">
        <v>3470</v>
      </c>
      <c r="G588" t="s">
        <v>2796</v>
      </c>
      <c r="H588" t="s">
        <v>320</v>
      </c>
      <c r="I588">
        <v>10512</v>
      </c>
    </row>
    <row r="589" spans="1:9" x14ac:dyDescent="0.3">
      <c r="A589">
        <v>588</v>
      </c>
      <c r="B589" t="s">
        <v>3471</v>
      </c>
      <c r="C589" t="s">
        <v>3344</v>
      </c>
      <c r="D589" t="s">
        <v>6299</v>
      </c>
      <c r="E589" t="s">
        <v>3472</v>
      </c>
      <c r="F589" t="s">
        <v>3473</v>
      </c>
      <c r="G589" t="s">
        <v>2619</v>
      </c>
      <c r="H589" t="s">
        <v>320</v>
      </c>
      <c r="I589">
        <v>11580</v>
      </c>
    </row>
    <row r="590" spans="1:9" x14ac:dyDescent="0.3">
      <c r="A590">
        <v>589</v>
      </c>
      <c r="B590" t="s">
        <v>3474</v>
      </c>
      <c r="C590" t="s">
        <v>3475</v>
      </c>
      <c r="D590" t="s">
        <v>6299</v>
      </c>
      <c r="E590" t="s">
        <v>3476</v>
      </c>
      <c r="F590" t="s">
        <v>3477</v>
      </c>
      <c r="G590" t="s">
        <v>2215</v>
      </c>
      <c r="H590" t="s">
        <v>314</v>
      </c>
      <c r="I590">
        <v>94566</v>
      </c>
    </row>
    <row r="591" spans="1:9" x14ac:dyDescent="0.3">
      <c r="A591">
        <v>590</v>
      </c>
      <c r="B591" t="s">
        <v>2730</v>
      </c>
      <c r="C591" t="s">
        <v>3478</v>
      </c>
      <c r="D591" t="s">
        <v>6299</v>
      </c>
      <c r="E591" t="s">
        <v>3479</v>
      </c>
      <c r="F591" t="s">
        <v>3480</v>
      </c>
      <c r="G591" t="s">
        <v>319</v>
      </c>
      <c r="H591" t="s">
        <v>320</v>
      </c>
      <c r="I591">
        <v>11510</v>
      </c>
    </row>
    <row r="592" spans="1:9" x14ac:dyDescent="0.3">
      <c r="A592">
        <v>591</v>
      </c>
      <c r="B592" t="s">
        <v>3481</v>
      </c>
      <c r="C592" t="s">
        <v>1966</v>
      </c>
      <c r="D592" t="s">
        <v>6299</v>
      </c>
      <c r="E592" t="s">
        <v>3482</v>
      </c>
      <c r="F592" t="s">
        <v>3483</v>
      </c>
      <c r="G592" t="s">
        <v>1939</v>
      </c>
      <c r="H592" t="s">
        <v>320</v>
      </c>
      <c r="I592">
        <v>11801</v>
      </c>
    </row>
    <row r="593" spans="1:9" x14ac:dyDescent="0.3">
      <c r="A593">
        <v>592</v>
      </c>
      <c r="B593" t="s">
        <v>3484</v>
      </c>
      <c r="C593" t="s">
        <v>1902</v>
      </c>
      <c r="D593" t="s">
        <v>6299</v>
      </c>
      <c r="E593" t="s">
        <v>3485</v>
      </c>
      <c r="F593" t="s">
        <v>3486</v>
      </c>
      <c r="G593" t="s">
        <v>2345</v>
      </c>
      <c r="H593" t="s">
        <v>320</v>
      </c>
      <c r="I593">
        <v>11720</v>
      </c>
    </row>
    <row r="594" spans="1:9" x14ac:dyDescent="0.3">
      <c r="A594">
        <v>593</v>
      </c>
      <c r="B594" t="s">
        <v>3487</v>
      </c>
      <c r="C594" t="s">
        <v>3488</v>
      </c>
      <c r="D594" t="s">
        <v>6299</v>
      </c>
      <c r="E594" t="s">
        <v>3489</v>
      </c>
      <c r="F594" t="s">
        <v>3490</v>
      </c>
      <c r="G594" t="s">
        <v>1745</v>
      </c>
      <c r="H594" t="s">
        <v>320</v>
      </c>
      <c r="I594">
        <v>11787</v>
      </c>
    </row>
    <row r="595" spans="1:9" x14ac:dyDescent="0.3">
      <c r="A595">
        <v>594</v>
      </c>
      <c r="B595" t="s">
        <v>3491</v>
      </c>
      <c r="C595" t="s">
        <v>2419</v>
      </c>
      <c r="D595" t="s">
        <v>6299</v>
      </c>
      <c r="E595" t="s">
        <v>3492</v>
      </c>
      <c r="F595" t="s">
        <v>3493</v>
      </c>
      <c r="G595" t="s">
        <v>1457</v>
      </c>
      <c r="H595" t="s">
        <v>320</v>
      </c>
      <c r="I595">
        <v>11757</v>
      </c>
    </row>
    <row r="596" spans="1:9" x14ac:dyDescent="0.3">
      <c r="A596">
        <v>595</v>
      </c>
      <c r="B596" t="s">
        <v>3494</v>
      </c>
      <c r="C596" t="s">
        <v>2633</v>
      </c>
      <c r="D596" t="s">
        <v>6299</v>
      </c>
      <c r="E596" t="s">
        <v>3495</v>
      </c>
      <c r="F596" t="s">
        <v>3496</v>
      </c>
      <c r="G596" t="s">
        <v>2631</v>
      </c>
      <c r="H596" t="s">
        <v>320</v>
      </c>
      <c r="I596">
        <v>14850</v>
      </c>
    </row>
    <row r="597" spans="1:9" x14ac:dyDescent="0.3">
      <c r="A597">
        <v>596</v>
      </c>
      <c r="B597" t="s">
        <v>3497</v>
      </c>
      <c r="C597" t="s">
        <v>3498</v>
      </c>
      <c r="D597" t="s">
        <v>6299</v>
      </c>
      <c r="E597" t="s">
        <v>3499</v>
      </c>
      <c r="F597" t="s">
        <v>3500</v>
      </c>
      <c r="G597" t="s">
        <v>1677</v>
      </c>
      <c r="H597" t="s">
        <v>320</v>
      </c>
      <c r="I597">
        <v>14075</v>
      </c>
    </row>
    <row r="598" spans="1:9" x14ac:dyDescent="0.3">
      <c r="A598">
        <v>597</v>
      </c>
      <c r="B598" t="s">
        <v>3213</v>
      </c>
      <c r="C598" t="s">
        <v>3239</v>
      </c>
      <c r="D598" t="s">
        <v>6299</v>
      </c>
      <c r="E598" t="s">
        <v>3501</v>
      </c>
      <c r="F598" t="s">
        <v>3502</v>
      </c>
      <c r="G598" t="s">
        <v>1241</v>
      </c>
      <c r="H598" t="s">
        <v>320</v>
      </c>
      <c r="I598">
        <v>11378</v>
      </c>
    </row>
    <row r="599" spans="1:9" x14ac:dyDescent="0.3">
      <c r="A599">
        <v>598</v>
      </c>
      <c r="B599" t="s">
        <v>3503</v>
      </c>
      <c r="C599" t="s">
        <v>3504</v>
      </c>
      <c r="D599" t="s">
        <v>6299</v>
      </c>
      <c r="E599" t="s">
        <v>3505</v>
      </c>
      <c r="F599" t="s">
        <v>3506</v>
      </c>
      <c r="G599" t="s">
        <v>2765</v>
      </c>
      <c r="H599" t="s">
        <v>320</v>
      </c>
      <c r="I599">
        <v>14043</v>
      </c>
    </row>
    <row r="600" spans="1:9" x14ac:dyDescent="0.3">
      <c r="A600">
        <v>599</v>
      </c>
      <c r="B600" t="s">
        <v>3507</v>
      </c>
      <c r="C600" t="s">
        <v>3508</v>
      </c>
      <c r="D600" t="s">
        <v>6299</v>
      </c>
      <c r="E600" t="s">
        <v>3509</v>
      </c>
      <c r="F600" t="s">
        <v>3510</v>
      </c>
      <c r="G600" t="s">
        <v>1959</v>
      </c>
      <c r="H600" t="s">
        <v>326</v>
      </c>
      <c r="I600">
        <v>79106</v>
      </c>
    </row>
    <row r="601" spans="1:9" x14ac:dyDescent="0.3">
      <c r="A601">
        <v>600</v>
      </c>
      <c r="B601" t="s">
        <v>3511</v>
      </c>
      <c r="C601" t="s">
        <v>3512</v>
      </c>
      <c r="D601" t="s">
        <v>3513</v>
      </c>
      <c r="E601" t="s">
        <v>3514</v>
      </c>
      <c r="F601" t="s">
        <v>3515</v>
      </c>
      <c r="G601" t="s">
        <v>1491</v>
      </c>
      <c r="H601" t="s">
        <v>314</v>
      </c>
      <c r="I601">
        <v>92111</v>
      </c>
    </row>
    <row r="602" spans="1:9" x14ac:dyDescent="0.3">
      <c r="A602">
        <v>601</v>
      </c>
      <c r="B602" t="s">
        <v>3516</v>
      </c>
      <c r="C602" t="s">
        <v>3517</v>
      </c>
      <c r="D602" t="s">
        <v>6299</v>
      </c>
      <c r="E602" t="s">
        <v>3518</v>
      </c>
      <c r="F602" t="s">
        <v>3519</v>
      </c>
      <c r="G602" t="s">
        <v>1257</v>
      </c>
      <c r="H602" t="s">
        <v>314</v>
      </c>
      <c r="I602">
        <v>91316</v>
      </c>
    </row>
    <row r="603" spans="1:9" x14ac:dyDescent="0.3">
      <c r="A603">
        <v>602</v>
      </c>
      <c r="B603" t="s">
        <v>3520</v>
      </c>
      <c r="C603" t="s">
        <v>2090</v>
      </c>
      <c r="D603" t="s">
        <v>6299</v>
      </c>
      <c r="E603" t="s">
        <v>3521</v>
      </c>
      <c r="F603" t="s">
        <v>3522</v>
      </c>
      <c r="G603" t="s">
        <v>1959</v>
      </c>
      <c r="H603" t="s">
        <v>326</v>
      </c>
      <c r="I603">
        <v>79106</v>
      </c>
    </row>
    <row r="604" spans="1:9" x14ac:dyDescent="0.3">
      <c r="A604">
        <v>603</v>
      </c>
      <c r="B604" t="s">
        <v>3523</v>
      </c>
      <c r="C604" t="s">
        <v>2166</v>
      </c>
      <c r="D604" t="s">
        <v>6299</v>
      </c>
      <c r="E604" t="s">
        <v>3524</v>
      </c>
      <c r="F604" t="s">
        <v>3525</v>
      </c>
      <c r="G604" t="s">
        <v>3526</v>
      </c>
      <c r="H604" t="s">
        <v>320</v>
      </c>
      <c r="I604">
        <v>11040</v>
      </c>
    </row>
    <row r="605" spans="1:9" x14ac:dyDescent="0.3">
      <c r="A605">
        <v>604</v>
      </c>
      <c r="B605" t="s">
        <v>3527</v>
      </c>
      <c r="C605" t="s">
        <v>3200</v>
      </c>
      <c r="D605" t="s">
        <v>6299</v>
      </c>
      <c r="E605" t="s">
        <v>3528</v>
      </c>
      <c r="F605" t="s">
        <v>3529</v>
      </c>
      <c r="G605" t="s">
        <v>1362</v>
      </c>
      <c r="H605" t="s">
        <v>320</v>
      </c>
      <c r="I605">
        <v>11701</v>
      </c>
    </row>
    <row r="606" spans="1:9" x14ac:dyDescent="0.3">
      <c r="A606">
        <v>605</v>
      </c>
      <c r="B606" t="s">
        <v>3530</v>
      </c>
      <c r="C606" t="s">
        <v>1331</v>
      </c>
      <c r="D606" t="s">
        <v>6299</v>
      </c>
      <c r="E606" t="s">
        <v>3531</v>
      </c>
      <c r="F606" t="s">
        <v>3532</v>
      </c>
      <c r="G606" t="s">
        <v>2871</v>
      </c>
      <c r="H606" t="s">
        <v>320</v>
      </c>
      <c r="I606">
        <v>10801</v>
      </c>
    </row>
    <row r="607" spans="1:9" x14ac:dyDescent="0.3">
      <c r="A607">
        <v>606</v>
      </c>
      <c r="B607" t="s">
        <v>3533</v>
      </c>
      <c r="C607" t="s">
        <v>1384</v>
      </c>
      <c r="D607" t="s">
        <v>6299</v>
      </c>
      <c r="E607" t="s">
        <v>3534</v>
      </c>
      <c r="F607" t="s">
        <v>3535</v>
      </c>
      <c r="G607" t="s">
        <v>2661</v>
      </c>
      <c r="H607" t="s">
        <v>320</v>
      </c>
      <c r="I607">
        <v>12590</v>
      </c>
    </row>
    <row r="608" spans="1:9" x14ac:dyDescent="0.3">
      <c r="A608">
        <v>607</v>
      </c>
      <c r="B608" t="s">
        <v>1910</v>
      </c>
      <c r="C608" t="s">
        <v>3141</v>
      </c>
      <c r="D608" t="s">
        <v>6299</v>
      </c>
      <c r="E608" t="s">
        <v>3536</v>
      </c>
      <c r="F608" t="s">
        <v>3537</v>
      </c>
      <c r="G608" t="s">
        <v>2945</v>
      </c>
      <c r="H608" t="s">
        <v>314</v>
      </c>
      <c r="I608">
        <v>92083</v>
      </c>
    </row>
    <row r="609" spans="1:9" x14ac:dyDescent="0.3">
      <c r="A609">
        <v>608</v>
      </c>
      <c r="B609" t="s">
        <v>3538</v>
      </c>
      <c r="C609" t="s">
        <v>3539</v>
      </c>
      <c r="D609" t="s">
        <v>6299</v>
      </c>
      <c r="E609" t="s">
        <v>3540</v>
      </c>
      <c r="F609" t="s">
        <v>3541</v>
      </c>
      <c r="G609" t="s">
        <v>2784</v>
      </c>
      <c r="H609" t="s">
        <v>320</v>
      </c>
      <c r="I609">
        <v>11967</v>
      </c>
    </row>
    <row r="610" spans="1:9" x14ac:dyDescent="0.3">
      <c r="A610">
        <v>609</v>
      </c>
      <c r="B610" t="s">
        <v>1590</v>
      </c>
      <c r="C610" t="s">
        <v>1183</v>
      </c>
      <c r="D610" t="s">
        <v>6299</v>
      </c>
      <c r="E610" t="s">
        <v>3542</v>
      </c>
      <c r="F610" t="s">
        <v>3543</v>
      </c>
      <c r="G610" t="s">
        <v>1555</v>
      </c>
      <c r="H610" t="s">
        <v>320</v>
      </c>
      <c r="I610">
        <v>11421</v>
      </c>
    </row>
    <row r="611" spans="1:9" x14ac:dyDescent="0.3">
      <c r="A611">
        <v>610</v>
      </c>
      <c r="B611" t="s">
        <v>3544</v>
      </c>
      <c r="C611" t="s">
        <v>1336</v>
      </c>
      <c r="D611" t="s">
        <v>6299</v>
      </c>
      <c r="E611" t="s">
        <v>3545</v>
      </c>
      <c r="F611" t="s">
        <v>3546</v>
      </c>
      <c r="G611" t="s">
        <v>1096</v>
      </c>
      <c r="H611" t="s">
        <v>320</v>
      </c>
      <c r="I611">
        <v>11372</v>
      </c>
    </row>
    <row r="612" spans="1:9" x14ac:dyDescent="0.3">
      <c r="A612">
        <v>611</v>
      </c>
      <c r="B612" t="s">
        <v>3547</v>
      </c>
      <c r="C612" t="s">
        <v>2490</v>
      </c>
      <c r="D612" t="s">
        <v>6299</v>
      </c>
      <c r="E612" t="s">
        <v>3548</v>
      </c>
      <c r="F612" t="s">
        <v>3549</v>
      </c>
      <c r="G612" t="s">
        <v>2328</v>
      </c>
      <c r="H612" t="s">
        <v>320</v>
      </c>
      <c r="I612">
        <v>11756</v>
      </c>
    </row>
    <row r="613" spans="1:9" x14ac:dyDescent="0.3">
      <c r="A613">
        <v>612</v>
      </c>
      <c r="B613" t="s">
        <v>3550</v>
      </c>
      <c r="C613" t="s">
        <v>3551</v>
      </c>
      <c r="D613" t="s">
        <v>6299</v>
      </c>
      <c r="E613" t="s">
        <v>3552</v>
      </c>
      <c r="F613" t="s">
        <v>3553</v>
      </c>
      <c r="G613" t="s">
        <v>1973</v>
      </c>
      <c r="H613" t="s">
        <v>320</v>
      </c>
      <c r="I613">
        <v>12020</v>
      </c>
    </row>
    <row r="614" spans="1:9" x14ac:dyDescent="0.3">
      <c r="A614">
        <v>613</v>
      </c>
      <c r="B614" t="s">
        <v>3554</v>
      </c>
      <c r="C614" t="s">
        <v>2173</v>
      </c>
      <c r="D614" t="s">
        <v>6299</v>
      </c>
      <c r="E614" t="s">
        <v>3555</v>
      </c>
      <c r="F614" t="s">
        <v>3556</v>
      </c>
      <c r="G614" t="s">
        <v>2605</v>
      </c>
      <c r="H614" t="s">
        <v>320</v>
      </c>
      <c r="I614">
        <v>11793</v>
      </c>
    </row>
    <row r="615" spans="1:9" x14ac:dyDescent="0.3">
      <c r="A615">
        <v>614</v>
      </c>
      <c r="B615" t="s">
        <v>3557</v>
      </c>
      <c r="C615" t="s">
        <v>3558</v>
      </c>
      <c r="D615" t="s">
        <v>6299</v>
      </c>
      <c r="E615" t="s">
        <v>3559</v>
      </c>
      <c r="F615" t="s">
        <v>3560</v>
      </c>
      <c r="G615" t="s">
        <v>2940</v>
      </c>
      <c r="H615" t="s">
        <v>320</v>
      </c>
      <c r="I615">
        <v>12010</v>
      </c>
    </row>
    <row r="616" spans="1:9" x14ac:dyDescent="0.3">
      <c r="A616">
        <v>615</v>
      </c>
      <c r="B616" t="s">
        <v>3294</v>
      </c>
      <c r="C616" t="s">
        <v>3409</v>
      </c>
      <c r="D616" t="s">
        <v>6299</v>
      </c>
      <c r="E616" t="s">
        <v>3561</v>
      </c>
      <c r="F616" t="s">
        <v>3562</v>
      </c>
      <c r="G616" t="s">
        <v>3563</v>
      </c>
      <c r="H616" t="s">
        <v>320</v>
      </c>
      <c r="I616">
        <v>11365</v>
      </c>
    </row>
    <row r="617" spans="1:9" x14ac:dyDescent="0.3">
      <c r="A617">
        <v>616</v>
      </c>
      <c r="B617" t="s">
        <v>3298</v>
      </c>
      <c r="C617" t="s">
        <v>3564</v>
      </c>
      <c r="D617" t="s">
        <v>6299</v>
      </c>
      <c r="E617" t="s">
        <v>3565</v>
      </c>
      <c r="F617" t="s">
        <v>3566</v>
      </c>
      <c r="G617" t="s">
        <v>1511</v>
      </c>
      <c r="H617" t="s">
        <v>320</v>
      </c>
      <c r="I617">
        <v>12866</v>
      </c>
    </row>
    <row r="618" spans="1:9" x14ac:dyDescent="0.3">
      <c r="A618">
        <v>617</v>
      </c>
      <c r="B618" t="s">
        <v>3567</v>
      </c>
      <c r="C618" t="s">
        <v>2847</v>
      </c>
      <c r="D618" t="s">
        <v>6299</v>
      </c>
      <c r="E618" t="s">
        <v>3568</v>
      </c>
      <c r="F618" t="s">
        <v>3569</v>
      </c>
      <c r="G618" t="s">
        <v>3570</v>
      </c>
      <c r="H618" t="s">
        <v>320</v>
      </c>
      <c r="I618">
        <v>10598</v>
      </c>
    </row>
    <row r="619" spans="1:9" x14ac:dyDescent="0.3">
      <c r="A619">
        <v>618</v>
      </c>
      <c r="B619" t="s">
        <v>3571</v>
      </c>
      <c r="C619" t="s">
        <v>2073</v>
      </c>
      <c r="D619" t="s">
        <v>6299</v>
      </c>
      <c r="E619" t="s">
        <v>3572</v>
      </c>
      <c r="F619" t="s">
        <v>3573</v>
      </c>
      <c r="G619" t="s">
        <v>1267</v>
      </c>
      <c r="H619" t="s">
        <v>320</v>
      </c>
      <c r="I619">
        <v>11418</v>
      </c>
    </row>
    <row r="620" spans="1:9" x14ac:dyDescent="0.3">
      <c r="A620">
        <v>619</v>
      </c>
      <c r="B620" t="s">
        <v>3574</v>
      </c>
      <c r="C620" t="s">
        <v>2970</v>
      </c>
      <c r="D620" t="s">
        <v>3575</v>
      </c>
      <c r="E620" t="s">
        <v>3576</v>
      </c>
      <c r="F620" t="s">
        <v>3577</v>
      </c>
      <c r="G620" t="s">
        <v>1581</v>
      </c>
      <c r="H620" t="s">
        <v>314</v>
      </c>
      <c r="I620">
        <v>92806</v>
      </c>
    </row>
    <row r="621" spans="1:9" x14ac:dyDescent="0.3">
      <c r="A621">
        <v>620</v>
      </c>
      <c r="B621" t="s">
        <v>3578</v>
      </c>
      <c r="C621" t="s">
        <v>1144</v>
      </c>
      <c r="D621" t="s">
        <v>6299</v>
      </c>
      <c r="E621" t="s">
        <v>3579</v>
      </c>
      <c r="F621" t="s">
        <v>3580</v>
      </c>
      <c r="G621" t="s">
        <v>1992</v>
      </c>
      <c r="H621" t="s">
        <v>320</v>
      </c>
      <c r="I621">
        <v>11432</v>
      </c>
    </row>
    <row r="622" spans="1:9" x14ac:dyDescent="0.3">
      <c r="A622">
        <v>621</v>
      </c>
      <c r="B622" t="s">
        <v>3581</v>
      </c>
      <c r="C622" t="s">
        <v>2933</v>
      </c>
      <c r="D622" t="s">
        <v>6299</v>
      </c>
      <c r="E622" t="s">
        <v>3582</v>
      </c>
      <c r="F622" t="s">
        <v>3583</v>
      </c>
      <c r="G622" t="s">
        <v>1291</v>
      </c>
      <c r="H622" t="s">
        <v>314</v>
      </c>
      <c r="I622">
        <v>94580</v>
      </c>
    </row>
    <row r="623" spans="1:9" x14ac:dyDescent="0.3">
      <c r="A623">
        <v>622</v>
      </c>
      <c r="B623" t="s">
        <v>3550</v>
      </c>
      <c r="C623" t="s">
        <v>1887</v>
      </c>
      <c r="D623" t="s">
        <v>6299</v>
      </c>
      <c r="E623" t="s">
        <v>3584</v>
      </c>
      <c r="F623" t="s">
        <v>3585</v>
      </c>
      <c r="G623" t="s">
        <v>3586</v>
      </c>
      <c r="H623" t="s">
        <v>320</v>
      </c>
      <c r="I623">
        <v>12065</v>
      </c>
    </row>
    <row r="624" spans="1:9" x14ac:dyDescent="0.3">
      <c r="A624">
        <v>623</v>
      </c>
      <c r="B624" t="s">
        <v>3587</v>
      </c>
      <c r="C624" t="s">
        <v>2515</v>
      </c>
      <c r="D624" t="s">
        <v>6299</v>
      </c>
      <c r="E624" t="s">
        <v>3588</v>
      </c>
      <c r="F624" t="s">
        <v>3589</v>
      </c>
      <c r="G624" t="s">
        <v>1682</v>
      </c>
      <c r="H624" t="s">
        <v>320</v>
      </c>
      <c r="I624">
        <v>11727</v>
      </c>
    </row>
    <row r="625" spans="1:9" x14ac:dyDescent="0.3">
      <c r="A625">
        <v>624</v>
      </c>
      <c r="B625" t="s">
        <v>3590</v>
      </c>
      <c r="C625" t="s">
        <v>3591</v>
      </c>
      <c r="D625" t="s">
        <v>3592</v>
      </c>
      <c r="E625" t="s">
        <v>3593</v>
      </c>
      <c r="F625" t="s">
        <v>3594</v>
      </c>
      <c r="G625" t="s">
        <v>1187</v>
      </c>
      <c r="H625" t="s">
        <v>320</v>
      </c>
      <c r="I625">
        <v>11561</v>
      </c>
    </row>
    <row r="626" spans="1:9" x14ac:dyDescent="0.3">
      <c r="A626">
        <v>625</v>
      </c>
      <c r="B626" t="s">
        <v>3595</v>
      </c>
      <c r="C626" t="s">
        <v>3596</v>
      </c>
      <c r="D626" t="s">
        <v>6299</v>
      </c>
      <c r="E626" t="s">
        <v>3597</v>
      </c>
      <c r="F626" t="s">
        <v>3598</v>
      </c>
      <c r="G626" t="s">
        <v>1900</v>
      </c>
      <c r="H626" t="s">
        <v>320</v>
      </c>
      <c r="I626">
        <v>14580</v>
      </c>
    </row>
    <row r="627" spans="1:9" x14ac:dyDescent="0.3">
      <c r="A627">
        <v>626</v>
      </c>
      <c r="B627" t="s">
        <v>3599</v>
      </c>
      <c r="C627" t="s">
        <v>1219</v>
      </c>
      <c r="D627" t="s">
        <v>6299</v>
      </c>
      <c r="E627" t="s">
        <v>3600</v>
      </c>
      <c r="F627" t="s">
        <v>3601</v>
      </c>
      <c r="G627" t="s">
        <v>2468</v>
      </c>
      <c r="H627" t="s">
        <v>320</v>
      </c>
      <c r="I627">
        <v>12302</v>
      </c>
    </row>
    <row r="628" spans="1:9" x14ac:dyDescent="0.3">
      <c r="A628">
        <v>627</v>
      </c>
      <c r="B628" t="s">
        <v>1218</v>
      </c>
      <c r="C628" t="s">
        <v>1816</v>
      </c>
      <c r="D628" t="s">
        <v>6299</v>
      </c>
      <c r="E628" t="s">
        <v>3602</v>
      </c>
      <c r="F628" t="s">
        <v>3603</v>
      </c>
      <c r="G628" t="s">
        <v>1471</v>
      </c>
      <c r="H628" t="s">
        <v>314</v>
      </c>
      <c r="I628">
        <v>91010</v>
      </c>
    </row>
    <row r="629" spans="1:9" x14ac:dyDescent="0.3">
      <c r="A629">
        <v>628</v>
      </c>
      <c r="B629" t="s">
        <v>3604</v>
      </c>
      <c r="C629" t="s">
        <v>3605</v>
      </c>
      <c r="D629" t="s">
        <v>6299</v>
      </c>
      <c r="E629" t="s">
        <v>3606</v>
      </c>
      <c r="F629" t="s">
        <v>3607</v>
      </c>
      <c r="G629" t="s">
        <v>1663</v>
      </c>
      <c r="H629" t="s">
        <v>320</v>
      </c>
      <c r="I629">
        <v>14094</v>
      </c>
    </row>
    <row r="630" spans="1:9" x14ac:dyDescent="0.3">
      <c r="A630">
        <v>629</v>
      </c>
      <c r="B630" t="s">
        <v>3608</v>
      </c>
      <c r="C630" t="s">
        <v>3609</v>
      </c>
      <c r="D630" t="s">
        <v>3610</v>
      </c>
      <c r="E630" t="s">
        <v>3611</v>
      </c>
      <c r="F630" t="s">
        <v>3612</v>
      </c>
      <c r="G630" t="s">
        <v>1091</v>
      </c>
      <c r="H630" t="s">
        <v>320</v>
      </c>
      <c r="I630">
        <v>14215</v>
      </c>
    </row>
    <row r="631" spans="1:9" x14ac:dyDescent="0.3">
      <c r="A631">
        <v>630</v>
      </c>
      <c r="B631" t="s">
        <v>3613</v>
      </c>
      <c r="C631" t="s">
        <v>1243</v>
      </c>
      <c r="D631" t="s">
        <v>6299</v>
      </c>
      <c r="E631" t="s">
        <v>3614</v>
      </c>
      <c r="F631" t="s">
        <v>3615</v>
      </c>
      <c r="G631" t="s">
        <v>2940</v>
      </c>
      <c r="H631" t="s">
        <v>320</v>
      </c>
      <c r="I631">
        <v>12010</v>
      </c>
    </row>
    <row r="632" spans="1:9" x14ac:dyDescent="0.3">
      <c r="A632">
        <v>631</v>
      </c>
      <c r="B632" t="s">
        <v>3616</v>
      </c>
      <c r="C632" t="s">
        <v>2589</v>
      </c>
      <c r="D632" t="s">
        <v>6299</v>
      </c>
      <c r="E632" t="s">
        <v>3617</v>
      </c>
      <c r="F632" t="s">
        <v>3618</v>
      </c>
      <c r="G632" t="s">
        <v>1197</v>
      </c>
      <c r="H632" t="s">
        <v>320</v>
      </c>
      <c r="I632">
        <v>10562</v>
      </c>
    </row>
    <row r="633" spans="1:9" x14ac:dyDescent="0.3">
      <c r="A633">
        <v>632</v>
      </c>
      <c r="B633" t="s">
        <v>3619</v>
      </c>
      <c r="C633" t="s">
        <v>3620</v>
      </c>
      <c r="D633" t="s">
        <v>6299</v>
      </c>
      <c r="E633" t="s">
        <v>3621</v>
      </c>
      <c r="F633" t="s">
        <v>3622</v>
      </c>
      <c r="G633" t="s">
        <v>1485</v>
      </c>
      <c r="H633" t="s">
        <v>320</v>
      </c>
      <c r="I633">
        <v>11010</v>
      </c>
    </row>
    <row r="634" spans="1:9" x14ac:dyDescent="0.3">
      <c r="A634">
        <v>633</v>
      </c>
      <c r="B634" t="s">
        <v>3623</v>
      </c>
      <c r="C634" t="s">
        <v>2139</v>
      </c>
      <c r="D634" t="s">
        <v>3624</v>
      </c>
      <c r="E634" t="s">
        <v>3625</v>
      </c>
      <c r="F634" t="s">
        <v>3626</v>
      </c>
      <c r="G634" t="s">
        <v>1581</v>
      </c>
      <c r="H634" t="s">
        <v>314</v>
      </c>
      <c r="I634">
        <v>92806</v>
      </c>
    </row>
    <row r="635" spans="1:9" x14ac:dyDescent="0.3">
      <c r="A635">
        <v>634</v>
      </c>
      <c r="B635" t="s">
        <v>3171</v>
      </c>
      <c r="C635" t="s">
        <v>2597</v>
      </c>
      <c r="D635" t="s">
        <v>6299</v>
      </c>
      <c r="E635" t="s">
        <v>3627</v>
      </c>
      <c r="F635" t="s">
        <v>3628</v>
      </c>
      <c r="G635" t="s">
        <v>2796</v>
      </c>
      <c r="H635" t="s">
        <v>320</v>
      </c>
      <c r="I635">
        <v>10512</v>
      </c>
    </row>
    <row r="636" spans="1:9" x14ac:dyDescent="0.3">
      <c r="A636">
        <v>635</v>
      </c>
      <c r="B636" t="s">
        <v>3629</v>
      </c>
      <c r="C636" t="s">
        <v>3630</v>
      </c>
      <c r="D636" t="s">
        <v>6299</v>
      </c>
      <c r="E636" t="s">
        <v>3631</v>
      </c>
      <c r="F636" t="s">
        <v>3632</v>
      </c>
      <c r="G636" t="s">
        <v>1306</v>
      </c>
      <c r="H636" t="s">
        <v>320</v>
      </c>
      <c r="I636">
        <v>11566</v>
      </c>
    </row>
    <row r="637" spans="1:9" x14ac:dyDescent="0.3">
      <c r="A637">
        <v>636</v>
      </c>
      <c r="B637" t="s">
        <v>3633</v>
      </c>
      <c r="C637" t="s">
        <v>3634</v>
      </c>
      <c r="D637" t="s">
        <v>6299</v>
      </c>
      <c r="E637" t="s">
        <v>3635</v>
      </c>
      <c r="F637" t="s">
        <v>3636</v>
      </c>
      <c r="G637" t="s">
        <v>1569</v>
      </c>
      <c r="H637" t="s">
        <v>320</v>
      </c>
      <c r="I637">
        <v>11001</v>
      </c>
    </row>
    <row r="638" spans="1:9" x14ac:dyDescent="0.3">
      <c r="A638">
        <v>637</v>
      </c>
      <c r="B638" t="s">
        <v>3637</v>
      </c>
      <c r="C638" t="s">
        <v>1513</v>
      </c>
      <c r="D638" t="s">
        <v>6299</v>
      </c>
      <c r="E638" t="s">
        <v>3638</v>
      </c>
      <c r="F638" t="s">
        <v>3639</v>
      </c>
      <c r="G638" t="s">
        <v>1197</v>
      </c>
      <c r="H638" t="s">
        <v>320</v>
      </c>
      <c r="I638">
        <v>10562</v>
      </c>
    </row>
    <row r="639" spans="1:9" x14ac:dyDescent="0.3">
      <c r="A639">
        <v>638</v>
      </c>
      <c r="B639" t="s">
        <v>3640</v>
      </c>
      <c r="C639" t="s">
        <v>1513</v>
      </c>
      <c r="D639" t="s">
        <v>6299</v>
      </c>
      <c r="E639" t="s">
        <v>3641</v>
      </c>
      <c r="F639" t="s">
        <v>3642</v>
      </c>
      <c r="G639" t="s">
        <v>2316</v>
      </c>
      <c r="H639" t="s">
        <v>320</v>
      </c>
      <c r="I639">
        <v>12601</v>
      </c>
    </row>
    <row r="640" spans="1:9" x14ac:dyDescent="0.3">
      <c r="A640">
        <v>639</v>
      </c>
      <c r="B640" t="s">
        <v>3643</v>
      </c>
      <c r="C640" t="s">
        <v>2419</v>
      </c>
      <c r="D640" t="s">
        <v>6299</v>
      </c>
      <c r="E640" t="s">
        <v>3644</v>
      </c>
      <c r="F640" t="s">
        <v>3645</v>
      </c>
      <c r="G640" t="s">
        <v>1241</v>
      </c>
      <c r="H640" t="s">
        <v>320</v>
      </c>
      <c r="I640">
        <v>11378</v>
      </c>
    </row>
    <row r="641" spans="1:9" x14ac:dyDescent="0.3">
      <c r="A641">
        <v>640</v>
      </c>
      <c r="B641" t="s">
        <v>3646</v>
      </c>
      <c r="C641" t="s">
        <v>3647</v>
      </c>
      <c r="D641" t="s">
        <v>3648</v>
      </c>
      <c r="E641" t="s">
        <v>3649</v>
      </c>
      <c r="F641" t="s">
        <v>3650</v>
      </c>
      <c r="G641" t="s">
        <v>3250</v>
      </c>
      <c r="H641" t="s">
        <v>320</v>
      </c>
      <c r="I641">
        <v>10956</v>
      </c>
    </row>
    <row r="642" spans="1:9" x14ac:dyDescent="0.3">
      <c r="A642">
        <v>641</v>
      </c>
      <c r="B642" t="s">
        <v>3651</v>
      </c>
      <c r="C642" t="s">
        <v>2264</v>
      </c>
      <c r="D642" t="s">
        <v>6299</v>
      </c>
      <c r="E642" t="s">
        <v>3652</v>
      </c>
      <c r="F642" t="s">
        <v>3653</v>
      </c>
      <c r="G642" t="s">
        <v>1316</v>
      </c>
      <c r="H642" t="s">
        <v>314</v>
      </c>
      <c r="I642">
        <v>91740</v>
      </c>
    </row>
    <row r="643" spans="1:9" x14ac:dyDescent="0.3">
      <c r="A643">
        <v>642</v>
      </c>
      <c r="B643" t="s">
        <v>1318</v>
      </c>
      <c r="C643" t="s">
        <v>3654</v>
      </c>
      <c r="D643" t="s">
        <v>6299</v>
      </c>
      <c r="E643" t="s">
        <v>3655</v>
      </c>
      <c r="F643" t="s">
        <v>3656</v>
      </c>
      <c r="G643" t="s">
        <v>1900</v>
      </c>
      <c r="H643" t="s">
        <v>320</v>
      </c>
      <c r="I643">
        <v>14580</v>
      </c>
    </row>
    <row r="644" spans="1:9" x14ac:dyDescent="0.3">
      <c r="A644">
        <v>643</v>
      </c>
      <c r="B644" t="s">
        <v>3657</v>
      </c>
      <c r="C644" t="s">
        <v>3658</v>
      </c>
      <c r="D644" t="s">
        <v>6299</v>
      </c>
      <c r="E644" t="s">
        <v>3659</v>
      </c>
      <c r="F644" t="s">
        <v>3660</v>
      </c>
      <c r="G644" t="s">
        <v>1569</v>
      </c>
      <c r="H644" t="s">
        <v>320</v>
      </c>
      <c r="I644">
        <v>11001</v>
      </c>
    </row>
    <row r="645" spans="1:9" x14ac:dyDescent="0.3">
      <c r="A645">
        <v>644</v>
      </c>
      <c r="B645" t="s">
        <v>3661</v>
      </c>
      <c r="C645" t="s">
        <v>3662</v>
      </c>
      <c r="D645" t="s">
        <v>6299</v>
      </c>
      <c r="E645" t="s">
        <v>3663</v>
      </c>
      <c r="F645" t="s">
        <v>3664</v>
      </c>
      <c r="G645" t="s">
        <v>1457</v>
      </c>
      <c r="H645" t="s">
        <v>320</v>
      </c>
      <c r="I645">
        <v>11757</v>
      </c>
    </row>
    <row r="646" spans="1:9" x14ac:dyDescent="0.3">
      <c r="A646">
        <v>645</v>
      </c>
      <c r="B646" t="s">
        <v>3665</v>
      </c>
      <c r="C646" t="s">
        <v>1313</v>
      </c>
      <c r="D646" t="s">
        <v>3666</v>
      </c>
      <c r="E646" t="s">
        <v>3667</v>
      </c>
      <c r="F646" t="s">
        <v>3668</v>
      </c>
      <c r="G646" t="s">
        <v>2094</v>
      </c>
      <c r="H646" t="s">
        <v>320</v>
      </c>
      <c r="I646">
        <v>11717</v>
      </c>
    </row>
    <row r="647" spans="1:9" x14ac:dyDescent="0.3">
      <c r="A647">
        <v>646</v>
      </c>
      <c r="B647" t="s">
        <v>3669</v>
      </c>
      <c r="C647" t="s">
        <v>3670</v>
      </c>
      <c r="D647" t="s">
        <v>6299</v>
      </c>
      <c r="E647" t="s">
        <v>3671</v>
      </c>
      <c r="F647" t="s">
        <v>3672</v>
      </c>
      <c r="G647" t="s">
        <v>1404</v>
      </c>
      <c r="H647" t="s">
        <v>314</v>
      </c>
      <c r="I647">
        <v>91733</v>
      </c>
    </row>
    <row r="648" spans="1:9" x14ac:dyDescent="0.3">
      <c r="A648">
        <v>647</v>
      </c>
      <c r="B648" t="s">
        <v>3673</v>
      </c>
      <c r="C648" t="s">
        <v>3674</v>
      </c>
      <c r="D648" t="s">
        <v>6299</v>
      </c>
      <c r="E648" t="s">
        <v>3675</v>
      </c>
      <c r="F648" t="s">
        <v>3676</v>
      </c>
      <c r="G648" t="s">
        <v>1267</v>
      </c>
      <c r="H648" t="s">
        <v>320</v>
      </c>
      <c r="I648">
        <v>11418</v>
      </c>
    </row>
    <row r="649" spans="1:9" x14ac:dyDescent="0.3">
      <c r="A649">
        <v>648</v>
      </c>
      <c r="B649" t="s">
        <v>3677</v>
      </c>
      <c r="C649" t="s">
        <v>3145</v>
      </c>
      <c r="D649" t="s">
        <v>6299</v>
      </c>
      <c r="E649" t="s">
        <v>3678</v>
      </c>
      <c r="F649" t="s">
        <v>3679</v>
      </c>
      <c r="G649" t="s">
        <v>2156</v>
      </c>
      <c r="H649" t="s">
        <v>314</v>
      </c>
      <c r="I649">
        <v>94806</v>
      </c>
    </row>
    <row r="650" spans="1:9" x14ac:dyDescent="0.3">
      <c r="A650">
        <v>649</v>
      </c>
      <c r="B650" t="s">
        <v>3680</v>
      </c>
      <c r="C650" t="s">
        <v>2064</v>
      </c>
      <c r="D650" t="s">
        <v>6299</v>
      </c>
      <c r="E650" t="s">
        <v>3681</v>
      </c>
      <c r="F650" t="s">
        <v>3682</v>
      </c>
      <c r="G650" t="s">
        <v>2288</v>
      </c>
      <c r="H650" t="s">
        <v>320</v>
      </c>
      <c r="I650">
        <v>11779</v>
      </c>
    </row>
    <row r="651" spans="1:9" x14ac:dyDescent="0.3">
      <c r="A651">
        <v>650</v>
      </c>
      <c r="B651" t="s">
        <v>3683</v>
      </c>
      <c r="C651" t="s">
        <v>3684</v>
      </c>
      <c r="D651" t="s">
        <v>6299</v>
      </c>
      <c r="E651" t="s">
        <v>3685</v>
      </c>
      <c r="F651" t="s">
        <v>3686</v>
      </c>
      <c r="G651" t="s">
        <v>1197</v>
      </c>
      <c r="H651" t="s">
        <v>320</v>
      </c>
      <c r="I651">
        <v>10562</v>
      </c>
    </row>
    <row r="652" spans="1:9" x14ac:dyDescent="0.3">
      <c r="A652">
        <v>651</v>
      </c>
      <c r="B652" t="s">
        <v>3687</v>
      </c>
      <c r="C652" t="s">
        <v>2696</v>
      </c>
      <c r="D652" t="s">
        <v>6299</v>
      </c>
      <c r="E652" t="s">
        <v>3688</v>
      </c>
      <c r="F652" t="s">
        <v>3689</v>
      </c>
      <c r="G652" t="s">
        <v>2661</v>
      </c>
      <c r="H652" t="s">
        <v>320</v>
      </c>
      <c r="I652">
        <v>12590</v>
      </c>
    </row>
    <row r="653" spans="1:9" x14ac:dyDescent="0.3">
      <c r="A653">
        <v>652</v>
      </c>
      <c r="B653" t="s">
        <v>3690</v>
      </c>
      <c r="C653" t="s">
        <v>1379</v>
      </c>
      <c r="D653" t="s">
        <v>3691</v>
      </c>
      <c r="E653" t="s">
        <v>3692</v>
      </c>
      <c r="F653" t="s">
        <v>3693</v>
      </c>
      <c r="G653" t="s">
        <v>1502</v>
      </c>
      <c r="H653" t="s">
        <v>320</v>
      </c>
      <c r="I653">
        <v>12180</v>
      </c>
    </row>
    <row r="654" spans="1:9" x14ac:dyDescent="0.3">
      <c r="A654">
        <v>653</v>
      </c>
      <c r="B654" t="s">
        <v>3694</v>
      </c>
      <c r="C654" t="s">
        <v>1706</v>
      </c>
      <c r="D654" t="s">
        <v>6299</v>
      </c>
      <c r="E654" t="s">
        <v>3695</v>
      </c>
      <c r="F654" t="s">
        <v>3696</v>
      </c>
      <c r="G654" t="s">
        <v>3697</v>
      </c>
      <c r="H654" t="s">
        <v>320</v>
      </c>
      <c r="I654">
        <v>14701</v>
      </c>
    </row>
    <row r="655" spans="1:9" x14ac:dyDescent="0.3">
      <c r="A655">
        <v>654</v>
      </c>
      <c r="B655" t="s">
        <v>3698</v>
      </c>
      <c r="C655" t="s">
        <v>1988</v>
      </c>
      <c r="D655" t="s">
        <v>3699</v>
      </c>
      <c r="E655" t="s">
        <v>3700</v>
      </c>
      <c r="F655" t="s">
        <v>3701</v>
      </c>
      <c r="G655" t="s">
        <v>1491</v>
      </c>
      <c r="H655" t="s">
        <v>314</v>
      </c>
      <c r="I655">
        <v>92111</v>
      </c>
    </row>
    <row r="656" spans="1:9" x14ac:dyDescent="0.3">
      <c r="A656">
        <v>655</v>
      </c>
      <c r="B656" t="s">
        <v>3702</v>
      </c>
      <c r="C656" t="s">
        <v>1243</v>
      </c>
      <c r="D656" t="s">
        <v>6299</v>
      </c>
      <c r="E656" t="s">
        <v>3703</v>
      </c>
      <c r="F656" t="s">
        <v>3704</v>
      </c>
      <c r="G656" t="s">
        <v>1142</v>
      </c>
      <c r="H656" t="s">
        <v>320</v>
      </c>
      <c r="I656">
        <v>10583</v>
      </c>
    </row>
    <row r="657" spans="1:9" x14ac:dyDescent="0.3">
      <c r="A657">
        <v>656</v>
      </c>
      <c r="B657" t="s">
        <v>3705</v>
      </c>
      <c r="C657" t="s">
        <v>3706</v>
      </c>
      <c r="D657" t="s">
        <v>6299</v>
      </c>
      <c r="E657" t="s">
        <v>3707</v>
      </c>
      <c r="F657" t="s">
        <v>3708</v>
      </c>
      <c r="G657" t="s">
        <v>1569</v>
      </c>
      <c r="H657" t="s">
        <v>320</v>
      </c>
      <c r="I657">
        <v>11001</v>
      </c>
    </row>
    <row r="658" spans="1:9" x14ac:dyDescent="0.3">
      <c r="A658">
        <v>657</v>
      </c>
      <c r="B658" t="s">
        <v>3709</v>
      </c>
      <c r="C658" t="s">
        <v>3141</v>
      </c>
      <c r="D658" t="s">
        <v>6299</v>
      </c>
      <c r="E658" t="s">
        <v>3710</v>
      </c>
      <c r="F658" t="s">
        <v>3711</v>
      </c>
      <c r="G658" t="s">
        <v>319</v>
      </c>
      <c r="H658" t="s">
        <v>320</v>
      </c>
      <c r="I658">
        <v>11510</v>
      </c>
    </row>
    <row r="659" spans="1:9" x14ac:dyDescent="0.3">
      <c r="A659">
        <v>658</v>
      </c>
      <c r="B659" t="s">
        <v>3712</v>
      </c>
      <c r="C659" t="s">
        <v>1816</v>
      </c>
      <c r="D659" t="s">
        <v>6299</v>
      </c>
      <c r="E659" t="s">
        <v>3713</v>
      </c>
      <c r="F659" t="s">
        <v>3714</v>
      </c>
      <c r="G659" t="s">
        <v>1110</v>
      </c>
      <c r="H659" t="s">
        <v>320</v>
      </c>
      <c r="I659">
        <v>10952</v>
      </c>
    </row>
    <row r="660" spans="1:9" x14ac:dyDescent="0.3">
      <c r="A660">
        <v>659</v>
      </c>
      <c r="B660" t="s">
        <v>3715</v>
      </c>
      <c r="C660" t="s">
        <v>3716</v>
      </c>
      <c r="D660" t="s">
        <v>6299</v>
      </c>
      <c r="E660" t="s">
        <v>3717</v>
      </c>
      <c r="F660" t="s">
        <v>3718</v>
      </c>
      <c r="G660" t="s">
        <v>1731</v>
      </c>
      <c r="H660" t="s">
        <v>320</v>
      </c>
      <c r="I660">
        <v>10573</v>
      </c>
    </row>
    <row r="661" spans="1:9" x14ac:dyDescent="0.3">
      <c r="A661">
        <v>660</v>
      </c>
      <c r="B661" t="s">
        <v>3719</v>
      </c>
      <c r="C661" t="s">
        <v>2073</v>
      </c>
      <c r="D661" t="s">
        <v>6299</v>
      </c>
      <c r="E661" t="s">
        <v>3720</v>
      </c>
      <c r="F661" t="s">
        <v>3721</v>
      </c>
      <c r="G661" t="s">
        <v>2005</v>
      </c>
      <c r="H661" t="s">
        <v>314</v>
      </c>
      <c r="I661">
        <v>93555</v>
      </c>
    </row>
    <row r="662" spans="1:9" x14ac:dyDescent="0.3">
      <c r="A662">
        <v>661</v>
      </c>
      <c r="B662" t="s">
        <v>3722</v>
      </c>
      <c r="C662" t="s">
        <v>2561</v>
      </c>
      <c r="D662" t="s">
        <v>6299</v>
      </c>
      <c r="E662" t="s">
        <v>3723</v>
      </c>
      <c r="F662" t="s">
        <v>3724</v>
      </c>
      <c r="G662" t="s">
        <v>1105</v>
      </c>
      <c r="H662" t="s">
        <v>320</v>
      </c>
      <c r="I662">
        <v>10950</v>
      </c>
    </row>
    <row r="663" spans="1:9" x14ac:dyDescent="0.3">
      <c r="A663">
        <v>662</v>
      </c>
      <c r="B663" t="s">
        <v>3725</v>
      </c>
      <c r="C663" t="s">
        <v>1112</v>
      </c>
      <c r="D663" t="s">
        <v>6299</v>
      </c>
      <c r="E663" t="s">
        <v>3726</v>
      </c>
      <c r="F663" t="s">
        <v>3727</v>
      </c>
      <c r="G663" t="s">
        <v>1142</v>
      </c>
      <c r="H663" t="s">
        <v>320</v>
      </c>
      <c r="I663">
        <v>10583</v>
      </c>
    </row>
    <row r="664" spans="1:9" x14ac:dyDescent="0.3">
      <c r="A664">
        <v>663</v>
      </c>
      <c r="B664" t="s">
        <v>3728</v>
      </c>
      <c r="C664" t="s">
        <v>3729</v>
      </c>
      <c r="D664" t="s">
        <v>6299</v>
      </c>
      <c r="E664" t="s">
        <v>3730</v>
      </c>
      <c r="F664" t="s">
        <v>3731</v>
      </c>
      <c r="G664" t="s">
        <v>1964</v>
      </c>
      <c r="H664" t="s">
        <v>320</v>
      </c>
      <c r="I664">
        <v>12553</v>
      </c>
    </row>
    <row r="665" spans="1:9" x14ac:dyDescent="0.3">
      <c r="A665">
        <v>664</v>
      </c>
      <c r="B665" t="s">
        <v>2776</v>
      </c>
      <c r="C665" t="s">
        <v>3732</v>
      </c>
      <c r="D665" t="s">
        <v>6299</v>
      </c>
      <c r="E665" t="s">
        <v>3733</v>
      </c>
      <c r="F665" t="s">
        <v>3734</v>
      </c>
      <c r="G665" t="s">
        <v>3112</v>
      </c>
      <c r="H665" t="s">
        <v>320</v>
      </c>
      <c r="I665">
        <v>11368</v>
      </c>
    </row>
    <row r="666" spans="1:9" x14ac:dyDescent="0.3">
      <c r="A666">
        <v>665</v>
      </c>
      <c r="B666" t="s">
        <v>3735</v>
      </c>
      <c r="C666" t="s">
        <v>3076</v>
      </c>
      <c r="D666" t="s">
        <v>3736</v>
      </c>
      <c r="E666" t="s">
        <v>3737</v>
      </c>
      <c r="F666" t="s">
        <v>3738</v>
      </c>
      <c r="G666" t="s">
        <v>1212</v>
      </c>
      <c r="H666" t="s">
        <v>314</v>
      </c>
      <c r="I666">
        <v>94603</v>
      </c>
    </row>
    <row r="667" spans="1:9" x14ac:dyDescent="0.3">
      <c r="A667">
        <v>666</v>
      </c>
      <c r="B667" t="s">
        <v>3739</v>
      </c>
      <c r="C667" t="s">
        <v>3740</v>
      </c>
      <c r="D667" t="s">
        <v>6299</v>
      </c>
      <c r="E667" t="s">
        <v>3741</v>
      </c>
      <c r="F667" t="s">
        <v>3742</v>
      </c>
      <c r="G667" t="s">
        <v>1569</v>
      </c>
      <c r="H667" t="s">
        <v>320</v>
      </c>
      <c r="I667">
        <v>11001</v>
      </c>
    </row>
    <row r="668" spans="1:9" x14ac:dyDescent="0.3">
      <c r="A668">
        <v>667</v>
      </c>
      <c r="B668" t="s">
        <v>3743</v>
      </c>
      <c r="C668" t="s">
        <v>3744</v>
      </c>
      <c r="D668" t="s">
        <v>6299</v>
      </c>
      <c r="E668" t="s">
        <v>3745</v>
      </c>
      <c r="F668" t="s">
        <v>3746</v>
      </c>
      <c r="G668" t="s">
        <v>1267</v>
      </c>
      <c r="H668" t="s">
        <v>320</v>
      </c>
      <c r="I668">
        <v>11418</v>
      </c>
    </row>
    <row r="669" spans="1:9" x14ac:dyDescent="0.3">
      <c r="A669">
        <v>668</v>
      </c>
      <c r="B669" t="s">
        <v>3747</v>
      </c>
      <c r="C669" t="s">
        <v>1665</v>
      </c>
      <c r="D669" t="s">
        <v>6299</v>
      </c>
      <c r="E669" t="s">
        <v>3748</v>
      </c>
      <c r="F669" t="s">
        <v>3749</v>
      </c>
      <c r="G669" t="s">
        <v>3071</v>
      </c>
      <c r="H669" t="s">
        <v>326</v>
      </c>
      <c r="I669">
        <v>77566</v>
      </c>
    </row>
    <row r="670" spans="1:9" x14ac:dyDescent="0.3">
      <c r="A670">
        <v>669</v>
      </c>
      <c r="B670" t="s">
        <v>3750</v>
      </c>
      <c r="C670" t="s">
        <v>2308</v>
      </c>
      <c r="D670" t="s">
        <v>6299</v>
      </c>
      <c r="E670" t="s">
        <v>3751</v>
      </c>
      <c r="F670" t="s">
        <v>3752</v>
      </c>
      <c r="G670" t="s">
        <v>2821</v>
      </c>
      <c r="H670" t="s">
        <v>326</v>
      </c>
      <c r="I670">
        <v>78552</v>
      </c>
    </row>
    <row r="671" spans="1:9" x14ac:dyDescent="0.3">
      <c r="A671">
        <v>670</v>
      </c>
      <c r="B671" t="s">
        <v>3753</v>
      </c>
      <c r="C671" t="s">
        <v>2486</v>
      </c>
      <c r="D671" t="s">
        <v>6299</v>
      </c>
      <c r="E671" t="s">
        <v>3754</v>
      </c>
      <c r="F671" t="s">
        <v>3755</v>
      </c>
      <c r="G671" t="s">
        <v>1236</v>
      </c>
      <c r="H671" t="s">
        <v>320</v>
      </c>
      <c r="I671">
        <v>13090</v>
      </c>
    </row>
    <row r="672" spans="1:9" x14ac:dyDescent="0.3">
      <c r="A672">
        <v>671</v>
      </c>
      <c r="B672" t="s">
        <v>2959</v>
      </c>
      <c r="C672" t="s">
        <v>1848</v>
      </c>
      <c r="D672" t="s">
        <v>6299</v>
      </c>
      <c r="E672" t="s">
        <v>3756</v>
      </c>
      <c r="F672" t="s">
        <v>3757</v>
      </c>
      <c r="G672" t="s">
        <v>1791</v>
      </c>
      <c r="H672" t="s">
        <v>314</v>
      </c>
      <c r="I672">
        <v>92220</v>
      </c>
    </row>
    <row r="673" spans="1:9" x14ac:dyDescent="0.3">
      <c r="A673">
        <v>672</v>
      </c>
      <c r="B673" t="s">
        <v>3758</v>
      </c>
      <c r="C673" t="s">
        <v>3759</v>
      </c>
      <c r="D673" t="s">
        <v>6299</v>
      </c>
      <c r="E673" t="s">
        <v>3760</v>
      </c>
      <c r="F673" t="s">
        <v>3761</v>
      </c>
      <c r="G673" t="s">
        <v>2871</v>
      </c>
      <c r="H673" t="s">
        <v>320</v>
      </c>
      <c r="I673">
        <v>10801</v>
      </c>
    </row>
    <row r="674" spans="1:9" x14ac:dyDescent="0.3">
      <c r="A674">
        <v>673</v>
      </c>
      <c r="B674" t="s">
        <v>3762</v>
      </c>
      <c r="C674" t="s">
        <v>3158</v>
      </c>
      <c r="D674" t="s">
        <v>6299</v>
      </c>
      <c r="E674" t="s">
        <v>3763</v>
      </c>
      <c r="F674" t="s">
        <v>3764</v>
      </c>
      <c r="G674" t="s">
        <v>2729</v>
      </c>
      <c r="H674" t="s">
        <v>314</v>
      </c>
      <c r="I674">
        <v>93635</v>
      </c>
    </row>
    <row r="675" spans="1:9" x14ac:dyDescent="0.3">
      <c r="A675">
        <v>674</v>
      </c>
      <c r="B675" t="s">
        <v>3765</v>
      </c>
      <c r="C675" t="s">
        <v>2473</v>
      </c>
      <c r="D675" t="s">
        <v>6299</v>
      </c>
      <c r="E675" t="s">
        <v>3766</v>
      </c>
      <c r="F675" t="s">
        <v>3767</v>
      </c>
      <c r="G675" t="s">
        <v>1511</v>
      </c>
      <c r="H675" t="s">
        <v>320</v>
      </c>
      <c r="I675">
        <v>12866</v>
      </c>
    </row>
    <row r="676" spans="1:9" x14ac:dyDescent="0.3">
      <c r="A676">
        <v>675</v>
      </c>
      <c r="B676" t="s">
        <v>3768</v>
      </c>
      <c r="C676" t="s">
        <v>3769</v>
      </c>
      <c r="D676" t="s">
        <v>3770</v>
      </c>
      <c r="E676" t="s">
        <v>3771</v>
      </c>
      <c r="F676" t="s">
        <v>3772</v>
      </c>
      <c r="G676" t="s">
        <v>2180</v>
      </c>
      <c r="H676" t="s">
        <v>326</v>
      </c>
      <c r="I676">
        <v>79930</v>
      </c>
    </row>
    <row r="677" spans="1:9" x14ac:dyDescent="0.3">
      <c r="A677">
        <v>676</v>
      </c>
      <c r="B677" t="s">
        <v>3773</v>
      </c>
      <c r="C677" t="s">
        <v>3658</v>
      </c>
      <c r="D677" t="s">
        <v>6299</v>
      </c>
      <c r="E677" t="s">
        <v>3774</v>
      </c>
      <c r="F677" t="s">
        <v>3775</v>
      </c>
      <c r="G677" t="s">
        <v>1457</v>
      </c>
      <c r="H677" t="s">
        <v>320</v>
      </c>
      <c r="I677">
        <v>11757</v>
      </c>
    </row>
    <row r="678" spans="1:9" x14ac:dyDescent="0.3">
      <c r="A678">
        <v>677</v>
      </c>
      <c r="B678" t="s">
        <v>3776</v>
      </c>
      <c r="C678" t="s">
        <v>3777</v>
      </c>
      <c r="D678" t="s">
        <v>6299</v>
      </c>
      <c r="E678" t="s">
        <v>3778</v>
      </c>
      <c r="F678" t="s">
        <v>3779</v>
      </c>
      <c r="G678" t="s">
        <v>1776</v>
      </c>
      <c r="H678" t="s">
        <v>326</v>
      </c>
      <c r="I678">
        <v>78023</v>
      </c>
    </row>
    <row r="679" spans="1:9" x14ac:dyDescent="0.3">
      <c r="A679">
        <v>678</v>
      </c>
      <c r="B679" t="s">
        <v>3038</v>
      </c>
      <c r="C679" t="s">
        <v>1274</v>
      </c>
      <c r="D679" t="s">
        <v>6299</v>
      </c>
      <c r="E679" t="s">
        <v>3780</v>
      </c>
      <c r="F679" t="s">
        <v>3781</v>
      </c>
      <c r="G679" t="s">
        <v>2035</v>
      </c>
      <c r="H679" t="s">
        <v>320</v>
      </c>
      <c r="I679">
        <v>11357</v>
      </c>
    </row>
    <row r="680" spans="1:9" x14ac:dyDescent="0.3">
      <c r="A680">
        <v>679</v>
      </c>
      <c r="B680" t="s">
        <v>3782</v>
      </c>
      <c r="C680" t="s">
        <v>3783</v>
      </c>
      <c r="D680" t="s">
        <v>6299</v>
      </c>
      <c r="E680" t="s">
        <v>3784</v>
      </c>
      <c r="F680" t="s">
        <v>3785</v>
      </c>
      <c r="G680" t="s">
        <v>3786</v>
      </c>
      <c r="H680" t="s">
        <v>320</v>
      </c>
      <c r="I680">
        <v>11704</v>
      </c>
    </row>
    <row r="681" spans="1:9" x14ac:dyDescent="0.3">
      <c r="A681">
        <v>680</v>
      </c>
      <c r="B681" t="s">
        <v>3787</v>
      </c>
      <c r="C681" t="s">
        <v>3788</v>
      </c>
      <c r="D681" t="s">
        <v>3789</v>
      </c>
      <c r="E681" t="s">
        <v>3790</v>
      </c>
      <c r="F681" t="s">
        <v>3791</v>
      </c>
      <c r="G681" t="s">
        <v>3250</v>
      </c>
      <c r="H681" t="s">
        <v>320</v>
      </c>
      <c r="I681">
        <v>10956</v>
      </c>
    </row>
    <row r="682" spans="1:9" x14ac:dyDescent="0.3">
      <c r="A682">
        <v>681</v>
      </c>
      <c r="B682" t="s">
        <v>3792</v>
      </c>
      <c r="C682" t="s">
        <v>3793</v>
      </c>
      <c r="D682" t="s">
        <v>6299</v>
      </c>
      <c r="E682" t="s">
        <v>3794</v>
      </c>
      <c r="F682" t="s">
        <v>3795</v>
      </c>
      <c r="G682" t="s">
        <v>2099</v>
      </c>
      <c r="H682" t="s">
        <v>320</v>
      </c>
      <c r="I682">
        <v>11741</v>
      </c>
    </row>
    <row r="683" spans="1:9" x14ac:dyDescent="0.3">
      <c r="A683">
        <v>682</v>
      </c>
      <c r="B683" t="s">
        <v>3796</v>
      </c>
      <c r="C683" t="s">
        <v>3797</v>
      </c>
      <c r="D683" t="s">
        <v>6299</v>
      </c>
      <c r="E683" t="s">
        <v>3798</v>
      </c>
      <c r="F683" t="s">
        <v>3799</v>
      </c>
      <c r="G683" t="s">
        <v>1059</v>
      </c>
      <c r="H683" t="s">
        <v>320</v>
      </c>
      <c r="I683">
        <v>14127</v>
      </c>
    </row>
    <row r="684" spans="1:9" x14ac:dyDescent="0.3">
      <c r="A684">
        <v>683</v>
      </c>
      <c r="B684" t="s">
        <v>3800</v>
      </c>
      <c r="C684" t="s">
        <v>1056</v>
      </c>
      <c r="D684" t="s">
        <v>6299</v>
      </c>
      <c r="E684" t="s">
        <v>3801</v>
      </c>
      <c r="F684" t="s">
        <v>3802</v>
      </c>
      <c r="G684" t="s">
        <v>1306</v>
      </c>
      <c r="H684" t="s">
        <v>320</v>
      </c>
      <c r="I684">
        <v>11566</v>
      </c>
    </row>
    <row r="685" spans="1:9" x14ac:dyDescent="0.3">
      <c r="A685">
        <v>684</v>
      </c>
      <c r="B685" t="s">
        <v>3803</v>
      </c>
      <c r="C685" t="s">
        <v>3804</v>
      </c>
      <c r="D685" t="s">
        <v>6299</v>
      </c>
      <c r="E685" t="s">
        <v>3805</v>
      </c>
      <c r="F685" t="s">
        <v>3806</v>
      </c>
      <c r="G685" t="s">
        <v>2164</v>
      </c>
      <c r="H685" t="s">
        <v>320</v>
      </c>
      <c r="I685">
        <v>14304</v>
      </c>
    </row>
    <row r="686" spans="1:9" x14ac:dyDescent="0.3">
      <c r="A686">
        <v>685</v>
      </c>
      <c r="B686" t="s">
        <v>3807</v>
      </c>
      <c r="C686" t="s">
        <v>3808</v>
      </c>
      <c r="D686" t="s">
        <v>6299</v>
      </c>
      <c r="E686" t="s">
        <v>3809</v>
      </c>
      <c r="F686" t="s">
        <v>3810</v>
      </c>
      <c r="G686" t="s">
        <v>2526</v>
      </c>
      <c r="H686" t="s">
        <v>320</v>
      </c>
      <c r="I686">
        <v>11375</v>
      </c>
    </row>
    <row r="687" spans="1:9" x14ac:dyDescent="0.3">
      <c r="A687">
        <v>686</v>
      </c>
      <c r="B687" t="s">
        <v>3811</v>
      </c>
      <c r="C687" t="s">
        <v>3812</v>
      </c>
      <c r="D687" t="s">
        <v>6299</v>
      </c>
      <c r="E687" t="s">
        <v>3813</v>
      </c>
      <c r="F687" t="s">
        <v>3814</v>
      </c>
      <c r="G687" t="s">
        <v>1854</v>
      </c>
      <c r="H687" t="s">
        <v>314</v>
      </c>
      <c r="I687">
        <v>95050</v>
      </c>
    </row>
    <row r="688" spans="1:9" x14ac:dyDescent="0.3">
      <c r="A688">
        <v>687</v>
      </c>
      <c r="B688" t="s">
        <v>3815</v>
      </c>
      <c r="C688" t="s">
        <v>2899</v>
      </c>
      <c r="D688" t="s">
        <v>6299</v>
      </c>
      <c r="E688" t="s">
        <v>3816</v>
      </c>
      <c r="F688" t="s">
        <v>3817</v>
      </c>
      <c r="G688" t="s">
        <v>1367</v>
      </c>
      <c r="H688" t="s">
        <v>326</v>
      </c>
      <c r="I688">
        <v>75115</v>
      </c>
    </row>
    <row r="689" spans="1:9" x14ac:dyDescent="0.3">
      <c r="A689">
        <v>688</v>
      </c>
      <c r="B689" t="s">
        <v>3818</v>
      </c>
      <c r="C689" t="s">
        <v>3819</v>
      </c>
      <c r="D689" t="s">
        <v>6299</v>
      </c>
      <c r="E689" t="s">
        <v>3820</v>
      </c>
      <c r="F689" t="s">
        <v>3821</v>
      </c>
      <c r="G689" t="s">
        <v>1064</v>
      </c>
      <c r="H689" t="s">
        <v>314</v>
      </c>
      <c r="I689">
        <v>95008</v>
      </c>
    </row>
    <row r="690" spans="1:9" x14ac:dyDescent="0.3">
      <c r="A690">
        <v>689</v>
      </c>
      <c r="B690" t="s">
        <v>3822</v>
      </c>
      <c r="C690" t="s">
        <v>3823</v>
      </c>
      <c r="D690" t="s">
        <v>6299</v>
      </c>
      <c r="E690" t="s">
        <v>3824</v>
      </c>
      <c r="F690" t="s">
        <v>3825</v>
      </c>
      <c r="G690" t="s">
        <v>1321</v>
      </c>
      <c r="H690" t="s">
        <v>320</v>
      </c>
      <c r="I690">
        <v>13501</v>
      </c>
    </row>
    <row r="691" spans="1:9" x14ac:dyDescent="0.3">
      <c r="A691">
        <v>690</v>
      </c>
      <c r="B691" t="s">
        <v>2911</v>
      </c>
      <c r="C691" t="s">
        <v>2121</v>
      </c>
      <c r="D691" t="s">
        <v>6299</v>
      </c>
      <c r="E691" t="s">
        <v>3826</v>
      </c>
      <c r="F691" t="s">
        <v>3827</v>
      </c>
      <c r="G691" t="s">
        <v>1096</v>
      </c>
      <c r="H691" t="s">
        <v>320</v>
      </c>
      <c r="I691">
        <v>11372</v>
      </c>
    </row>
    <row r="692" spans="1:9" x14ac:dyDescent="0.3">
      <c r="A692">
        <v>691</v>
      </c>
      <c r="B692" t="s">
        <v>3828</v>
      </c>
      <c r="C692" t="s">
        <v>3829</v>
      </c>
      <c r="D692" t="s">
        <v>3830</v>
      </c>
      <c r="E692" t="s">
        <v>3831</v>
      </c>
      <c r="F692" t="s">
        <v>3832</v>
      </c>
      <c r="G692" t="s">
        <v>372</v>
      </c>
      <c r="H692" t="s">
        <v>326</v>
      </c>
      <c r="I692">
        <v>77016</v>
      </c>
    </row>
    <row r="693" spans="1:9" x14ac:dyDescent="0.3">
      <c r="A693">
        <v>692</v>
      </c>
      <c r="B693" t="s">
        <v>3833</v>
      </c>
      <c r="C693" t="s">
        <v>2628</v>
      </c>
      <c r="D693" t="s">
        <v>6299</v>
      </c>
      <c r="E693" t="s">
        <v>3834</v>
      </c>
      <c r="F693" t="s">
        <v>3835</v>
      </c>
      <c r="G693" t="s">
        <v>1246</v>
      </c>
      <c r="H693" t="s">
        <v>320</v>
      </c>
      <c r="I693">
        <v>11102</v>
      </c>
    </row>
    <row r="694" spans="1:9" x14ac:dyDescent="0.3">
      <c r="A694">
        <v>693</v>
      </c>
      <c r="B694" t="s">
        <v>3836</v>
      </c>
      <c r="C694" t="s">
        <v>1872</v>
      </c>
      <c r="D694" t="s">
        <v>3837</v>
      </c>
      <c r="E694" t="s">
        <v>3838</v>
      </c>
      <c r="F694" t="s">
        <v>3839</v>
      </c>
      <c r="G694" t="s">
        <v>1116</v>
      </c>
      <c r="H694" t="s">
        <v>320</v>
      </c>
      <c r="I694">
        <v>11550</v>
      </c>
    </row>
    <row r="695" spans="1:9" x14ac:dyDescent="0.3">
      <c r="A695">
        <v>694</v>
      </c>
      <c r="B695" t="s">
        <v>3840</v>
      </c>
      <c r="C695" t="s">
        <v>3841</v>
      </c>
      <c r="D695" t="s">
        <v>6299</v>
      </c>
      <c r="E695" t="s">
        <v>3842</v>
      </c>
      <c r="F695" t="s">
        <v>3843</v>
      </c>
      <c r="G695" t="s">
        <v>1413</v>
      </c>
      <c r="H695" t="s">
        <v>320</v>
      </c>
      <c r="I695">
        <v>14120</v>
      </c>
    </row>
    <row r="696" spans="1:9" x14ac:dyDescent="0.3">
      <c r="A696">
        <v>695</v>
      </c>
      <c r="B696" t="s">
        <v>2572</v>
      </c>
      <c r="C696" t="s">
        <v>2322</v>
      </c>
      <c r="D696" t="s">
        <v>6299</v>
      </c>
      <c r="E696" t="s">
        <v>3844</v>
      </c>
      <c r="F696" t="s">
        <v>3845</v>
      </c>
      <c r="G696" t="s">
        <v>2784</v>
      </c>
      <c r="H696" t="s">
        <v>320</v>
      </c>
      <c r="I696">
        <v>11967</v>
      </c>
    </row>
    <row r="697" spans="1:9" x14ac:dyDescent="0.3">
      <c r="A697">
        <v>696</v>
      </c>
      <c r="B697" t="s">
        <v>3846</v>
      </c>
      <c r="C697" t="s">
        <v>2234</v>
      </c>
      <c r="D697" t="s">
        <v>6299</v>
      </c>
      <c r="E697" t="s">
        <v>3847</v>
      </c>
      <c r="F697" t="s">
        <v>3848</v>
      </c>
      <c r="G697" t="s">
        <v>1257</v>
      </c>
      <c r="H697" t="s">
        <v>314</v>
      </c>
      <c r="I697">
        <v>91316</v>
      </c>
    </row>
    <row r="698" spans="1:9" x14ac:dyDescent="0.3">
      <c r="A698">
        <v>697</v>
      </c>
      <c r="B698" t="s">
        <v>1792</v>
      </c>
      <c r="C698" t="s">
        <v>3849</v>
      </c>
      <c r="D698" t="s">
        <v>3850</v>
      </c>
      <c r="E698" t="s">
        <v>3851</v>
      </c>
      <c r="F698" t="s">
        <v>3852</v>
      </c>
      <c r="G698" t="s">
        <v>1491</v>
      </c>
      <c r="H698" t="s">
        <v>314</v>
      </c>
      <c r="I698">
        <v>92111</v>
      </c>
    </row>
    <row r="699" spans="1:9" x14ac:dyDescent="0.3">
      <c r="A699">
        <v>698</v>
      </c>
      <c r="B699" t="s">
        <v>2853</v>
      </c>
      <c r="C699" t="s">
        <v>1446</v>
      </c>
      <c r="D699" t="s">
        <v>6299</v>
      </c>
      <c r="E699" t="s">
        <v>3853</v>
      </c>
      <c r="F699" t="s">
        <v>3854</v>
      </c>
      <c r="G699" t="s">
        <v>3112</v>
      </c>
      <c r="H699" t="s">
        <v>320</v>
      </c>
      <c r="I699">
        <v>11368</v>
      </c>
    </row>
    <row r="700" spans="1:9" x14ac:dyDescent="0.3">
      <c r="A700">
        <v>699</v>
      </c>
      <c r="B700" t="s">
        <v>3855</v>
      </c>
      <c r="C700" t="s">
        <v>2412</v>
      </c>
      <c r="D700" t="s">
        <v>6299</v>
      </c>
      <c r="E700" t="s">
        <v>3856</v>
      </c>
      <c r="F700" t="s">
        <v>3857</v>
      </c>
      <c r="G700" t="s">
        <v>1343</v>
      </c>
      <c r="H700" t="s">
        <v>320</v>
      </c>
      <c r="I700">
        <v>11570</v>
      </c>
    </row>
    <row r="701" spans="1:9" x14ac:dyDescent="0.3">
      <c r="A701">
        <v>700</v>
      </c>
      <c r="B701" t="s">
        <v>2657</v>
      </c>
      <c r="C701" t="s">
        <v>3858</v>
      </c>
      <c r="D701" t="s">
        <v>3859</v>
      </c>
      <c r="E701" t="s">
        <v>3860</v>
      </c>
      <c r="F701" t="s">
        <v>3861</v>
      </c>
      <c r="G701" t="s">
        <v>1638</v>
      </c>
      <c r="H701" t="s">
        <v>326</v>
      </c>
      <c r="I701">
        <v>78418</v>
      </c>
    </row>
    <row r="702" spans="1:9" x14ac:dyDescent="0.3">
      <c r="A702">
        <v>701</v>
      </c>
      <c r="B702" t="s">
        <v>3862</v>
      </c>
      <c r="C702" t="s">
        <v>2408</v>
      </c>
      <c r="D702" t="s">
        <v>3863</v>
      </c>
      <c r="E702" t="s">
        <v>3864</v>
      </c>
      <c r="F702" t="s">
        <v>3865</v>
      </c>
      <c r="G702" t="s">
        <v>1846</v>
      </c>
      <c r="H702" t="s">
        <v>314</v>
      </c>
      <c r="I702">
        <v>93035</v>
      </c>
    </row>
    <row r="703" spans="1:9" x14ac:dyDescent="0.3">
      <c r="A703">
        <v>702</v>
      </c>
      <c r="B703" t="s">
        <v>2480</v>
      </c>
      <c r="C703" t="s">
        <v>3866</v>
      </c>
      <c r="D703" t="s">
        <v>6299</v>
      </c>
      <c r="E703" t="s">
        <v>3867</v>
      </c>
      <c r="F703" t="s">
        <v>3868</v>
      </c>
      <c r="G703" t="s">
        <v>1306</v>
      </c>
      <c r="H703" t="s">
        <v>320</v>
      </c>
      <c r="I703">
        <v>11566</v>
      </c>
    </row>
    <row r="704" spans="1:9" x14ac:dyDescent="0.3">
      <c r="A704">
        <v>703</v>
      </c>
      <c r="B704" t="s">
        <v>1322</v>
      </c>
      <c r="C704" t="s">
        <v>3605</v>
      </c>
      <c r="D704" t="s">
        <v>6299</v>
      </c>
      <c r="E704" t="s">
        <v>3869</v>
      </c>
      <c r="F704" t="s">
        <v>3870</v>
      </c>
      <c r="G704" t="s">
        <v>1217</v>
      </c>
      <c r="H704" t="s">
        <v>314</v>
      </c>
      <c r="I704">
        <v>92831</v>
      </c>
    </row>
    <row r="705" spans="1:9" x14ac:dyDescent="0.3">
      <c r="A705">
        <v>704</v>
      </c>
      <c r="B705" t="s">
        <v>1901</v>
      </c>
      <c r="C705" t="s">
        <v>3871</v>
      </c>
      <c r="D705" t="s">
        <v>3872</v>
      </c>
      <c r="E705" t="s">
        <v>3873</v>
      </c>
      <c r="F705" t="s">
        <v>3874</v>
      </c>
      <c r="G705" t="s">
        <v>2989</v>
      </c>
      <c r="H705" t="s">
        <v>314</v>
      </c>
      <c r="I705">
        <v>93306</v>
      </c>
    </row>
    <row r="706" spans="1:9" x14ac:dyDescent="0.3">
      <c r="A706">
        <v>705</v>
      </c>
      <c r="B706" t="s">
        <v>3875</v>
      </c>
      <c r="C706" t="s">
        <v>3876</v>
      </c>
      <c r="D706" t="s">
        <v>6299</v>
      </c>
      <c r="E706" t="s">
        <v>3877</v>
      </c>
      <c r="F706" t="s">
        <v>3878</v>
      </c>
      <c r="G706" t="s">
        <v>1758</v>
      </c>
      <c r="H706" t="s">
        <v>320</v>
      </c>
      <c r="I706">
        <v>11743</v>
      </c>
    </row>
    <row r="707" spans="1:9" x14ac:dyDescent="0.3">
      <c r="A707">
        <v>706</v>
      </c>
      <c r="B707" t="s">
        <v>1325</v>
      </c>
      <c r="C707" t="s">
        <v>1952</v>
      </c>
      <c r="D707" t="s">
        <v>6299</v>
      </c>
      <c r="E707" t="s">
        <v>3879</v>
      </c>
      <c r="F707" t="s">
        <v>3880</v>
      </c>
      <c r="G707" t="s">
        <v>2200</v>
      </c>
      <c r="H707" t="s">
        <v>320</v>
      </c>
      <c r="I707">
        <v>11762</v>
      </c>
    </row>
    <row r="708" spans="1:9" x14ac:dyDescent="0.3">
      <c r="A708">
        <v>707</v>
      </c>
      <c r="B708" t="s">
        <v>2969</v>
      </c>
      <c r="C708" t="s">
        <v>3881</v>
      </c>
      <c r="D708" t="s">
        <v>6299</v>
      </c>
      <c r="E708" t="s">
        <v>3882</v>
      </c>
      <c r="F708" t="s">
        <v>3883</v>
      </c>
      <c r="G708" t="s">
        <v>1819</v>
      </c>
      <c r="H708" t="s">
        <v>320</v>
      </c>
      <c r="I708">
        <v>11377</v>
      </c>
    </row>
    <row r="709" spans="1:9" x14ac:dyDescent="0.3">
      <c r="A709">
        <v>708</v>
      </c>
      <c r="B709" t="s">
        <v>2519</v>
      </c>
      <c r="C709" t="s">
        <v>2486</v>
      </c>
      <c r="D709" t="s">
        <v>6299</v>
      </c>
      <c r="E709" t="s">
        <v>3884</v>
      </c>
      <c r="F709" t="s">
        <v>3885</v>
      </c>
      <c r="G709" t="s">
        <v>1913</v>
      </c>
      <c r="H709" t="s">
        <v>314</v>
      </c>
      <c r="I709">
        <v>92307</v>
      </c>
    </row>
    <row r="710" spans="1:9" x14ac:dyDescent="0.3">
      <c r="A710">
        <v>709</v>
      </c>
      <c r="B710" t="s">
        <v>3886</v>
      </c>
      <c r="C710" t="s">
        <v>3887</v>
      </c>
      <c r="D710" t="s">
        <v>6299</v>
      </c>
      <c r="E710" t="s">
        <v>3888</v>
      </c>
      <c r="F710" t="s">
        <v>3889</v>
      </c>
      <c r="G710" t="s">
        <v>2526</v>
      </c>
      <c r="H710" t="s">
        <v>320</v>
      </c>
      <c r="I710">
        <v>11375</v>
      </c>
    </row>
    <row r="711" spans="1:9" x14ac:dyDescent="0.3">
      <c r="A711">
        <v>710</v>
      </c>
      <c r="B711" t="s">
        <v>3128</v>
      </c>
      <c r="C711" t="s">
        <v>1591</v>
      </c>
      <c r="D711" t="s">
        <v>6299</v>
      </c>
      <c r="E711" t="s">
        <v>3890</v>
      </c>
      <c r="F711" t="s">
        <v>3891</v>
      </c>
      <c r="G711" t="s">
        <v>1964</v>
      </c>
      <c r="H711" t="s">
        <v>320</v>
      </c>
      <c r="I711">
        <v>12553</v>
      </c>
    </row>
    <row r="712" spans="1:9" x14ac:dyDescent="0.3">
      <c r="A712">
        <v>711</v>
      </c>
      <c r="B712" t="s">
        <v>3892</v>
      </c>
      <c r="C712" t="s">
        <v>3893</v>
      </c>
      <c r="D712" t="s">
        <v>6299</v>
      </c>
      <c r="E712" t="s">
        <v>3894</v>
      </c>
      <c r="F712" t="s">
        <v>3895</v>
      </c>
      <c r="G712" t="s">
        <v>1736</v>
      </c>
      <c r="H712" t="s">
        <v>320</v>
      </c>
      <c r="I712">
        <v>10301</v>
      </c>
    </row>
    <row r="713" spans="1:9" x14ac:dyDescent="0.3">
      <c r="A713">
        <v>712</v>
      </c>
      <c r="B713" t="s">
        <v>3896</v>
      </c>
      <c r="C713" t="s">
        <v>3279</v>
      </c>
      <c r="D713" t="s">
        <v>6299</v>
      </c>
      <c r="E713" t="s">
        <v>3897</v>
      </c>
      <c r="F713" t="s">
        <v>3898</v>
      </c>
      <c r="G713" t="s">
        <v>313</v>
      </c>
      <c r="H713" t="s">
        <v>314</v>
      </c>
      <c r="I713">
        <v>95060</v>
      </c>
    </row>
    <row r="714" spans="1:9" x14ac:dyDescent="0.3">
      <c r="A714">
        <v>713</v>
      </c>
      <c r="B714" t="s">
        <v>3899</v>
      </c>
      <c r="C714" t="s">
        <v>3900</v>
      </c>
      <c r="D714" t="s">
        <v>6299</v>
      </c>
      <c r="E714" t="s">
        <v>3901</v>
      </c>
      <c r="F714" t="s">
        <v>3902</v>
      </c>
      <c r="G714" t="s">
        <v>1422</v>
      </c>
      <c r="H714" t="s">
        <v>320</v>
      </c>
      <c r="I714">
        <v>11776</v>
      </c>
    </row>
    <row r="715" spans="1:9" x14ac:dyDescent="0.3">
      <c r="A715">
        <v>714</v>
      </c>
      <c r="B715" t="s">
        <v>3903</v>
      </c>
      <c r="C715" t="s">
        <v>3109</v>
      </c>
      <c r="D715" t="s">
        <v>6299</v>
      </c>
      <c r="E715" t="s">
        <v>3904</v>
      </c>
      <c r="F715" t="s">
        <v>3905</v>
      </c>
      <c r="G715" t="s">
        <v>1334</v>
      </c>
      <c r="H715" t="s">
        <v>320</v>
      </c>
      <c r="I715">
        <v>10451</v>
      </c>
    </row>
    <row r="716" spans="1:9" x14ac:dyDescent="0.3">
      <c r="A716">
        <v>715</v>
      </c>
      <c r="B716" t="s">
        <v>3906</v>
      </c>
      <c r="C716" t="s">
        <v>3907</v>
      </c>
      <c r="D716" t="s">
        <v>6299</v>
      </c>
      <c r="E716" t="s">
        <v>3908</v>
      </c>
      <c r="F716" t="s">
        <v>3909</v>
      </c>
      <c r="G716" t="s">
        <v>1192</v>
      </c>
      <c r="H716" t="s">
        <v>320</v>
      </c>
      <c r="I716">
        <v>11104</v>
      </c>
    </row>
    <row r="717" spans="1:9" x14ac:dyDescent="0.3">
      <c r="A717">
        <v>716</v>
      </c>
      <c r="B717" t="s">
        <v>3910</v>
      </c>
      <c r="C717" t="s">
        <v>3911</v>
      </c>
      <c r="D717" t="s">
        <v>6299</v>
      </c>
      <c r="E717" t="s">
        <v>3912</v>
      </c>
      <c r="F717" t="s">
        <v>3913</v>
      </c>
      <c r="G717" t="s">
        <v>1682</v>
      </c>
      <c r="H717" t="s">
        <v>320</v>
      </c>
      <c r="I717">
        <v>11727</v>
      </c>
    </row>
    <row r="718" spans="1:9" x14ac:dyDescent="0.3">
      <c r="A718">
        <v>717</v>
      </c>
      <c r="B718" t="s">
        <v>3914</v>
      </c>
      <c r="C718" t="s">
        <v>3915</v>
      </c>
      <c r="D718" t="s">
        <v>6299</v>
      </c>
      <c r="E718" t="s">
        <v>3916</v>
      </c>
      <c r="F718" t="s">
        <v>3917</v>
      </c>
      <c r="G718" t="s">
        <v>1767</v>
      </c>
      <c r="H718" t="s">
        <v>320</v>
      </c>
      <c r="I718">
        <v>11803</v>
      </c>
    </row>
    <row r="719" spans="1:9" x14ac:dyDescent="0.3">
      <c r="A719">
        <v>718</v>
      </c>
      <c r="B719" t="s">
        <v>3918</v>
      </c>
      <c r="C719" t="s">
        <v>3919</v>
      </c>
      <c r="D719" t="s">
        <v>6299</v>
      </c>
      <c r="E719" t="s">
        <v>3920</v>
      </c>
      <c r="F719" t="s">
        <v>3921</v>
      </c>
      <c r="G719" t="s">
        <v>2010</v>
      </c>
      <c r="H719" t="s">
        <v>320</v>
      </c>
      <c r="I719">
        <v>11784</v>
      </c>
    </row>
    <row r="720" spans="1:9" x14ac:dyDescent="0.3">
      <c r="A720">
        <v>719</v>
      </c>
      <c r="B720" t="s">
        <v>3712</v>
      </c>
      <c r="C720" t="s">
        <v>2773</v>
      </c>
      <c r="D720" t="s">
        <v>6299</v>
      </c>
      <c r="E720" t="s">
        <v>3922</v>
      </c>
      <c r="F720" t="s">
        <v>3923</v>
      </c>
      <c r="G720" t="s">
        <v>3924</v>
      </c>
      <c r="H720" t="s">
        <v>320</v>
      </c>
      <c r="I720">
        <v>13760</v>
      </c>
    </row>
    <row r="721" spans="1:9" x14ac:dyDescent="0.3">
      <c r="A721">
        <v>720</v>
      </c>
      <c r="B721" t="s">
        <v>3925</v>
      </c>
      <c r="C721" t="s">
        <v>3926</v>
      </c>
      <c r="D721" t="s">
        <v>3927</v>
      </c>
      <c r="E721" t="s">
        <v>3928</v>
      </c>
      <c r="F721" t="s">
        <v>3929</v>
      </c>
      <c r="G721" t="s">
        <v>2951</v>
      </c>
      <c r="H721" t="s">
        <v>320</v>
      </c>
      <c r="I721">
        <v>14606</v>
      </c>
    </row>
    <row r="722" spans="1:9" x14ac:dyDescent="0.3">
      <c r="A722">
        <v>721</v>
      </c>
      <c r="B722" t="s">
        <v>1652</v>
      </c>
      <c r="C722" t="s">
        <v>3930</v>
      </c>
      <c r="D722" t="s">
        <v>6299</v>
      </c>
      <c r="E722" t="s">
        <v>3931</v>
      </c>
      <c r="F722" t="s">
        <v>3932</v>
      </c>
      <c r="G722" t="s">
        <v>1786</v>
      </c>
      <c r="H722" t="s">
        <v>320</v>
      </c>
      <c r="I722">
        <v>11795</v>
      </c>
    </row>
    <row r="723" spans="1:9" x14ac:dyDescent="0.3">
      <c r="A723">
        <v>722</v>
      </c>
      <c r="B723" t="s">
        <v>3933</v>
      </c>
      <c r="C723" t="s">
        <v>2429</v>
      </c>
      <c r="D723" t="s">
        <v>3934</v>
      </c>
      <c r="E723" t="s">
        <v>3935</v>
      </c>
      <c r="F723" t="s">
        <v>3936</v>
      </c>
      <c r="G723" t="s">
        <v>3937</v>
      </c>
      <c r="H723" t="s">
        <v>326</v>
      </c>
      <c r="I723">
        <v>78213</v>
      </c>
    </row>
    <row r="724" spans="1:9" x14ac:dyDescent="0.3">
      <c r="A724">
        <v>723</v>
      </c>
      <c r="B724" t="s">
        <v>3938</v>
      </c>
      <c r="C724" t="s">
        <v>347</v>
      </c>
      <c r="D724" t="s">
        <v>6299</v>
      </c>
      <c r="E724" t="s">
        <v>3939</v>
      </c>
      <c r="F724" t="s">
        <v>3940</v>
      </c>
      <c r="G724" t="s">
        <v>2661</v>
      </c>
      <c r="H724" t="s">
        <v>320</v>
      </c>
      <c r="I724">
        <v>12590</v>
      </c>
    </row>
    <row r="725" spans="1:9" x14ac:dyDescent="0.3">
      <c r="A725">
        <v>724</v>
      </c>
      <c r="B725" t="s">
        <v>3941</v>
      </c>
      <c r="C725" t="s">
        <v>1883</v>
      </c>
      <c r="D725" t="s">
        <v>6299</v>
      </c>
      <c r="E725" t="s">
        <v>3942</v>
      </c>
      <c r="F725" t="s">
        <v>3943</v>
      </c>
      <c r="G725" t="s">
        <v>1197</v>
      </c>
      <c r="H725" t="s">
        <v>320</v>
      </c>
      <c r="I725">
        <v>10562</v>
      </c>
    </row>
    <row r="726" spans="1:9" x14ac:dyDescent="0.3">
      <c r="A726">
        <v>725</v>
      </c>
      <c r="B726" t="s">
        <v>1787</v>
      </c>
      <c r="C726" t="s">
        <v>3944</v>
      </c>
      <c r="D726" t="s">
        <v>6299</v>
      </c>
      <c r="E726" t="s">
        <v>3945</v>
      </c>
      <c r="F726" t="s">
        <v>3946</v>
      </c>
      <c r="G726" t="s">
        <v>1955</v>
      </c>
      <c r="H726" t="s">
        <v>320</v>
      </c>
      <c r="I726">
        <v>11374</v>
      </c>
    </row>
    <row r="727" spans="1:9" x14ac:dyDescent="0.3">
      <c r="A727">
        <v>726</v>
      </c>
      <c r="B727" t="s">
        <v>3947</v>
      </c>
      <c r="C727" t="s">
        <v>1783</v>
      </c>
      <c r="D727" t="s">
        <v>6299</v>
      </c>
      <c r="E727" t="s">
        <v>3948</v>
      </c>
      <c r="F727" t="s">
        <v>3949</v>
      </c>
      <c r="G727" t="s">
        <v>1422</v>
      </c>
      <c r="H727" t="s">
        <v>320</v>
      </c>
      <c r="I727">
        <v>11776</v>
      </c>
    </row>
    <row r="728" spans="1:9" x14ac:dyDescent="0.3">
      <c r="A728">
        <v>727</v>
      </c>
      <c r="B728" t="s">
        <v>1060</v>
      </c>
      <c r="C728" t="s">
        <v>3950</v>
      </c>
      <c r="D728" t="s">
        <v>6299</v>
      </c>
      <c r="E728" t="s">
        <v>3951</v>
      </c>
      <c r="F728" t="s">
        <v>3952</v>
      </c>
      <c r="G728" t="s">
        <v>1142</v>
      </c>
      <c r="H728" t="s">
        <v>320</v>
      </c>
      <c r="I728">
        <v>10583</v>
      </c>
    </row>
    <row r="729" spans="1:9" x14ac:dyDescent="0.3">
      <c r="A729">
        <v>728</v>
      </c>
      <c r="B729" t="s">
        <v>3953</v>
      </c>
      <c r="C729" t="s">
        <v>1856</v>
      </c>
      <c r="D729" t="s">
        <v>6299</v>
      </c>
      <c r="E729" t="s">
        <v>3954</v>
      </c>
      <c r="F729" t="s">
        <v>3955</v>
      </c>
      <c r="G729" t="s">
        <v>1059</v>
      </c>
      <c r="H729" t="s">
        <v>320</v>
      </c>
      <c r="I729">
        <v>14127</v>
      </c>
    </row>
    <row r="730" spans="1:9" x14ac:dyDescent="0.3">
      <c r="A730">
        <v>729</v>
      </c>
      <c r="B730" t="s">
        <v>3956</v>
      </c>
      <c r="C730" t="s">
        <v>2985</v>
      </c>
      <c r="D730" t="s">
        <v>6299</v>
      </c>
      <c r="E730" t="s">
        <v>3957</v>
      </c>
      <c r="F730" t="s">
        <v>3958</v>
      </c>
      <c r="G730" t="s">
        <v>1913</v>
      </c>
      <c r="H730" t="s">
        <v>314</v>
      </c>
      <c r="I730">
        <v>92307</v>
      </c>
    </row>
    <row r="731" spans="1:9" x14ac:dyDescent="0.3">
      <c r="A731">
        <v>730</v>
      </c>
      <c r="B731" t="s">
        <v>3959</v>
      </c>
      <c r="C731" t="s">
        <v>3960</v>
      </c>
      <c r="D731" t="s">
        <v>6299</v>
      </c>
      <c r="E731" t="s">
        <v>3961</v>
      </c>
      <c r="F731" t="s">
        <v>3962</v>
      </c>
      <c r="G731" t="s">
        <v>1959</v>
      </c>
      <c r="H731" t="s">
        <v>326</v>
      </c>
      <c r="I731">
        <v>79106</v>
      </c>
    </row>
    <row r="732" spans="1:9" x14ac:dyDescent="0.3">
      <c r="A732">
        <v>731</v>
      </c>
      <c r="B732" t="s">
        <v>3963</v>
      </c>
      <c r="C732" t="s">
        <v>3964</v>
      </c>
      <c r="D732" t="s">
        <v>3965</v>
      </c>
      <c r="E732" t="s">
        <v>3966</v>
      </c>
      <c r="F732" t="s">
        <v>3967</v>
      </c>
      <c r="G732" t="s">
        <v>1846</v>
      </c>
      <c r="H732" t="s">
        <v>314</v>
      </c>
      <c r="I732">
        <v>93035</v>
      </c>
    </row>
    <row r="733" spans="1:9" x14ac:dyDescent="0.3">
      <c r="A733">
        <v>732</v>
      </c>
      <c r="B733" t="s">
        <v>3968</v>
      </c>
      <c r="C733" t="s">
        <v>3257</v>
      </c>
      <c r="D733" t="s">
        <v>6299</v>
      </c>
      <c r="E733" t="s">
        <v>3969</v>
      </c>
      <c r="F733" t="s">
        <v>3970</v>
      </c>
      <c r="G733" t="s">
        <v>1321</v>
      </c>
      <c r="H733" t="s">
        <v>320</v>
      </c>
      <c r="I733">
        <v>13501</v>
      </c>
    </row>
    <row r="734" spans="1:9" x14ac:dyDescent="0.3">
      <c r="A734">
        <v>733</v>
      </c>
      <c r="B734" t="s">
        <v>3971</v>
      </c>
      <c r="C734" t="s">
        <v>3972</v>
      </c>
      <c r="D734" t="s">
        <v>6299</v>
      </c>
      <c r="E734" t="s">
        <v>3973</v>
      </c>
      <c r="F734" t="s">
        <v>3974</v>
      </c>
      <c r="G734" t="s">
        <v>1758</v>
      </c>
      <c r="H734" t="s">
        <v>320</v>
      </c>
      <c r="I734">
        <v>11743</v>
      </c>
    </row>
    <row r="735" spans="1:9" x14ac:dyDescent="0.3">
      <c r="A735">
        <v>734</v>
      </c>
      <c r="B735" t="s">
        <v>3975</v>
      </c>
      <c r="C735" t="s">
        <v>3976</v>
      </c>
      <c r="D735" t="s">
        <v>6299</v>
      </c>
      <c r="E735" t="s">
        <v>3977</v>
      </c>
      <c r="F735" t="s">
        <v>3978</v>
      </c>
      <c r="G735" t="s">
        <v>2071</v>
      </c>
      <c r="H735" t="s">
        <v>320</v>
      </c>
      <c r="I735">
        <v>11772</v>
      </c>
    </row>
    <row r="736" spans="1:9" x14ac:dyDescent="0.3">
      <c r="A736">
        <v>735</v>
      </c>
      <c r="B736" t="s">
        <v>3979</v>
      </c>
      <c r="C736" t="s">
        <v>1508</v>
      </c>
      <c r="D736" t="s">
        <v>6299</v>
      </c>
      <c r="E736" t="s">
        <v>3980</v>
      </c>
      <c r="F736" t="s">
        <v>3981</v>
      </c>
      <c r="G736" t="s">
        <v>1176</v>
      </c>
      <c r="H736" t="s">
        <v>314</v>
      </c>
      <c r="I736">
        <v>95301</v>
      </c>
    </row>
    <row r="737" spans="1:9" x14ac:dyDescent="0.3">
      <c r="A737">
        <v>736</v>
      </c>
      <c r="B737" t="s">
        <v>3982</v>
      </c>
      <c r="C737" t="s">
        <v>2024</v>
      </c>
      <c r="D737" t="s">
        <v>6299</v>
      </c>
      <c r="E737" t="s">
        <v>3983</v>
      </c>
      <c r="F737" t="s">
        <v>3984</v>
      </c>
      <c r="G737" t="s">
        <v>1069</v>
      </c>
      <c r="H737" t="s">
        <v>314</v>
      </c>
      <c r="I737">
        <v>90278</v>
      </c>
    </row>
    <row r="738" spans="1:9" x14ac:dyDescent="0.3">
      <c r="A738">
        <v>737</v>
      </c>
      <c r="B738" t="s">
        <v>3985</v>
      </c>
      <c r="C738" t="s">
        <v>3986</v>
      </c>
      <c r="D738" t="s">
        <v>6299</v>
      </c>
      <c r="E738" t="s">
        <v>3987</v>
      </c>
      <c r="F738" t="s">
        <v>3988</v>
      </c>
      <c r="G738" t="s">
        <v>3415</v>
      </c>
      <c r="H738" t="s">
        <v>320</v>
      </c>
      <c r="I738">
        <v>13021</v>
      </c>
    </row>
    <row r="739" spans="1:9" x14ac:dyDescent="0.3">
      <c r="A739">
        <v>738</v>
      </c>
      <c r="B739" t="s">
        <v>3989</v>
      </c>
      <c r="C739" t="s">
        <v>2439</v>
      </c>
      <c r="D739" t="s">
        <v>3990</v>
      </c>
      <c r="E739" t="s">
        <v>3991</v>
      </c>
      <c r="F739" t="s">
        <v>3992</v>
      </c>
      <c r="G739" t="s">
        <v>1846</v>
      </c>
      <c r="H739" t="s">
        <v>314</v>
      </c>
      <c r="I739">
        <v>93035</v>
      </c>
    </row>
    <row r="740" spans="1:9" x14ac:dyDescent="0.3">
      <c r="A740">
        <v>739</v>
      </c>
      <c r="B740" t="s">
        <v>3993</v>
      </c>
      <c r="C740" t="s">
        <v>3994</v>
      </c>
      <c r="D740" t="s">
        <v>6299</v>
      </c>
      <c r="E740" t="s">
        <v>3995</v>
      </c>
      <c r="F740" t="s">
        <v>3996</v>
      </c>
      <c r="G740" t="s">
        <v>1516</v>
      </c>
      <c r="H740" t="s">
        <v>320</v>
      </c>
      <c r="I740">
        <v>11361</v>
      </c>
    </row>
    <row r="741" spans="1:9" x14ac:dyDescent="0.3">
      <c r="A741">
        <v>740</v>
      </c>
      <c r="B741" t="s">
        <v>3997</v>
      </c>
      <c r="C741" t="s">
        <v>1379</v>
      </c>
      <c r="D741" t="s">
        <v>6299</v>
      </c>
      <c r="E741" t="s">
        <v>3998</v>
      </c>
      <c r="F741" t="s">
        <v>3999</v>
      </c>
      <c r="G741" t="s">
        <v>2345</v>
      </c>
      <c r="H741" t="s">
        <v>320</v>
      </c>
      <c r="I741">
        <v>11720</v>
      </c>
    </row>
    <row r="742" spans="1:9" x14ac:dyDescent="0.3">
      <c r="A742">
        <v>741</v>
      </c>
      <c r="B742" t="s">
        <v>4000</v>
      </c>
      <c r="C742" t="s">
        <v>3320</v>
      </c>
      <c r="D742" t="s">
        <v>6299</v>
      </c>
      <c r="E742" t="s">
        <v>4001</v>
      </c>
      <c r="F742" t="s">
        <v>4002</v>
      </c>
      <c r="G742" t="s">
        <v>1718</v>
      </c>
      <c r="H742" t="s">
        <v>320</v>
      </c>
      <c r="I742">
        <v>11412</v>
      </c>
    </row>
    <row r="743" spans="1:9" x14ac:dyDescent="0.3">
      <c r="A743">
        <v>742</v>
      </c>
      <c r="B743" t="s">
        <v>3608</v>
      </c>
      <c r="C743" t="s">
        <v>4003</v>
      </c>
      <c r="D743" t="s">
        <v>6299</v>
      </c>
      <c r="E743" t="s">
        <v>4004</v>
      </c>
      <c r="F743" t="s">
        <v>4005</v>
      </c>
      <c r="G743" t="s">
        <v>2539</v>
      </c>
      <c r="H743" t="s">
        <v>320</v>
      </c>
      <c r="I743">
        <v>10550</v>
      </c>
    </row>
    <row r="744" spans="1:9" x14ac:dyDescent="0.3">
      <c r="A744">
        <v>743</v>
      </c>
      <c r="B744" t="s">
        <v>4006</v>
      </c>
      <c r="C744" t="s">
        <v>4007</v>
      </c>
      <c r="D744" t="s">
        <v>6299</v>
      </c>
      <c r="E744" t="s">
        <v>4008</v>
      </c>
      <c r="F744" t="s">
        <v>4009</v>
      </c>
      <c r="G744" t="s">
        <v>1121</v>
      </c>
      <c r="H744" t="s">
        <v>326</v>
      </c>
      <c r="I744">
        <v>75604</v>
      </c>
    </row>
    <row r="745" spans="1:9" x14ac:dyDescent="0.3">
      <c r="A745">
        <v>744</v>
      </c>
      <c r="B745" t="s">
        <v>4010</v>
      </c>
      <c r="C745" t="s">
        <v>2953</v>
      </c>
      <c r="D745" t="s">
        <v>6299</v>
      </c>
      <c r="E745" t="s">
        <v>4011</v>
      </c>
      <c r="F745" t="s">
        <v>4012</v>
      </c>
      <c r="G745" t="s">
        <v>2539</v>
      </c>
      <c r="H745" t="s">
        <v>320</v>
      </c>
      <c r="I745">
        <v>10550</v>
      </c>
    </row>
    <row r="746" spans="1:9" x14ac:dyDescent="0.3">
      <c r="A746">
        <v>745</v>
      </c>
      <c r="B746" t="s">
        <v>4013</v>
      </c>
      <c r="C746" t="s">
        <v>4014</v>
      </c>
      <c r="D746" t="s">
        <v>6299</v>
      </c>
      <c r="E746" t="s">
        <v>4015</v>
      </c>
      <c r="F746" t="s">
        <v>4016</v>
      </c>
      <c r="G746" t="s">
        <v>1569</v>
      </c>
      <c r="H746" t="s">
        <v>320</v>
      </c>
      <c r="I746">
        <v>11001</v>
      </c>
    </row>
    <row r="747" spans="1:9" x14ac:dyDescent="0.3">
      <c r="A747">
        <v>746</v>
      </c>
      <c r="B747" t="s">
        <v>4017</v>
      </c>
      <c r="C747" t="s">
        <v>2580</v>
      </c>
      <c r="D747" t="s">
        <v>6299</v>
      </c>
      <c r="E747" t="s">
        <v>4018</v>
      </c>
      <c r="F747" t="s">
        <v>4019</v>
      </c>
      <c r="G747" t="s">
        <v>1339</v>
      </c>
      <c r="H747" t="s">
        <v>320</v>
      </c>
      <c r="I747">
        <v>11722</v>
      </c>
    </row>
    <row r="748" spans="1:9" x14ac:dyDescent="0.3">
      <c r="A748">
        <v>747</v>
      </c>
      <c r="B748" t="s">
        <v>4020</v>
      </c>
      <c r="C748" t="s">
        <v>2558</v>
      </c>
      <c r="D748" t="s">
        <v>6299</v>
      </c>
      <c r="E748" t="s">
        <v>4021</v>
      </c>
      <c r="F748" t="s">
        <v>4022</v>
      </c>
      <c r="G748" t="s">
        <v>1126</v>
      </c>
      <c r="H748" t="s">
        <v>326</v>
      </c>
      <c r="I748">
        <v>75126</v>
      </c>
    </row>
    <row r="749" spans="1:9" x14ac:dyDescent="0.3">
      <c r="A749">
        <v>748</v>
      </c>
      <c r="B749" t="s">
        <v>4023</v>
      </c>
      <c r="C749" t="s">
        <v>4024</v>
      </c>
      <c r="D749" t="s">
        <v>6299</v>
      </c>
      <c r="E749" t="s">
        <v>4025</v>
      </c>
      <c r="F749" t="s">
        <v>4026</v>
      </c>
      <c r="G749" t="s">
        <v>1560</v>
      </c>
      <c r="H749" t="s">
        <v>320</v>
      </c>
      <c r="I749">
        <v>11373</v>
      </c>
    </row>
    <row r="750" spans="1:9" x14ac:dyDescent="0.3">
      <c r="A750">
        <v>749</v>
      </c>
      <c r="B750" t="s">
        <v>4027</v>
      </c>
      <c r="C750" t="s">
        <v>2239</v>
      </c>
      <c r="D750" t="s">
        <v>6299</v>
      </c>
      <c r="E750" t="s">
        <v>4028</v>
      </c>
      <c r="F750" t="s">
        <v>4029</v>
      </c>
      <c r="G750" t="s">
        <v>1480</v>
      </c>
      <c r="H750" t="s">
        <v>314</v>
      </c>
      <c r="I750">
        <v>91784</v>
      </c>
    </row>
    <row r="751" spans="1:9" x14ac:dyDescent="0.3">
      <c r="A751">
        <v>750</v>
      </c>
      <c r="B751" t="s">
        <v>2813</v>
      </c>
      <c r="C751" t="s">
        <v>4030</v>
      </c>
      <c r="D751" t="s">
        <v>6299</v>
      </c>
      <c r="E751" t="s">
        <v>4031</v>
      </c>
      <c r="F751" t="s">
        <v>4032</v>
      </c>
      <c r="G751" t="s">
        <v>1110</v>
      </c>
      <c r="H751" t="s">
        <v>320</v>
      </c>
      <c r="I751">
        <v>10952</v>
      </c>
    </row>
    <row r="752" spans="1:9" x14ac:dyDescent="0.3">
      <c r="A752">
        <v>751</v>
      </c>
      <c r="B752" t="s">
        <v>4033</v>
      </c>
      <c r="C752" t="s">
        <v>4034</v>
      </c>
      <c r="D752" t="s">
        <v>6299</v>
      </c>
      <c r="E752" t="s">
        <v>4035</v>
      </c>
      <c r="F752" t="s">
        <v>4036</v>
      </c>
      <c r="G752" t="s">
        <v>1449</v>
      </c>
      <c r="H752" t="s">
        <v>314</v>
      </c>
      <c r="I752">
        <v>92236</v>
      </c>
    </row>
    <row r="753" spans="1:9" x14ac:dyDescent="0.3">
      <c r="A753">
        <v>752</v>
      </c>
      <c r="B753" t="s">
        <v>2247</v>
      </c>
      <c r="C753" t="s">
        <v>4037</v>
      </c>
      <c r="D753" t="s">
        <v>6299</v>
      </c>
      <c r="E753" t="s">
        <v>4038</v>
      </c>
      <c r="F753" t="s">
        <v>4039</v>
      </c>
      <c r="G753" t="s">
        <v>1257</v>
      </c>
      <c r="H753" t="s">
        <v>314</v>
      </c>
      <c r="I753">
        <v>91316</v>
      </c>
    </row>
    <row r="754" spans="1:9" x14ac:dyDescent="0.3">
      <c r="A754">
        <v>753</v>
      </c>
      <c r="B754" t="s">
        <v>4040</v>
      </c>
      <c r="C754" t="s">
        <v>4041</v>
      </c>
      <c r="D754" t="s">
        <v>6299</v>
      </c>
      <c r="E754" t="s">
        <v>4042</v>
      </c>
      <c r="F754" t="s">
        <v>4043</v>
      </c>
      <c r="G754" t="s">
        <v>1311</v>
      </c>
      <c r="H754" t="s">
        <v>320</v>
      </c>
      <c r="I754">
        <v>11369</v>
      </c>
    </row>
    <row r="755" spans="1:9" x14ac:dyDescent="0.3">
      <c r="A755">
        <v>754</v>
      </c>
      <c r="B755" t="s">
        <v>3956</v>
      </c>
      <c r="C755" t="s">
        <v>4044</v>
      </c>
      <c r="D755" t="s">
        <v>6299</v>
      </c>
      <c r="E755" t="s">
        <v>4045</v>
      </c>
      <c r="F755" t="s">
        <v>4046</v>
      </c>
      <c r="G755" t="s">
        <v>2619</v>
      </c>
      <c r="H755" t="s">
        <v>320</v>
      </c>
      <c r="I755">
        <v>11580</v>
      </c>
    </row>
    <row r="756" spans="1:9" x14ac:dyDescent="0.3">
      <c r="A756">
        <v>755</v>
      </c>
      <c r="B756" t="s">
        <v>1815</v>
      </c>
      <c r="C756" t="s">
        <v>1808</v>
      </c>
      <c r="D756" t="s">
        <v>6299</v>
      </c>
      <c r="E756" t="s">
        <v>4047</v>
      </c>
      <c r="F756" t="s">
        <v>4048</v>
      </c>
      <c r="G756" t="s">
        <v>3526</v>
      </c>
      <c r="H756" t="s">
        <v>320</v>
      </c>
      <c r="I756">
        <v>11040</v>
      </c>
    </row>
    <row r="757" spans="1:9" x14ac:dyDescent="0.3">
      <c r="A757">
        <v>756</v>
      </c>
      <c r="B757" t="s">
        <v>4049</v>
      </c>
      <c r="C757" t="s">
        <v>3654</v>
      </c>
      <c r="D757" t="s">
        <v>6299</v>
      </c>
      <c r="E757" t="s">
        <v>4050</v>
      </c>
      <c r="F757" t="s">
        <v>4051</v>
      </c>
      <c r="G757" t="s">
        <v>3786</v>
      </c>
      <c r="H757" t="s">
        <v>320</v>
      </c>
      <c r="I757">
        <v>11704</v>
      </c>
    </row>
    <row r="758" spans="1:9" x14ac:dyDescent="0.3">
      <c r="A758">
        <v>757</v>
      </c>
      <c r="B758" t="s">
        <v>4052</v>
      </c>
      <c r="C758" t="s">
        <v>2580</v>
      </c>
      <c r="D758" t="s">
        <v>6299</v>
      </c>
      <c r="E758" t="s">
        <v>4053</v>
      </c>
      <c r="F758" t="s">
        <v>4054</v>
      </c>
      <c r="G758" t="s">
        <v>2328</v>
      </c>
      <c r="H758" t="s">
        <v>320</v>
      </c>
      <c r="I758">
        <v>11756</v>
      </c>
    </row>
    <row r="759" spans="1:9" x14ac:dyDescent="0.3">
      <c r="A759">
        <v>758</v>
      </c>
      <c r="B759" t="s">
        <v>4055</v>
      </c>
      <c r="C759" t="s">
        <v>4056</v>
      </c>
      <c r="D759" t="s">
        <v>6299</v>
      </c>
      <c r="E759" t="s">
        <v>4057</v>
      </c>
      <c r="F759" t="s">
        <v>4058</v>
      </c>
      <c r="G759" t="s">
        <v>1262</v>
      </c>
      <c r="H759" t="s">
        <v>320</v>
      </c>
      <c r="I759">
        <v>12804</v>
      </c>
    </row>
    <row r="760" spans="1:9" x14ac:dyDescent="0.3">
      <c r="A760">
        <v>759</v>
      </c>
      <c r="B760" t="s">
        <v>4059</v>
      </c>
      <c r="C760" t="s">
        <v>3829</v>
      </c>
      <c r="D760" t="s">
        <v>4060</v>
      </c>
      <c r="E760" t="s">
        <v>4061</v>
      </c>
      <c r="F760" t="s">
        <v>4062</v>
      </c>
      <c r="G760" t="s">
        <v>1212</v>
      </c>
      <c r="H760" t="s">
        <v>314</v>
      </c>
      <c r="I760">
        <v>94603</v>
      </c>
    </row>
    <row r="761" spans="1:9" x14ac:dyDescent="0.3">
      <c r="A761">
        <v>760</v>
      </c>
      <c r="B761" t="s">
        <v>4063</v>
      </c>
      <c r="C761" t="s">
        <v>4064</v>
      </c>
      <c r="D761" t="s">
        <v>6299</v>
      </c>
      <c r="E761" t="s">
        <v>4065</v>
      </c>
      <c r="F761" t="s">
        <v>4066</v>
      </c>
      <c r="G761" t="s">
        <v>1362</v>
      </c>
      <c r="H761" t="s">
        <v>320</v>
      </c>
      <c r="I761">
        <v>11701</v>
      </c>
    </row>
    <row r="762" spans="1:9" x14ac:dyDescent="0.3">
      <c r="A762">
        <v>761</v>
      </c>
      <c r="B762" t="s">
        <v>4067</v>
      </c>
      <c r="C762" t="s">
        <v>4068</v>
      </c>
      <c r="D762" t="s">
        <v>6299</v>
      </c>
      <c r="E762" t="s">
        <v>4069</v>
      </c>
      <c r="F762" t="s">
        <v>4070</v>
      </c>
      <c r="G762" t="s">
        <v>2288</v>
      </c>
      <c r="H762" t="s">
        <v>320</v>
      </c>
      <c r="I762">
        <v>11779</v>
      </c>
    </row>
    <row r="763" spans="1:9" x14ac:dyDescent="0.3">
      <c r="A763">
        <v>762</v>
      </c>
      <c r="B763" t="s">
        <v>4071</v>
      </c>
      <c r="C763" t="s">
        <v>372</v>
      </c>
      <c r="D763" t="s">
        <v>6299</v>
      </c>
      <c r="E763" t="s">
        <v>4072</v>
      </c>
      <c r="F763" t="s">
        <v>4073</v>
      </c>
      <c r="G763" t="s">
        <v>1339</v>
      </c>
      <c r="H763" t="s">
        <v>320</v>
      </c>
      <c r="I763">
        <v>11722</v>
      </c>
    </row>
    <row r="764" spans="1:9" x14ac:dyDescent="0.3">
      <c r="A764">
        <v>763</v>
      </c>
      <c r="B764" t="s">
        <v>4074</v>
      </c>
      <c r="C764" t="s">
        <v>2840</v>
      </c>
      <c r="D764" t="s">
        <v>6299</v>
      </c>
      <c r="E764" t="s">
        <v>4075</v>
      </c>
      <c r="F764" t="s">
        <v>4076</v>
      </c>
      <c r="G764" t="s">
        <v>1560</v>
      </c>
      <c r="H764" t="s">
        <v>320</v>
      </c>
      <c r="I764">
        <v>11373</v>
      </c>
    </row>
    <row r="765" spans="1:9" x14ac:dyDescent="0.3">
      <c r="A765">
        <v>764</v>
      </c>
      <c r="B765" t="s">
        <v>367</v>
      </c>
      <c r="C765" t="s">
        <v>2110</v>
      </c>
      <c r="D765" t="s">
        <v>6299</v>
      </c>
      <c r="E765" t="s">
        <v>4077</v>
      </c>
      <c r="F765" t="s">
        <v>4078</v>
      </c>
      <c r="G765" t="s">
        <v>2010</v>
      </c>
      <c r="H765" t="s">
        <v>320</v>
      </c>
      <c r="I765">
        <v>11784</v>
      </c>
    </row>
    <row r="766" spans="1:9" x14ac:dyDescent="0.3">
      <c r="A766">
        <v>765</v>
      </c>
      <c r="B766" t="s">
        <v>4079</v>
      </c>
      <c r="C766" t="s">
        <v>1406</v>
      </c>
      <c r="D766" t="s">
        <v>6299</v>
      </c>
      <c r="E766" t="s">
        <v>4080</v>
      </c>
      <c r="F766" t="s">
        <v>4081</v>
      </c>
      <c r="G766" t="s">
        <v>1197</v>
      </c>
      <c r="H766" t="s">
        <v>320</v>
      </c>
      <c r="I766">
        <v>10562</v>
      </c>
    </row>
    <row r="767" spans="1:9" x14ac:dyDescent="0.3">
      <c r="A767">
        <v>766</v>
      </c>
      <c r="B767" t="s">
        <v>4082</v>
      </c>
      <c r="C767" t="s">
        <v>4083</v>
      </c>
      <c r="D767" t="s">
        <v>6299</v>
      </c>
      <c r="E767" t="s">
        <v>4084</v>
      </c>
      <c r="F767" t="s">
        <v>4085</v>
      </c>
      <c r="G767" t="s">
        <v>2468</v>
      </c>
      <c r="H767" t="s">
        <v>320</v>
      </c>
      <c r="I767">
        <v>12302</v>
      </c>
    </row>
    <row r="768" spans="1:9" x14ac:dyDescent="0.3">
      <c r="A768">
        <v>767</v>
      </c>
      <c r="B768" t="s">
        <v>4086</v>
      </c>
      <c r="C768" t="s">
        <v>3331</v>
      </c>
      <c r="D768" t="s">
        <v>4087</v>
      </c>
      <c r="E768" t="s">
        <v>4088</v>
      </c>
      <c r="F768" t="s">
        <v>4089</v>
      </c>
      <c r="G768" t="s">
        <v>1581</v>
      </c>
      <c r="H768" t="s">
        <v>314</v>
      </c>
      <c r="I768">
        <v>92806</v>
      </c>
    </row>
    <row r="769" spans="1:9" x14ac:dyDescent="0.3">
      <c r="A769">
        <v>768</v>
      </c>
      <c r="B769" t="s">
        <v>4090</v>
      </c>
      <c r="C769" t="s">
        <v>2068</v>
      </c>
      <c r="D769" t="s">
        <v>6299</v>
      </c>
      <c r="E769" t="s">
        <v>4091</v>
      </c>
      <c r="F769" t="s">
        <v>4092</v>
      </c>
      <c r="G769" t="s">
        <v>2156</v>
      </c>
      <c r="H769" t="s">
        <v>314</v>
      </c>
      <c r="I769">
        <v>94806</v>
      </c>
    </row>
    <row r="770" spans="1:9" x14ac:dyDescent="0.3">
      <c r="A770">
        <v>769</v>
      </c>
      <c r="B770" t="s">
        <v>4093</v>
      </c>
      <c r="C770" t="s">
        <v>1379</v>
      </c>
      <c r="D770" t="s">
        <v>6299</v>
      </c>
      <c r="E770" t="s">
        <v>4094</v>
      </c>
      <c r="F770" t="s">
        <v>4095</v>
      </c>
      <c r="G770" t="s">
        <v>2398</v>
      </c>
      <c r="H770" t="s">
        <v>320</v>
      </c>
      <c r="I770">
        <v>11413</v>
      </c>
    </row>
    <row r="771" spans="1:9" x14ac:dyDescent="0.3">
      <c r="A771">
        <v>770</v>
      </c>
      <c r="B771" t="s">
        <v>4096</v>
      </c>
      <c r="C771" t="s">
        <v>4097</v>
      </c>
      <c r="D771" t="s">
        <v>6299</v>
      </c>
      <c r="E771" t="s">
        <v>4098</v>
      </c>
      <c r="F771" t="s">
        <v>4099</v>
      </c>
      <c r="G771" t="s">
        <v>1781</v>
      </c>
      <c r="H771" t="s">
        <v>320</v>
      </c>
      <c r="I771">
        <v>11706</v>
      </c>
    </row>
    <row r="772" spans="1:9" x14ac:dyDescent="0.3">
      <c r="A772">
        <v>771</v>
      </c>
      <c r="B772" t="s">
        <v>4100</v>
      </c>
      <c r="C772" t="s">
        <v>3076</v>
      </c>
      <c r="D772" t="s">
        <v>4101</v>
      </c>
      <c r="E772" t="s">
        <v>4102</v>
      </c>
      <c r="F772" t="s">
        <v>4103</v>
      </c>
      <c r="G772" t="s">
        <v>1091</v>
      </c>
      <c r="H772" t="s">
        <v>320</v>
      </c>
      <c r="I772">
        <v>14215</v>
      </c>
    </row>
    <row r="773" spans="1:9" x14ac:dyDescent="0.3">
      <c r="A773">
        <v>772</v>
      </c>
      <c r="B773" t="s">
        <v>4104</v>
      </c>
      <c r="C773" t="s">
        <v>4105</v>
      </c>
      <c r="D773" t="s">
        <v>6299</v>
      </c>
      <c r="E773" t="s">
        <v>4106</v>
      </c>
      <c r="F773" t="s">
        <v>4107</v>
      </c>
      <c r="G773" t="s">
        <v>3570</v>
      </c>
      <c r="H773" t="s">
        <v>320</v>
      </c>
      <c r="I773">
        <v>10598</v>
      </c>
    </row>
    <row r="774" spans="1:9" x14ac:dyDescent="0.3">
      <c r="A774">
        <v>773</v>
      </c>
      <c r="B774" t="s">
        <v>4108</v>
      </c>
      <c r="C774" t="s">
        <v>4109</v>
      </c>
      <c r="D774" t="s">
        <v>6299</v>
      </c>
      <c r="E774" t="s">
        <v>4110</v>
      </c>
      <c r="F774" t="s">
        <v>4111</v>
      </c>
      <c r="G774" t="s">
        <v>1699</v>
      </c>
      <c r="H774" t="s">
        <v>320</v>
      </c>
      <c r="I774">
        <v>11758</v>
      </c>
    </row>
    <row r="775" spans="1:9" x14ac:dyDescent="0.3">
      <c r="A775">
        <v>774</v>
      </c>
      <c r="B775" t="s">
        <v>4112</v>
      </c>
      <c r="C775" t="s">
        <v>2059</v>
      </c>
      <c r="D775" t="s">
        <v>6299</v>
      </c>
      <c r="E775" t="s">
        <v>4113</v>
      </c>
      <c r="F775" t="s">
        <v>4114</v>
      </c>
      <c r="G775" t="s">
        <v>2076</v>
      </c>
      <c r="H775" t="s">
        <v>314</v>
      </c>
      <c r="I775">
        <v>90260</v>
      </c>
    </row>
    <row r="776" spans="1:9" x14ac:dyDescent="0.3">
      <c r="A776">
        <v>775</v>
      </c>
      <c r="B776" t="s">
        <v>3768</v>
      </c>
      <c r="C776" t="s">
        <v>4115</v>
      </c>
      <c r="D776" t="s">
        <v>6299</v>
      </c>
      <c r="E776" t="s">
        <v>4116</v>
      </c>
      <c r="F776" t="s">
        <v>4117</v>
      </c>
      <c r="G776" t="s">
        <v>2071</v>
      </c>
      <c r="H776" t="s">
        <v>320</v>
      </c>
      <c r="I776">
        <v>11772</v>
      </c>
    </row>
    <row r="777" spans="1:9" x14ac:dyDescent="0.3">
      <c r="A777">
        <v>776</v>
      </c>
      <c r="B777" t="s">
        <v>4118</v>
      </c>
      <c r="C777" t="s">
        <v>4119</v>
      </c>
      <c r="D777" t="s">
        <v>6299</v>
      </c>
      <c r="E777" t="s">
        <v>4120</v>
      </c>
      <c r="F777" t="s">
        <v>4121</v>
      </c>
      <c r="G777" t="s">
        <v>1404</v>
      </c>
      <c r="H777" t="s">
        <v>314</v>
      </c>
      <c r="I777">
        <v>91733</v>
      </c>
    </row>
    <row r="778" spans="1:9" x14ac:dyDescent="0.3">
      <c r="A778">
        <v>777</v>
      </c>
      <c r="B778" t="s">
        <v>4122</v>
      </c>
      <c r="C778" t="s">
        <v>1941</v>
      </c>
      <c r="D778" t="s">
        <v>6299</v>
      </c>
      <c r="E778" t="s">
        <v>4123</v>
      </c>
      <c r="F778" t="s">
        <v>4124</v>
      </c>
      <c r="G778" t="s">
        <v>2262</v>
      </c>
      <c r="H778" t="s">
        <v>320</v>
      </c>
      <c r="I778">
        <v>12401</v>
      </c>
    </row>
    <row r="779" spans="1:9" x14ac:dyDescent="0.3">
      <c r="A779">
        <v>778</v>
      </c>
      <c r="B779" t="s">
        <v>4125</v>
      </c>
      <c r="C779" t="s">
        <v>3744</v>
      </c>
      <c r="D779" t="s">
        <v>6299</v>
      </c>
      <c r="E779" t="s">
        <v>4126</v>
      </c>
      <c r="F779" t="s">
        <v>4127</v>
      </c>
      <c r="G779" t="s">
        <v>1161</v>
      </c>
      <c r="H779" t="s">
        <v>326</v>
      </c>
      <c r="I779">
        <v>77904</v>
      </c>
    </row>
    <row r="780" spans="1:9" x14ac:dyDescent="0.3">
      <c r="A780">
        <v>779</v>
      </c>
      <c r="B780" t="s">
        <v>4128</v>
      </c>
      <c r="C780" t="s">
        <v>4119</v>
      </c>
      <c r="D780" t="s">
        <v>6299</v>
      </c>
      <c r="E780" t="s">
        <v>4129</v>
      </c>
      <c r="F780" t="s">
        <v>4130</v>
      </c>
      <c r="G780" t="s">
        <v>1246</v>
      </c>
      <c r="H780" t="s">
        <v>320</v>
      </c>
      <c r="I780">
        <v>11102</v>
      </c>
    </row>
    <row r="781" spans="1:9" x14ac:dyDescent="0.3">
      <c r="A781">
        <v>780</v>
      </c>
      <c r="B781" t="s">
        <v>4131</v>
      </c>
      <c r="C781" t="s">
        <v>4132</v>
      </c>
      <c r="D781" t="s">
        <v>6299</v>
      </c>
      <c r="E781" t="s">
        <v>4133</v>
      </c>
      <c r="F781" t="s">
        <v>4134</v>
      </c>
      <c r="G781" t="s">
        <v>1306</v>
      </c>
      <c r="H781" t="s">
        <v>320</v>
      </c>
      <c r="I781">
        <v>11566</v>
      </c>
    </row>
    <row r="782" spans="1:9" x14ac:dyDescent="0.3">
      <c r="A782">
        <v>781</v>
      </c>
      <c r="B782" t="s">
        <v>3316</v>
      </c>
      <c r="C782" t="s">
        <v>1994</v>
      </c>
      <c r="D782" t="s">
        <v>6299</v>
      </c>
      <c r="E782" t="s">
        <v>4135</v>
      </c>
      <c r="F782" t="s">
        <v>4136</v>
      </c>
      <c r="G782" t="s">
        <v>1516</v>
      </c>
      <c r="H782" t="s">
        <v>320</v>
      </c>
      <c r="I782">
        <v>11361</v>
      </c>
    </row>
    <row r="783" spans="1:9" x14ac:dyDescent="0.3">
      <c r="A783">
        <v>782</v>
      </c>
      <c r="B783" t="s">
        <v>4137</v>
      </c>
      <c r="C783" t="s">
        <v>1473</v>
      </c>
      <c r="D783" t="s">
        <v>6299</v>
      </c>
      <c r="E783" t="s">
        <v>4138</v>
      </c>
      <c r="F783" t="s">
        <v>4139</v>
      </c>
      <c r="G783" t="s">
        <v>1819</v>
      </c>
      <c r="H783" t="s">
        <v>320</v>
      </c>
      <c r="I783">
        <v>11377</v>
      </c>
    </row>
    <row r="784" spans="1:9" x14ac:dyDescent="0.3">
      <c r="A784">
        <v>783</v>
      </c>
      <c r="B784" t="s">
        <v>3104</v>
      </c>
      <c r="C784" t="s">
        <v>4140</v>
      </c>
      <c r="D784" t="s">
        <v>4141</v>
      </c>
      <c r="E784" t="s">
        <v>4142</v>
      </c>
      <c r="F784" t="s">
        <v>4143</v>
      </c>
      <c r="G784" t="s">
        <v>1252</v>
      </c>
      <c r="H784" t="s">
        <v>320</v>
      </c>
      <c r="I784">
        <v>14086</v>
      </c>
    </row>
    <row r="785" spans="1:9" x14ac:dyDescent="0.3">
      <c r="A785">
        <v>784</v>
      </c>
      <c r="B785" t="s">
        <v>4144</v>
      </c>
      <c r="C785" t="s">
        <v>4145</v>
      </c>
      <c r="D785" t="s">
        <v>6299</v>
      </c>
      <c r="E785" t="s">
        <v>4146</v>
      </c>
      <c r="F785" t="s">
        <v>4147</v>
      </c>
      <c r="G785" t="s">
        <v>1973</v>
      </c>
      <c r="H785" t="s">
        <v>320</v>
      </c>
      <c r="I785">
        <v>12020</v>
      </c>
    </row>
    <row r="786" spans="1:9" x14ac:dyDescent="0.3">
      <c r="A786">
        <v>785</v>
      </c>
      <c r="B786" t="s">
        <v>4148</v>
      </c>
      <c r="C786" t="s">
        <v>1826</v>
      </c>
      <c r="D786" t="s">
        <v>6299</v>
      </c>
      <c r="E786" t="s">
        <v>4149</v>
      </c>
      <c r="F786" t="s">
        <v>4150</v>
      </c>
      <c r="G786" t="s">
        <v>1677</v>
      </c>
      <c r="H786" t="s">
        <v>320</v>
      </c>
      <c r="I786">
        <v>14075</v>
      </c>
    </row>
    <row r="787" spans="1:9" x14ac:dyDescent="0.3">
      <c r="A787">
        <v>786</v>
      </c>
      <c r="B787" t="s">
        <v>4151</v>
      </c>
      <c r="C787" t="s">
        <v>4152</v>
      </c>
      <c r="D787" t="s">
        <v>6299</v>
      </c>
      <c r="E787" t="s">
        <v>4153</v>
      </c>
      <c r="F787" t="s">
        <v>4154</v>
      </c>
      <c r="G787" t="s">
        <v>3182</v>
      </c>
      <c r="H787" t="s">
        <v>320</v>
      </c>
      <c r="I787">
        <v>11419</v>
      </c>
    </row>
    <row r="788" spans="1:9" x14ac:dyDescent="0.3">
      <c r="A788">
        <v>787</v>
      </c>
      <c r="B788" t="s">
        <v>4155</v>
      </c>
      <c r="C788" t="s">
        <v>4156</v>
      </c>
      <c r="D788" t="s">
        <v>6299</v>
      </c>
      <c r="E788" t="s">
        <v>4157</v>
      </c>
      <c r="F788" t="s">
        <v>4158</v>
      </c>
      <c r="G788" t="s">
        <v>2539</v>
      </c>
      <c r="H788" t="s">
        <v>320</v>
      </c>
      <c r="I788">
        <v>10550</v>
      </c>
    </row>
    <row r="789" spans="1:9" x14ac:dyDescent="0.3">
      <c r="A789">
        <v>788</v>
      </c>
      <c r="B789" t="s">
        <v>4159</v>
      </c>
      <c r="C789" t="s">
        <v>3647</v>
      </c>
      <c r="D789" t="s">
        <v>6299</v>
      </c>
      <c r="E789" t="s">
        <v>4160</v>
      </c>
      <c r="F789" t="s">
        <v>4161</v>
      </c>
      <c r="G789" t="s">
        <v>4162</v>
      </c>
      <c r="H789" t="s">
        <v>326</v>
      </c>
      <c r="I789">
        <v>76522</v>
      </c>
    </row>
    <row r="790" spans="1:9" x14ac:dyDescent="0.3">
      <c r="A790">
        <v>789</v>
      </c>
      <c r="B790" t="s">
        <v>4163</v>
      </c>
      <c r="C790" t="s">
        <v>4164</v>
      </c>
      <c r="D790" t="s">
        <v>6299</v>
      </c>
      <c r="E790" t="s">
        <v>4165</v>
      </c>
      <c r="F790" t="s">
        <v>4166</v>
      </c>
      <c r="G790" t="s">
        <v>2164</v>
      </c>
      <c r="H790" t="s">
        <v>320</v>
      </c>
      <c r="I790">
        <v>14304</v>
      </c>
    </row>
    <row r="791" spans="1:9" x14ac:dyDescent="0.3">
      <c r="A791">
        <v>790</v>
      </c>
      <c r="B791" t="s">
        <v>1400</v>
      </c>
      <c r="C791" t="s">
        <v>2624</v>
      </c>
      <c r="D791" t="s">
        <v>6299</v>
      </c>
      <c r="E791" t="s">
        <v>4167</v>
      </c>
      <c r="F791" t="s">
        <v>4168</v>
      </c>
      <c r="G791" t="s">
        <v>1632</v>
      </c>
      <c r="H791" t="s">
        <v>320</v>
      </c>
      <c r="I791">
        <v>11414</v>
      </c>
    </row>
    <row r="792" spans="1:9" x14ac:dyDescent="0.3">
      <c r="A792">
        <v>791</v>
      </c>
      <c r="B792" t="s">
        <v>4169</v>
      </c>
      <c r="C792" t="s">
        <v>4170</v>
      </c>
      <c r="D792" t="s">
        <v>6299</v>
      </c>
      <c r="E792" t="s">
        <v>4171</v>
      </c>
      <c r="F792" t="s">
        <v>4172</v>
      </c>
      <c r="G792" t="s">
        <v>1973</v>
      </c>
      <c r="H792" t="s">
        <v>320</v>
      </c>
      <c r="I792">
        <v>12020</v>
      </c>
    </row>
    <row r="793" spans="1:9" x14ac:dyDescent="0.3">
      <c r="A793">
        <v>792</v>
      </c>
      <c r="B793" t="s">
        <v>4173</v>
      </c>
      <c r="C793" t="s">
        <v>3232</v>
      </c>
      <c r="D793" t="s">
        <v>6299</v>
      </c>
      <c r="E793" t="s">
        <v>4174</v>
      </c>
      <c r="F793" t="s">
        <v>4175</v>
      </c>
      <c r="G793" t="s">
        <v>3786</v>
      </c>
      <c r="H793" t="s">
        <v>320</v>
      </c>
      <c r="I793">
        <v>11704</v>
      </c>
    </row>
    <row r="794" spans="1:9" x14ac:dyDescent="0.3">
      <c r="A794">
        <v>793</v>
      </c>
      <c r="B794" t="s">
        <v>4176</v>
      </c>
      <c r="C794" t="s">
        <v>4177</v>
      </c>
      <c r="D794" t="s">
        <v>6299</v>
      </c>
      <c r="E794" t="s">
        <v>4178</v>
      </c>
      <c r="F794" t="s">
        <v>4179</v>
      </c>
      <c r="G794" t="s">
        <v>1560</v>
      </c>
      <c r="H794" t="s">
        <v>320</v>
      </c>
      <c r="I794">
        <v>11373</v>
      </c>
    </row>
    <row r="795" spans="1:9" x14ac:dyDescent="0.3">
      <c r="A795">
        <v>794</v>
      </c>
      <c r="B795" t="s">
        <v>4180</v>
      </c>
      <c r="C795" t="s">
        <v>4181</v>
      </c>
      <c r="D795" t="s">
        <v>6299</v>
      </c>
      <c r="E795" t="s">
        <v>4182</v>
      </c>
      <c r="F795" t="s">
        <v>4183</v>
      </c>
      <c r="G795" t="s">
        <v>1069</v>
      </c>
      <c r="H795" t="s">
        <v>314</v>
      </c>
      <c r="I795">
        <v>90278</v>
      </c>
    </row>
    <row r="796" spans="1:9" x14ac:dyDescent="0.3">
      <c r="A796">
        <v>795</v>
      </c>
      <c r="B796" t="s">
        <v>4184</v>
      </c>
      <c r="C796" t="s">
        <v>4037</v>
      </c>
      <c r="D796" t="s">
        <v>6299</v>
      </c>
      <c r="E796" t="s">
        <v>4185</v>
      </c>
      <c r="F796" t="s">
        <v>4186</v>
      </c>
      <c r="G796" t="s">
        <v>1485</v>
      </c>
      <c r="H796" t="s">
        <v>320</v>
      </c>
      <c r="I796">
        <v>11010</v>
      </c>
    </row>
    <row r="797" spans="1:9" x14ac:dyDescent="0.3">
      <c r="A797">
        <v>796</v>
      </c>
      <c r="B797" t="s">
        <v>4187</v>
      </c>
      <c r="C797" t="s">
        <v>2667</v>
      </c>
      <c r="D797" t="s">
        <v>6299</v>
      </c>
      <c r="E797" t="s">
        <v>4188</v>
      </c>
      <c r="F797" t="s">
        <v>4189</v>
      </c>
      <c r="G797" t="s">
        <v>1480</v>
      </c>
      <c r="H797" t="s">
        <v>314</v>
      </c>
      <c r="I797">
        <v>91784</v>
      </c>
    </row>
    <row r="798" spans="1:9" x14ac:dyDescent="0.3">
      <c r="A798">
        <v>797</v>
      </c>
      <c r="B798" t="s">
        <v>4190</v>
      </c>
      <c r="C798" t="s">
        <v>4191</v>
      </c>
      <c r="D798" t="s">
        <v>6299</v>
      </c>
      <c r="E798" t="s">
        <v>4192</v>
      </c>
      <c r="F798" t="s">
        <v>4193</v>
      </c>
      <c r="G798" t="s">
        <v>1516</v>
      </c>
      <c r="H798" t="s">
        <v>320</v>
      </c>
      <c r="I798">
        <v>11361</v>
      </c>
    </row>
    <row r="799" spans="1:9" x14ac:dyDescent="0.3">
      <c r="A799">
        <v>798</v>
      </c>
      <c r="B799" t="s">
        <v>4194</v>
      </c>
      <c r="C799" t="s">
        <v>4145</v>
      </c>
      <c r="D799" t="s">
        <v>6299</v>
      </c>
      <c r="E799" t="s">
        <v>4195</v>
      </c>
      <c r="F799" t="s">
        <v>4196</v>
      </c>
      <c r="G799" t="s">
        <v>2200</v>
      </c>
      <c r="H799" t="s">
        <v>320</v>
      </c>
      <c r="I799">
        <v>11762</v>
      </c>
    </row>
    <row r="800" spans="1:9" x14ac:dyDescent="0.3">
      <c r="A800">
        <v>799</v>
      </c>
      <c r="B800" t="s">
        <v>4197</v>
      </c>
      <c r="C800" t="s">
        <v>3871</v>
      </c>
      <c r="D800" t="s">
        <v>6299</v>
      </c>
      <c r="E800" t="s">
        <v>4198</v>
      </c>
      <c r="F800" t="s">
        <v>4199</v>
      </c>
      <c r="G800" t="s">
        <v>1758</v>
      </c>
      <c r="H800" t="s">
        <v>320</v>
      </c>
      <c r="I800">
        <v>11743</v>
      </c>
    </row>
    <row r="801" spans="1:9" x14ac:dyDescent="0.3">
      <c r="A801">
        <v>800</v>
      </c>
      <c r="B801" t="s">
        <v>4200</v>
      </c>
      <c r="C801" t="s">
        <v>3841</v>
      </c>
      <c r="D801" t="s">
        <v>6299</v>
      </c>
      <c r="E801" t="s">
        <v>4201</v>
      </c>
      <c r="F801" t="s">
        <v>4202</v>
      </c>
      <c r="G801" t="s">
        <v>1615</v>
      </c>
      <c r="H801" t="s">
        <v>320</v>
      </c>
      <c r="I801">
        <v>14534</v>
      </c>
    </row>
    <row r="802" spans="1:9" x14ac:dyDescent="0.3">
      <c r="A802">
        <v>801</v>
      </c>
      <c r="B802" t="s">
        <v>4203</v>
      </c>
      <c r="C802" t="s">
        <v>4204</v>
      </c>
      <c r="D802" t="s">
        <v>6299</v>
      </c>
      <c r="E802" t="s">
        <v>4205</v>
      </c>
      <c r="F802" t="s">
        <v>4206</v>
      </c>
      <c r="G802" t="s">
        <v>2280</v>
      </c>
      <c r="H802" t="s">
        <v>320</v>
      </c>
      <c r="I802">
        <v>12533</v>
      </c>
    </row>
    <row r="803" spans="1:9" x14ac:dyDescent="0.3">
      <c r="A803">
        <v>802</v>
      </c>
      <c r="B803" t="s">
        <v>4207</v>
      </c>
      <c r="C803" t="s">
        <v>4208</v>
      </c>
      <c r="D803" t="s">
        <v>6299</v>
      </c>
      <c r="E803" t="s">
        <v>4209</v>
      </c>
      <c r="F803" t="s">
        <v>4210</v>
      </c>
      <c r="G803" t="s">
        <v>1121</v>
      </c>
      <c r="H803" t="s">
        <v>326</v>
      </c>
      <c r="I803">
        <v>75604</v>
      </c>
    </row>
    <row r="804" spans="1:9" x14ac:dyDescent="0.3">
      <c r="A804">
        <v>803</v>
      </c>
      <c r="B804" t="s">
        <v>4211</v>
      </c>
      <c r="C804" t="s">
        <v>2650</v>
      </c>
      <c r="D804" t="s">
        <v>6299</v>
      </c>
      <c r="E804" t="s">
        <v>4212</v>
      </c>
      <c r="F804" t="s">
        <v>4213</v>
      </c>
      <c r="G804" t="s">
        <v>2035</v>
      </c>
      <c r="H804" t="s">
        <v>320</v>
      </c>
      <c r="I804">
        <v>11357</v>
      </c>
    </row>
    <row r="805" spans="1:9" x14ac:dyDescent="0.3">
      <c r="A805">
        <v>804</v>
      </c>
      <c r="B805" t="s">
        <v>4214</v>
      </c>
      <c r="C805" t="s">
        <v>4215</v>
      </c>
      <c r="D805" t="s">
        <v>6299</v>
      </c>
      <c r="E805" t="s">
        <v>4216</v>
      </c>
      <c r="F805" t="s">
        <v>4217</v>
      </c>
      <c r="G805" t="s">
        <v>2619</v>
      </c>
      <c r="H805" t="s">
        <v>320</v>
      </c>
      <c r="I805">
        <v>11580</v>
      </c>
    </row>
    <row r="806" spans="1:9" x14ac:dyDescent="0.3">
      <c r="A806">
        <v>805</v>
      </c>
      <c r="B806" t="s">
        <v>4218</v>
      </c>
      <c r="C806" t="s">
        <v>3129</v>
      </c>
      <c r="D806" t="s">
        <v>6299</v>
      </c>
      <c r="E806" t="s">
        <v>4219</v>
      </c>
      <c r="F806" t="s">
        <v>4220</v>
      </c>
      <c r="G806" t="s">
        <v>3586</v>
      </c>
      <c r="H806" t="s">
        <v>320</v>
      </c>
      <c r="I806">
        <v>12065</v>
      </c>
    </row>
    <row r="807" spans="1:9" x14ac:dyDescent="0.3">
      <c r="A807">
        <v>806</v>
      </c>
      <c r="B807" t="s">
        <v>4221</v>
      </c>
      <c r="C807" t="s">
        <v>2700</v>
      </c>
      <c r="D807" t="s">
        <v>6299</v>
      </c>
      <c r="E807" t="s">
        <v>4222</v>
      </c>
      <c r="F807" t="s">
        <v>4223</v>
      </c>
      <c r="G807" t="s">
        <v>1736</v>
      </c>
      <c r="H807" t="s">
        <v>320</v>
      </c>
      <c r="I807">
        <v>10301</v>
      </c>
    </row>
    <row r="808" spans="1:9" x14ac:dyDescent="0.3">
      <c r="A808">
        <v>807</v>
      </c>
      <c r="B808" t="s">
        <v>4224</v>
      </c>
      <c r="C808" t="s">
        <v>4225</v>
      </c>
      <c r="D808" t="s">
        <v>6299</v>
      </c>
      <c r="E808" t="s">
        <v>4226</v>
      </c>
      <c r="F808" t="s">
        <v>4227</v>
      </c>
      <c r="G808" t="s">
        <v>1786</v>
      </c>
      <c r="H808" t="s">
        <v>320</v>
      </c>
      <c r="I808">
        <v>11795</v>
      </c>
    </row>
    <row r="809" spans="1:9" x14ac:dyDescent="0.3">
      <c r="A809">
        <v>808</v>
      </c>
      <c r="B809" t="s">
        <v>4228</v>
      </c>
      <c r="C809" t="s">
        <v>2864</v>
      </c>
      <c r="D809" t="s">
        <v>6299</v>
      </c>
      <c r="E809" t="s">
        <v>4229</v>
      </c>
      <c r="F809" t="s">
        <v>4230</v>
      </c>
      <c r="G809" t="s">
        <v>325</v>
      </c>
      <c r="H809" t="s">
        <v>326</v>
      </c>
      <c r="I809">
        <v>75088</v>
      </c>
    </row>
    <row r="810" spans="1:9" x14ac:dyDescent="0.3">
      <c r="A810">
        <v>809</v>
      </c>
      <c r="B810" t="s">
        <v>4231</v>
      </c>
      <c r="C810" t="s">
        <v>4232</v>
      </c>
      <c r="D810" t="s">
        <v>6299</v>
      </c>
      <c r="E810" t="s">
        <v>4233</v>
      </c>
      <c r="F810" t="s">
        <v>4234</v>
      </c>
      <c r="G810" t="s">
        <v>2257</v>
      </c>
      <c r="H810" t="s">
        <v>320</v>
      </c>
      <c r="I810">
        <v>11710</v>
      </c>
    </row>
    <row r="811" spans="1:9" x14ac:dyDescent="0.3">
      <c r="A811">
        <v>810</v>
      </c>
      <c r="B811" t="s">
        <v>4235</v>
      </c>
      <c r="C811" t="s">
        <v>4236</v>
      </c>
      <c r="D811" t="s">
        <v>4237</v>
      </c>
      <c r="E811" t="s">
        <v>4238</v>
      </c>
      <c r="F811" t="s">
        <v>4239</v>
      </c>
      <c r="G811" t="s">
        <v>372</v>
      </c>
      <c r="H811" t="s">
        <v>326</v>
      </c>
      <c r="I811">
        <v>77016</v>
      </c>
    </row>
    <row r="812" spans="1:9" x14ac:dyDescent="0.3">
      <c r="A812">
        <v>811</v>
      </c>
      <c r="B812" t="s">
        <v>4240</v>
      </c>
      <c r="C812" t="s">
        <v>1830</v>
      </c>
      <c r="D812" t="s">
        <v>6299</v>
      </c>
      <c r="E812" t="s">
        <v>4241</v>
      </c>
      <c r="F812" t="s">
        <v>4242</v>
      </c>
      <c r="G812" t="s">
        <v>1736</v>
      </c>
      <c r="H812" t="s">
        <v>320</v>
      </c>
      <c r="I812">
        <v>10301</v>
      </c>
    </row>
    <row r="813" spans="1:9" x14ac:dyDescent="0.3">
      <c r="A813">
        <v>812</v>
      </c>
      <c r="B813" t="s">
        <v>4243</v>
      </c>
      <c r="C813" t="s">
        <v>2294</v>
      </c>
      <c r="D813" t="s">
        <v>6299</v>
      </c>
      <c r="E813" t="s">
        <v>4244</v>
      </c>
      <c r="F813" t="s">
        <v>4245</v>
      </c>
      <c r="G813" t="s">
        <v>1555</v>
      </c>
      <c r="H813" t="s">
        <v>320</v>
      </c>
      <c r="I813">
        <v>11421</v>
      </c>
    </row>
    <row r="814" spans="1:9" x14ac:dyDescent="0.3">
      <c r="A814">
        <v>813</v>
      </c>
      <c r="B814" t="s">
        <v>4246</v>
      </c>
      <c r="C814" t="s">
        <v>4247</v>
      </c>
      <c r="D814" t="s">
        <v>6299</v>
      </c>
      <c r="E814" t="s">
        <v>4248</v>
      </c>
      <c r="F814" t="s">
        <v>4249</v>
      </c>
      <c r="G814" t="s">
        <v>1589</v>
      </c>
      <c r="H814" t="s">
        <v>320</v>
      </c>
      <c r="I814">
        <v>11552</v>
      </c>
    </row>
    <row r="815" spans="1:9" x14ac:dyDescent="0.3">
      <c r="A815">
        <v>814</v>
      </c>
      <c r="B815" t="s">
        <v>4250</v>
      </c>
      <c r="C815" t="s">
        <v>2929</v>
      </c>
      <c r="D815" t="s">
        <v>6299</v>
      </c>
      <c r="E815" t="s">
        <v>4251</v>
      </c>
      <c r="F815" t="s">
        <v>4252</v>
      </c>
      <c r="G815" t="s">
        <v>1457</v>
      </c>
      <c r="H815" t="s">
        <v>320</v>
      </c>
      <c r="I815">
        <v>11757</v>
      </c>
    </row>
    <row r="816" spans="1:9" x14ac:dyDescent="0.3">
      <c r="A816">
        <v>815</v>
      </c>
      <c r="B816" t="s">
        <v>4253</v>
      </c>
      <c r="C816" t="s">
        <v>4003</v>
      </c>
      <c r="D816" t="s">
        <v>6299</v>
      </c>
      <c r="E816" t="s">
        <v>4254</v>
      </c>
      <c r="F816" t="s">
        <v>4255</v>
      </c>
      <c r="G816" t="s">
        <v>1939</v>
      </c>
      <c r="H816" t="s">
        <v>320</v>
      </c>
      <c r="I816">
        <v>11801</v>
      </c>
    </row>
    <row r="817" spans="1:9" x14ac:dyDescent="0.3">
      <c r="A817">
        <v>816</v>
      </c>
      <c r="B817" t="s">
        <v>2836</v>
      </c>
      <c r="C817" t="s">
        <v>2515</v>
      </c>
      <c r="D817" t="s">
        <v>6299</v>
      </c>
      <c r="E817" t="s">
        <v>4256</v>
      </c>
      <c r="F817" t="s">
        <v>4257</v>
      </c>
      <c r="G817" t="s">
        <v>2945</v>
      </c>
      <c r="H817" t="s">
        <v>314</v>
      </c>
      <c r="I817">
        <v>92083</v>
      </c>
    </row>
    <row r="818" spans="1:9" x14ac:dyDescent="0.3">
      <c r="A818">
        <v>817</v>
      </c>
      <c r="B818" t="s">
        <v>4258</v>
      </c>
      <c r="C818" t="s">
        <v>1923</v>
      </c>
      <c r="D818" t="s">
        <v>4259</v>
      </c>
      <c r="E818" t="s">
        <v>4260</v>
      </c>
      <c r="F818" t="s">
        <v>4261</v>
      </c>
      <c r="G818" t="s">
        <v>1252</v>
      </c>
      <c r="H818" t="s">
        <v>320</v>
      </c>
      <c r="I818">
        <v>14086</v>
      </c>
    </row>
    <row r="819" spans="1:9" x14ac:dyDescent="0.3">
      <c r="A819">
        <v>818</v>
      </c>
      <c r="B819" t="s">
        <v>4262</v>
      </c>
      <c r="C819" t="s">
        <v>2576</v>
      </c>
      <c r="D819" t="s">
        <v>4263</v>
      </c>
      <c r="E819" t="s">
        <v>4264</v>
      </c>
      <c r="F819" t="s">
        <v>4265</v>
      </c>
      <c r="G819" t="s">
        <v>1491</v>
      </c>
      <c r="H819" t="s">
        <v>314</v>
      </c>
      <c r="I819">
        <v>92111</v>
      </c>
    </row>
    <row r="820" spans="1:9" x14ac:dyDescent="0.3">
      <c r="A820">
        <v>819</v>
      </c>
      <c r="B820" t="s">
        <v>4266</v>
      </c>
      <c r="C820" t="s">
        <v>3228</v>
      </c>
      <c r="D820" t="s">
        <v>6299</v>
      </c>
      <c r="E820" t="s">
        <v>4267</v>
      </c>
      <c r="F820" t="s">
        <v>4268</v>
      </c>
      <c r="G820" t="s">
        <v>3924</v>
      </c>
      <c r="H820" t="s">
        <v>320</v>
      </c>
      <c r="I820">
        <v>13760</v>
      </c>
    </row>
    <row r="821" spans="1:9" x14ac:dyDescent="0.3">
      <c r="A821">
        <v>820</v>
      </c>
      <c r="B821" t="s">
        <v>4269</v>
      </c>
      <c r="C821" t="s">
        <v>1826</v>
      </c>
      <c r="D821" t="s">
        <v>6299</v>
      </c>
      <c r="E821" t="s">
        <v>4270</v>
      </c>
      <c r="F821" t="s">
        <v>4271</v>
      </c>
      <c r="G821" t="s">
        <v>2468</v>
      </c>
      <c r="H821" t="s">
        <v>320</v>
      </c>
      <c r="I821">
        <v>12302</v>
      </c>
    </row>
    <row r="822" spans="1:9" x14ac:dyDescent="0.3">
      <c r="A822">
        <v>821</v>
      </c>
      <c r="B822" t="s">
        <v>4272</v>
      </c>
      <c r="C822" t="s">
        <v>4273</v>
      </c>
      <c r="D822" t="s">
        <v>6299</v>
      </c>
      <c r="E822" t="s">
        <v>4274</v>
      </c>
      <c r="F822" t="s">
        <v>4275</v>
      </c>
      <c r="G822" t="s">
        <v>1246</v>
      </c>
      <c r="H822" t="s">
        <v>320</v>
      </c>
      <c r="I822">
        <v>11102</v>
      </c>
    </row>
    <row r="823" spans="1:9" x14ac:dyDescent="0.3">
      <c r="A823">
        <v>822</v>
      </c>
      <c r="B823" t="s">
        <v>4276</v>
      </c>
      <c r="C823" t="s">
        <v>4277</v>
      </c>
      <c r="D823" t="s">
        <v>6299</v>
      </c>
      <c r="E823" t="s">
        <v>4278</v>
      </c>
      <c r="F823" t="s">
        <v>4279</v>
      </c>
      <c r="G823" t="s">
        <v>1632</v>
      </c>
      <c r="H823" t="s">
        <v>320</v>
      </c>
      <c r="I823">
        <v>11414</v>
      </c>
    </row>
    <row r="824" spans="1:9" x14ac:dyDescent="0.3">
      <c r="A824">
        <v>823</v>
      </c>
      <c r="B824" t="s">
        <v>4280</v>
      </c>
      <c r="C824" t="s">
        <v>2731</v>
      </c>
      <c r="D824" t="s">
        <v>6299</v>
      </c>
      <c r="E824" t="s">
        <v>4281</v>
      </c>
      <c r="F824" t="s">
        <v>4282</v>
      </c>
      <c r="G824" t="s">
        <v>1241</v>
      </c>
      <c r="H824" t="s">
        <v>320</v>
      </c>
      <c r="I824">
        <v>11378</v>
      </c>
    </row>
    <row r="825" spans="1:9" x14ac:dyDescent="0.3">
      <c r="A825">
        <v>824</v>
      </c>
      <c r="B825" t="s">
        <v>4283</v>
      </c>
      <c r="C825" t="s">
        <v>2549</v>
      </c>
      <c r="D825" t="s">
        <v>6299</v>
      </c>
      <c r="E825" t="s">
        <v>4284</v>
      </c>
      <c r="F825" t="s">
        <v>4285</v>
      </c>
      <c r="G825" t="s">
        <v>1900</v>
      </c>
      <c r="H825" t="s">
        <v>320</v>
      </c>
      <c r="I825">
        <v>14580</v>
      </c>
    </row>
    <row r="826" spans="1:9" x14ac:dyDescent="0.3">
      <c r="A826">
        <v>825</v>
      </c>
      <c r="B826" t="s">
        <v>4286</v>
      </c>
      <c r="C826" t="s">
        <v>3609</v>
      </c>
      <c r="D826" t="s">
        <v>6299</v>
      </c>
      <c r="E826" t="s">
        <v>4287</v>
      </c>
      <c r="F826" t="s">
        <v>4288</v>
      </c>
      <c r="G826" t="s">
        <v>1939</v>
      </c>
      <c r="H826" t="s">
        <v>320</v>
      </c>
      <c r="I826">
        <v>11801</v>
      </c>
    </row>
    <row r="827" spans="1:9" x14ac:dyDescent="0.3">
      <c r="A827">
        <v>826</v>
      </c>
      <c r="B827" t="s">
        <v>4289</v>
      </c>
      <c r="C827" t="s">
        <v>4097</v>
      </c>
      <c r="D827" t="s">
        <v>6299</v>
      </c>
      <c r="E827" t="s">
        <v>4290</v>
      </c>
      <c r="F827" t="s">
        <v>4291</v>
      </c>
      <c r="G827" t="s">
        <v>1745</v>
      </c>
      <c r="H827" t="s">
        <v>320</v>
      </c>
      <c r="I827">
        <v>11787</v>
      </c>
    </row>
    <row r="828" spans="1:9" x14ac:dyDescent="0.3">
      <c r="A828">
        <v>827</v>
      </c>
      <c r="B828" t="s">
        <v>4292</v>
      </c>
      <c r="C828" t="s">
        <v>3176</v>
      </c>
      <c r="D828" t="s">
        <v>6299</v>
      </c>
      <c r="E828" t="s">
        <v>4293</v>
      </c>
      <c r="F828" t="s">
        <v>4294</v>
      </c>
      <c r="G828" t="s">
        <v>1192</v>
      </c>
      <c r="H828" t="s">
        <v>320</v>
      </c>
      <c r="I828">
        <v>11104</v>
      </c>
    </row>
    <row r="829" spans="1:9" x14ac:dyDescent="0.3">
      <c r="A829">
        <v>828</v>
      </c>
      <c r="B829" t="s">
        <v>4295</v>
      </c>
      <c r="C829" t="s">
        <v>1901</v>
      </c>
      <c r="D829" t="s">
        <v>6299</v>
      </c>
      <c r="E829" t="s">
        <v>4296</v>
      </c>
      <c r="F829" t="s">
        <v>4297</v>
      </c>
      <c r="G829" t="s">
        <v>2539</v>
      </c>
      <c r="H829" t="s">
        <v>320</v>
      </c>
      <c r="I829">
        <v>10550</v>
      </c>
    </row>
    <row r="830" spans="1:9" x14ac:dyDescent="0.3">
      <c r="A830">
        <v>829</v>
      </c>
      <c r="B830" t="s">
        <v>4298</v>
      </c>
      <c r="C830" t="s">
        <v>4299</v>
      </c>
      <c r="D830" t="s">
        <v>6299</v>
      </c>
      <c r="E830" t="s">
        <v>4300</v>
      </c>
      <c r="F830" t="s">
        <v>4301</v>
      </c>
      <c r="G830" t="s">
        <v>1663</v>
      </c>
      <c r="H830" t="s">
        <v>320</v>
      </c>
      <c r="I830">
        <v>14094</v>
      </c>
    </row>
    <row r="831" spans="1:9" x14ac:dyDescent="0.3">
      <c r="A831">
        <v>830</v>
      </c>
      <c r="B831" t="s">
        <v>4302</v>
      </c>
      <c r="C831" t="s">
        <v>3464</v>
      </c>
      <c r="D831" t="s">
        <v>6299</v>
      </c>
      <c r="E831" t="s">
        <v>4303</v>
      </c>
      <c r="F831" t="s">
        <v>4304</v>
      </c>
      <c r="G831" t="s">
        <v>4162</v>
      </c>
      <c r="H831" t="s">
        <v>326</v>
      </c>
      <c r="I831">
        <v>76522</v>
      </c>
    </row>
    <row r="832" spans="1:9" x14ac:dyDescent="0.3">
      <c r="A832">
        <v>831</v>
      </c>
      <c r="B832" t="s">
        <v>1777</v>
      </c>
      <c r="C832" t="s">
        <v>1284</v>
      </c>
      <c r="D832" t="s">
        <v>6299</v>
      </c>
      <c r="E832" t="s">
        <v>4305</v>
      </c>
      <c r="F832" t="s">
        <v>4306</v>
      </c>
      <c r="G832" t="s">
        <v>1466</v>
      </c>
      <c r="H832" t="s">
        <v>320</v>
      </c>
      <c r="I832">
        <v>13126</v>
      </c>
    </row>
    <row r="833" spans="1:9" x14ac:dyDescent="0.3">
      <c r="A833">
        <v>832</v>
      </c>
      <c r="B833" t="s">
        <v>1330</v>
      </c>
      <c r="C833" t="s">
        <v>3129</v>
      </c>
      <c r="D833" t="s">
        <v>6299</v>
      </c>
      <c r="E833" t="s">
        <v>4307</v>
      </c>
      <c r="F833" t="s">
        <v>4308</v>
      </c>
      <c r="G833" t="s">
        <v>1973</v>
      </c>
      <c r="H833" t="s">
        <v>320</v>
      </c>
      <c r="I833">
        <v>12020</v>
      </c>
    </row>
    <row r="834" spans="1:9" x14ac:dyDescent="0.3">
      <c r="A834">
        <v>833</v>
      </c>
      <c r="B834" t="s">
        <v>4309</v>
      </c>
      <c r="C834" t="s">
        <v>4310</v>
      </c>
      <c r="D834" t="s">
        <v>6299</v>
      </c>
      <c r="E834" t="s">
        <v>4311</v>
      </c>
      <c r="F834" t="s">
        <v>4312</v>
      </c>
      <c r="G834" t="s">
        <v>2035</v>
      </c>
      <c r="H834" t="s">
        <v>320</v>
      </c>
      <c r="I834">
        <v>11357</v>
      </c>
    </row>
    <row r="835" spans="1:9" x14ac:dyDescent="0.3">
      <c r="A835">
        <v>834</v>
      </c>
      <c r="B835" t="s">
        <v>4313</v>
      </c>
      <c r="C835" t="s">
        <v>4314</v>
      </c>
      <c r="D835" t="s">
        <v>6299</v>
      </c>
      <c r="E835" t="s">
        <v>4315</v>
      </c>
      <c r="F835" t="s">
        <v>4316</v>
      </c>
      <c r="G835" t="s">
        <v>1606</v>
      </c>
      <c r="H835" t="s">
        <v>326</v>
      </c>
      <c r="I835">
        <v>76039</v>
      </c>
    </row>
    <row r="836" spans="1:9" x14ac:dyDescent="0.3">
      <c r="A836">
        <v>835</v>
      </c>
      <c r="B836" t="s">
        <v>4317</v>
      </c>
      <c r="C836" t="s">
        <v>4177</v>
      </c>
      <c r="D836" t="s">
        <v>6299</v>
      </c>
      <c r="E836" t="s">
        <v>4318</v>
      </c>
      <c r="F836" t="s">
        <v>4319</v>
      </c>
      <c r="G836" t="s">
        <v>1606</v>
      </c>
      <c r="H836" t="s">
        <v>326</v>
      </c>
      <c r="I836">
        <v>76039</v>
      </c>
    </row>
    <row r="837" spans="1:9" x14ac:dyDescent="0.3">
      <c r="A837">
        <v>836</v>
      </c>
      <c r="B837" t="s">
        <v>4320</v>
      </c>
      <c r="C837" t="s">
        <v>4321</v>
      </c>
      <c r="D837" t="s">
        <v>6299</v>
      </c>
      <c r="E837" t="s">
        <v>4322</v>
      </c>
      <c r="F837" t="s">
        <v>4323</v>
      </c>
      <c r="G837" t="s">
        <v>2656</v>
      </c>
      <c r="H837" t="s">
        <v>320</v>
      </c>
      <c r="I837">
        <v>11422</v>
      </c>
    </row>
    <row r="838" spans="1:9" x14ac:dyDescent="0.3">
      <c r="A838">
        <v>837</v>
      </c>
      <c r="B838" t="s">
        <v>4324</v>
      </c>
      <c r="C838" t="s">
        <v>1064</v>
      </c>
      <c r="D838" t="s">
        <v>6299</v>
      </c>
      <c r="E838" t="s">
        <v>4325</v>
      </c>
      <c r="F838" t="s">
        <v>4326</v>
      </c>
      <c r="G838" t="s">
        <v>1231</v>
      </c>
      <c r="H838" t="s">
        <v>320</v>
      </c>
      <c r="I838">
        <v>13027</v>
      </c>
    </row>
    <row r="839" spans="1:9" x14ac:dyDescent="0.3">
      <c r="A839">
        <v>838</v>
      </c>
      <c r="B839" t="s">
        <v>4327</v>
      </c>
      <c r="C839" t="s">
        <v>4328</v>
      </c>
      <c r="D839" t="s">
        <v>6299</v>
      </c>
      <c r="E839" t="s">
        <v>4329</v>
      </c>
      <c r="F839" t="s">
        <v>4330</v>
      </c>
      <c r="G839" t="s">
        <v>1632</v>
      </c>
      <c r="H839" t="s">
        <v>320</v>
      </c>
      <c r="I839">
        <v>11414</v>
      </c>
    </row>
    <row r="840" spans="1:9" x14ac:dyDescent="0.3">
      <c r="A840">
        <v>839</v>
      </c>
      <c r="B840" t="s">
        <v>4331</v>
      </c>
      <c r="C840" t="s">
        <v>4332</v>
      </c>
      <c r="D840" t="s">
        <v>6299</v>
      </c>
      <c r="E840" t="s">
        <v>4333</v>
      </c>
      <c r="F840" t="s">
        <v>4334</v>
      </c>
      <c r="G840" t="s">
        <v>3222</v>
      </c>
      <c r="H840" t="s">
        <v>320</v>
      </c>
      <c r="I840">
        <v>11542</v>
      </c>
    </row>
    <row r="841" spans="1:9" x14ac:dyDescent="0.3">
      <c r="A841">
        <v>840</v>
      </c>
      <c r="B841" t="s">
        <v>3207</v>
      </c>
      <c r="C841" t="s">
        <v>4335</v>
      </c>
      <c r="D841" t="s">
        <v>6299</v>
      </c>
      <c r="E841" t="s">
        <v>4336</v>
      </c>
      <c r="F841" t="s">
        <v>4337</v>
      </c>
      <c r="G841" t="s">
        <v>1311</v>
      </c>
      <c r="H841" t="s">
        <v>320</v>
      </c>
      <c r="I841">
        <v>11369</v>
      </c>
    </row>
    <row r="842" spans="1:9" x14ac:dyDescent="0.3">
      <c r="A842">
        <v>841</v>
      </c>
      <c r="B842" t="s">
        <v>2142</v>
      </c>
      <c r="C842" t="s">
        <v>4338</v>
      </c>
      <c r="D842" t="s">
        <v>6299</v>
      </c>
      <c r="E842" t="s">
        <v>4339</v>
      </c>
      <c r="F842" t="s">
        <v>4340</v>
      </c>
      <c r="G842" t="s">
        <v>2288</v>
      </c>
      <c r="H842" t="s">
        <v>320</v>
      </c>
      <c r="I842">
        <v>11779</v>
      </c>
    </row>
    <row r="843" spans="1:9" x14ac:dyDescent="0.3">
      <c r="A843">
        <v>842</v>
      </c>
      <c r="B843" t="s">
        <v>4341</v>
      </c>
      <c r="C843" t="s">
        <v>4342</v>
      </c>
      <c r="D843" t="s">
        <v>6299</v>
      </c>
      <c r="E843" t="s">
        <v>4343</v>
      </c>
      <c r="F843" t="s">
        <v>4344</v>
      </c>
      <c r="G843" t="s">
        <v>1353</v>
      </c>
      <c r="H843" t="s">
        <v>326</v>
      </c>
      <c r="I843">
        <v>76901</v>
      </c>
    </row>
    <row r="844" spans="1:9" x14ac:dyDescent="0.3">
      <c r="A844">
        <v>843</v>
      </c>
      <c r="B844" t="s">
        <v>4345</v>
      </c>
      <c r="C844" t="s">
        <v>4346</v>
      </c>
      <c r="D844" t="s">
        <v>6299</v>
      </c>
      <c r="E844" t="s">
        <v>4347</v>
      </c>
      <c r="F844" t="s">
        <v>4348</v>
      </c>
      <c r="G844" t="s">
        <v>1131</v>
      </c>
      <c r="H844" t="s">
        <v>320</v>
      </c>
      <c r="I844">
        <v>12901</v>
      </c>
    </row>
    <row r="845" spans="1:9" x14ac:dyDescent="0.3">
      <c r="A845">
        <v>844</v>
      </c>
      <c r="B845" t="s">
        <v>4349</v>
      </c>
      <c r="C845" t="s">
        <v>2918</v>
      </c>
      <c r="D845" t="s">
        <v>6299</v>
      </c>
      <c r="E845" t="s">
        <v>4350</v>
      </c>
      <c r="F845" t="s">
        <v>4351</v>
      </c>
      <c r="G845" t="s">
        <v>1836</v>
      </c>
      <c r="H845" t="s">
        <v>320</v>
      </c>
      <c r="I845">
        <v>11420</v>
      </c>
    </row>
    <row r="846" spans="1:9" x14ac:dyDescent="0.3">
      <c r="A846">
        <v>845</v>
      </c>
      <c r="B846" t="s">
        <v>4352</v>
      </c>
      <c r="C846" t="s">
        <v>2731</v>
      </c>
      <c r="D846" t="s">
        <v>6299</v>
      </c>
      <c r="E846" t="s">
        <v>4353</v>
      </c>
      <c r="F846" t="s">
        <v>4354</v>
      </c>
      <c r="G846" t="s">
        <v>1334</v>
      </c>
      <c r="H846" t="s">
        <v>320</v>
      </c>
      <c r="I846">
        <v>10451</v>
      </c>
    </row>
    <row r="847" spans="1:9" x14ac:dyDescent="0.3">
      <c r="A847">
        <v>846</v>
      </c>
      <c r="B847" t="s">
        <v>4355</v>
      </c>
      <c r="C847" t="s">
        <v>3887</v>
      </c>
      <c r="D847" t="s">
        <v>6299</v>
      </c>
      <c r="E847" t="s">
        <v>4356</v>
      </c>
      <c r="F847" t="s">
        <v>4357</v>
      </c>
      <c r="G847" t="s">
        <v>1391</v>
      </c>
      <c r="H847" t="s">
        <v>314</v>
      </c>
      <c r="I847">
        <v>95677</v>
      </c>
    </row>
    <row r="848" spans="1:9" x14ac:dyDescent="0.3">
      <c r="A848">
        <v>847</v>
      </c>
      <c r="B848" t="s">
        <v>4358</v>
      </c>
      <c r="C848" t="s">
        <v>4359</v>
      </c>
      <c r="D848" t="s">
        <v>6299</v>
      </c>
      <c r="E848" t="s">
        <v>4360</v>
      </c>
      <c r="F848" t="s">
        <v>4361</v>
      </c>
      <c r="G848" t="s">
        <v>1100</v>
      </c>
      <c r="H848" t="s">
        <v>320</v>
      </c>
      <c r="I848">
        <v>11050</v>
      </c>
    </row>
    <row r="849" spans="1:9" x14ac:dyDescent="0.3">
      <c r="A849">
        <v>848</v>
      </c>
      <c r="B849" t="s">
        <v>4362</v>
      </c>
      <c r="C849" t="s">
        <v>4314</v>
      </c>
      <c r="D849" t="s">
        <v>6299</v>
      </c>
      <c r="E849" t="s">
        <v>4363</v>
      </c>
      <c r="F849" t="s">
        <v>4364</v>
      </c>
      <c r="G849" t="s">
        <v>1560</v>
      </c>
      <c r="H849" t="s">
        <v>320</v>
      </c>
      <c r="I849">
        <v>11373</v>
      </c>
    </row>
    <row r="850" spans="1:9" x14ac:dyDescent="0.3">
      <c r="A850">
        <v>849</v>
      </c>
      <c r="B850" t="s">
        <v>4365</v>
      </c>
      <c r="C850" t="s">
        <v>1634</v>
      </c>
      <c r="D850" t="s">
        <v>6299</v>
      </c>
      <c r="E850" t="s">
        <v>4366</v>
      </c>
      <c r="F850" t="s">
        <v>4367</v>
      </c>
      <c r="G850" t="s">
        <v>1546</v>
      </c>
      <c r="H850" t="s">
        <v>320</v>
      </c>
      <c r="I850">
        <v>11791</v>
      </c>
    </row>
    <row r="851" spans="1:9" x14ac:dyDescent="0.3">
      <c r="A851">
        <v>850</v>
      </c>
      <c r="B851" t="s">
        <v>4368</v>
      </c>
      <c r="C851" t="s">
        <v>1243</v>
      </c>
      <c r="D851" t="s">
        <v>6299</v>
      </c>
      <c r="E851" t="s">
        <v>4369</v>
      </c>
      <c r="F851" t="s">
        <v>4370</v>
      </c>
      <c r="G851" t="s">
        <v>325</v>
      </c>
      <c r="H851" t="s">
        <v>326</v>
      </c>
      <c r="I851">
        <v>75088</v>
      </c>
    </row>
    <row r="852" spans="1:9" x14ac:dyDescent="0.3">
      <c r="A852">
        <v>851</v>
      </c>
      <c r="B852" t="s">
        <v>4371</v>
      </c>
      <c r="C852" t="s">
        <v>2342</v>
      </c>
      <c r="D852" t="s">
        <v>6299</v>
      </c>
      <c r="E852" t="s">
        <v>4372</v>
      </c>
      <c r="F852" t="s">
        <v>4373</v>
      </c>
      <c r="G852" t="s">
        <v>3526</v>
      </c>
      <c r="H852" t="s">
        <v>320</v>
      </c>
      <c r="I852">
        <v>11040</v>
      </c>
    </row>
    <row r="853" spans="1:9" x14ac:dyDescent="0.3">
      <c r="A853">
        <v>852</v>
      </c>
      <c r="B853" t="s">
        <v>4374</v>
      </c>
      <c r="C853" t="s">
        <v>3109</v>
      </c>
      <c r="D853" t="s">
        <v>6299</v>
      </c>
      <c r="E853" t="s">
        <v>4375</v>
      </c>
      <c r="F853" t="s">
        <v>4376</v>
      </c>
      <c r="G853" t="s">
        <v>3037</v>
      </c>
      <c r="H853" t="s">
        <v>320</v>
      </c>
      <c r="I853">
        <v>11520</v>
      </c>
    </row>
    <row r="854" spans="1:9" x14ac:dyDescent="0.3">
      <c r="A854">
        <v>853</v>
      </c>
      <c r="B854" t="s">
        <v>1223</v>
      </c>
      <c r="C854" t="s">
        <v>2633</v>
      </c>
      <c r="D854" t="s">
        <v>6299</v>
      </c>
      <c r="E854" t="s">
        <v>4377</v>
      </c>
      <c r="F854" t="s">
        <v>4378</v>
      </c>
      <c r="G854" t="s">
        <v>2262</v>
      </c>
      <c r="H854" t="s">
        <v>320</v>
      </c>
      <c r="I854">
        <v>12401</v>
      </c>
    </row>
    <row r="855" spans="1:9" x14ac:dyDescent="0.3">
      <c r="A855">
        <v>854</v>
      </c>
      <c r="B855" t="s">
        <v>4379</v>
      </c>
      <c r="C855" t="s">
        <v>4380</v>
      </c>
      <c r="D855" t="s">
        <v>4381</v>
      </c>
      <c r="E855" t="s">
        <v>4382</v>
      </c>
      <c r="F855" t="s">
        <v>4383</v>
      </c>
      <c r="G855" t="s">
        <v>1137</v>
      </c>
      <c r="H855" t="s">
        <v>320</v>
      </c>
      <c r="I855">
        <v>10002</v>
      </c>
    </row>
    <row r="856" spans="1:9" x14ac:dyDescent="0.3">
      <c r="A856">
        <v>855</v>
      </c>
      <c r="B856" t="s">
        <v>4384</v>
      </c>
      <c r="C856" t="s">
        <v>4385</v>
      </c>
      <c r="D856" t="s">
        <v>6299</v>
      </c>
      <c r="E856" t="s">
        <v>4386</v>
      </c>
      <c r="F856" t="s">
        <v>4387</v>
      </c>
      <c r="G856" t="s">
        <v>1480</v>
      </c>
      <c r="H856" t="s">
        <v>314</v>
      </c>
      <c r="I856">
        <v>91784</v>
      </c>
    </row>
    <row r="857" spans="1:9" x14ac:dyDescent="0.3">
      <c r="A857">
        <v>856</v>
      </c>
      <c r="B857" t="s">
        <v>4388</v>
      </c>
      <c r="C857" t="s">
        <v>4389</v>
      </c>
      <c r="D857" t="s">
        <v>6299</v>
      </c>
      <c r="E857" t="s">
        <v>4390</v>
      </c>
      <c r="F857" t="s">
        <v>4391</v>
      </c>
      <c r="G857" t="s">
        <v>2288</v>
      </c>
      <c r="H857" t="s">
        <v>320</v>
      </c>
      <c r="I857">
        <v>11779</v>
      </c>
    </row>
    <row r="858" spans="1:9" x14ac:dyDescent="0.3">
      <c r="A858">
        <v>857</v>
      </c>
      <c r="B858" t="s">
        <v>4392</v>
      </c>
      <c r="C858" t="s">
        <v>4393</v>
      </c>
      <c r="D858" t="s">
        <v>6299</v>
      </c>
      <c r="E858" t="s">
        <v>4394</v>
      </c>
      <c r="F858" t="s">
        <v>4395</v>
      </c>
      <c r="G858" t="s">
        <v>1964</v>
      </c>
      <c r="H858" t="s">
        <v>320</v>
      </c>
      <c r="I858">
        <v>12553</v>
      </c>
    </row>
    <row r="859" spans="1:9" x14ac:dyDescent="0.3">
      <c r="A859">
        <v>858</v>
      </c>
      <c r="B859" t="s">
        <v>1897</v>
      </c>
      <c r="C859" t="s">
        <v>2362</v>
      </c>
      <c r="D859" t="s">
        <v>6299</v>
      </c>
      <c r="E859" t="s">
        <v>4396</v>
      </c>
      <c r="F859" t="s">
        <v>4397</v>
      </c>
      <c r="G859" t="s">
        <v>1372</v>
      </c>
      <c r="H859" t="s">
        <v>320</v>
      </c>
      <c r="I859">
        <v>13440</v>
      </c>
    </row>
    <row r="860" spans="1:9" x14ac:dyDescent="0.3">
      <c r="A860">
        <v>859</v>
      </c>
      <c r="B860" t="s">
        <v>4398</v>
      </c>
      <c r="C860" t="s">
        <v>4399</v>
      </c>
      <c r="D860" t="s">
        <v>6299</v>
      </c>
      <c r="E860" t="s">
        <v>4400</v>
      </c>
      <c r="F860" t="s">
        <v>4401</v>
      </c>
      <c r="G860" t="s">
        <v>1156</v>
      </c>
      <c r="H860" t="s">
        <v>326</v>
      </c>
      <c r="I860">
        <v>77478</v>
      </c>
    </row>
    <row r="861" spans="1:9" x14ac:dyDescent="0.3">
      <c r="A861">
        <v>860</v>
      </c>
      <c r="B861" t="s">
        <v>2653</v>
      </c>
      <c r="C861" t="s">
        <v>4402</v>
      </c>
      <c r="D861" t="s">
        <v>6299</v>
      </c>
      <c r="E861" t="s">
        <v>4403</v>
      </c>
      <c r="F861" t="s">
        <v>4404</v>
      </c>
      <c r="G861" t="s">
        <v>1836</v>
      </c>
      <c r="H861" t="s">
        <v>320</v>
      </c>
      <c r="I861">
        <v>11420</v>
      </c>
    </row>
    <row r="862" spans="1:9" x14ac:dyDescent="0.3">
      <c r="A862">
        <v>861</v>
      </c>
      <c r="B862" t="s">
        <v>4405</v>
      </c>
      <c r="C862" t="s">
        <v>4406</v>
      </c>
      <c r="D862" t="s">
        <v>6299</v>
      </c>
      <c r="E862" t="s">
        <v>4407</v>
      </c>
      <c r="F862" t="s">
        <v>4408</v>
      </c>
      <c r="G862" t="s">
        <v>2280</v>
      </c>
      <c r="H862" t="s">
        <v>320</v>
      </c>
      <c r="I862">
        <v>12533</v>
      </c>
    </row>
    <row r="863" spans="1:9" x14ac:dyDescent="0.3">
      <c r="A863">
        <v>862</v>
      </c>
      <c r="B863" t="s">
        <v>4409</v>
      </c>
      <c r="C863" t="s">
        <v>2330</v>
      </c>
      <c r="D863" t="s">
        <v>6299</v>
      </c>
      <c r="E863" t="s">
        <v>4410</v>
      </c>
      <c r="F863" t="s">
        <v>4411</v>
      </c>
      <c r="G863" t="s">
        <v>3563</v>
      </c>
      <c r="H863" t="s">
        <v>320</v>
      </c>
      <c r="I863">
        <v>11365</v>
      </c>
    </row>
    <row r="864" spans="1:9" x14ac:dyDescent="0.3">
      <c r="A864">
        <v>863</v>
      </c>
      <c r="B864" t="s">
        <v>1695</v>
      </c>
      <c r="C864" t="s">
        <v>1773</v>
      </c>
      <c r="D864" t="s">
        <v>6299</v>
      </c>
      <c r="E864" t="s">
        <v>4412</v>
      </c>
      <c r="F864" t="s">
        <v>4413</v>
      </c>
      <c r="G864" t="s">
        <v>1321</v>
      </c>
      <c r="H864" t="s">
        <v>320</v>
      </c>
      <c r="I864">
        <v>13501</v>
      </c>
    </row>
    <row r="865" spans="1:9" x14ac:dyDescent="0.3">
      <c r="A865">
        <v>864</v>
      </c>
      <c r="B865" t="s">
        <v>4414</v>
      </c>
      <c r="C865" t="s">
        <v>1112</v>
      </c>
      <c r="D865" t="s">
        <v>4415</v>
      </c>
      <c r="E865" t="s">
        <v>4416</v>
      </c>
      <c r="F865" t="s">
        <v>4417</v>
      </c>
      <c r="G865" t="s">
        <v>1091</v>
      </c>
      <c r="H865" t="s">
        <v>320</v>
      </c>
      <c r="I865">
        <v>14215</v>
      </c>
    </row>
    <row r="866" spans="1:9" x14ac:dyDescent="0.3">
      <c r="A866">
        <v>865</v>
      </c>
      <c r="B866" t="s">
        <v>4418</v>
      </c>
      <c r="C866" t="s">
        <v>1446</v>
      </c>
      <c r="D866" t="s">
        <v>6299</v>
      </c>
      <c r="E866" t="s">
        <v>4419</v>
      </c>
      <c r="F866" t="s">
        <v>4420</v>
      </c>
      <c r="G866" t="s">
        <v>1246</v>
      </c>
      <c r="H866" t="s">
        <v>320</v>
      </c>
      <c r="I866">
        <v>11102</v>
      </c>
    </row>
    <row r="867" spans="1:9" x14ac:dyDescent="0.3">
      <c r="A867">
        <v>866</v>
      </c>
      <c r="B867" t="s">
        <v>4421</v>
      </c>
      <c r="C867" t="s">
        <v>333</v>
      </c>
      <c r="D867" t="s">
        <v>6299</v>
      </c>
      <c r="E867" t="s">
        <v>4422</v>
      </c>
      <c r="F867" t="s">
        <v>4423</v>
      </c>
      <c r="G867" t="s">
        <v>1121</v>
      </c>
      <c r="H867" t="s">
        <v>326</v>
      </c>
      <c r="I867">
        <v>75604</v>
      </c>
    </row>
    <row r="868" spans="1:9" x14ac:dyDescent="0.3">
      <c r="A868">
        <v>867</v>
      </c>
      <c r="B868" t="s">
        <v>4424</v>
      </c>
      <c r="C868" t="s">
        <v>2158</v>
      </c>
      <c r="D868" t="s">
        <v>6299</v>
      </c>
      <c r="E868" t="s">
        <v>4425</v>
      </c>
      <c r="F868" t="s">
        <v>4426</v>
      </c>
      <c r="G868" t="s">
        <v>1064</v>
      </c>
      <c r="H868" t="s">
        <v>314</v>
      </c>
      <c r="I868">
        <v>95008</v>
      </c>
    </row>
    <row r="869" spans="1:9" x14ac:dyDescent="0.3">
      <c r="A869">
        <v>868</v>
      </c>
      <c r="B869" t="s">
        <v>4427</v>
      </c>
      <c r="C869" t="s">
        <v>1397</v>
      </c>
      <c r="D869" t="s">
        <v>4428</v>
      </c>
      <c r="E869" t="s">
        <v>4429</v>
      </c>
      <c r="F869" t="s">
        <v>4430</v>
      </c>
      <c r="G869" t="s">
        <v>1575</v>
      </c>
      <c r="H869" t="s">
        <v>314</v>
      </c>
      <c r="I869">
        <v>95127</v>
      </c>
    </row>
    <row r="870" spans="1:9" x14ac:dyDescent="0.3">
      <c r="A870">
        <v>869</v>
      </c>
      <c r="B870" t="s">
        <v>4431</v>
      </c>
      <c r="C870" t="s">
        <v>4432</v>
      </c>
      <c r="D870" t="s">
        <v>6299</v>
      </c>
      <c r="E870" t="s">
        <v>4433</v>
      </c>
      <c r="F870" t="s">
        <v>4434</v>
      </c>
      <c r="G870" t="s">
        <v>1267</v>
      </c>
      <c r="H870" t="s">
        <v>320</v>
      </c>
      <c r="I870">
        <v>11418</v>
      </c>
    </row>
    <row r="871" spans="1:9" x14ac:dyDescent="0.3">
      <c r="A871">
        <v>870</v>
      </c>
      <c r="B871" t="s">
        <v>4435</v>
      </c>
      <c r="C871" t="s">
        <v>4436</v>
      </c>
      <c r="D871" t="s">
        <v>6299</v>
      </c>
      <c r="E871" t="s">
        <v>4437</v>
      </c>
      <c r="F871" t="s">
        <v>4438</v>
      </c>
      <c r="G871" t="s">
        <v>1745</v>
      </c>
      <c r="H871" t="s">
        <v>320</v>
      </c>
      <c r="I871">
        <v>11787</v>
      </c>
    </row>
    <row r="872" spans="1:9" x14ac:dyDescent="0.3">
      <c r="A872">
        <v>871</v>
      </c>
      <c r="B872" t="s">
        <v>1652</v>
      </c>
      <c r="C872" t="s">
        <v>4439</v>
      </c>
      <c r="D872" t="s">
        <v>6299</v>
      </c>
      <c r="E872" t="s">
        <v>4440</v>
      </c>
      <c r="F872" t="s">
        <v>4441</v>
      </c>
      <c r="G872" t="s">
        <v>1964</v>
      </c>
      <c r="H872" t="s">
        <v>320</v>
      </c>
      <c r="I872">
        <v>12553</v>
      </c>
    </row>
    <row r="873" spans="1:9" x14ac:dyDescent="0.3">
      <c r="A873">
        <v>872</v>
      </c>
      <c r="B873" t="s">
        <v>4442</v>
      </c>
      <c r="C873" t="s">
        <v>1711</v>
      </c>
      <c r="D873" t="s">
        <v>4443</v>
      </c>
      <c r="E873" t="s">
        <v>4444</v>
      </c>
      <c r="F873" t="s">
        <v>4445</v>
      </c>
      <c r="G873" t="s">
        <v>1638</v>
      </c>
      <c r="H873" t="s">
        <v>326</v>
      </c>
      <c r="I873">
        <v>78418</v>
      </c>
    </row>
    <row r="874" spans="1:9" x14ac:dyDescent="0.3">
      <c r="A874">
        <v>873</v>
      </c>
      <c r="B874" t="s">
        <v>4446</v>
      </c>
      <c r="C874" t="s">
        <v>4447</v>
      </c>
      <c r="D874" t="s">
        <v>6299</v>
      </c>
      <c r="E874" t="s">
        <v>4448</v>
      </c>
      <c r="F874" t="s">
        <v>4449</v>
      </c>
      <c r="G874" t="s">
        <v>2164</v>
      </c>
      <c r="H874" t="s">
        <v>320</v>
      </c>
      <c r="I874">
        <v>14304</v>
      </c>
    </row>
    <row r="875" spans="1:9" x14ac:dyDescent="0.3">
      <c r="A875">
        <v>874</v>
      </c>
      <c r="B875" t="s">
        <v>4450</v>
      </c>
      <c r="C875" t="s">
        <v>4451</v>
      </c>
      <c r="D875" t="s">
        <v>6299</v>
      </c>
      <c r="E875" t="s">
        <v>4452</v>
      </c>
      <c r="F875" t="s">
        <v>4453</v>
      </c>
      <c r="G875" t="s">
        <v>1131</v>
      </c>
      <c r="H875" t="s">
        <v>320</v>
      </c>
      <c r="I875">
        <v>12901</v>
      </c>
    </row>
    <row r="876" spans="1:9" x14ac:dyDescent="0.3">
      <c r="A876">
        <v>875</v>
      </c>
      <c r="B876" t="s">
        <v>1669</v>
      </c>
      <c r="C876" t="s">
        <v>1498</v>
      </c>
      <c r="D876" t="s">
        <v>6299</v>
      </c>
      <c r="E876" t="s">
        <v>4454</v>
      </c>
      <c r="F876" t="s">
        <v>4455</v>
      </c>
      <c r="G876" t="s">
        <v>2656</v>
      </c>
      <c r="H876" t="s">
        <v>320</v>
      </c>
      <c r="I876">
        <v>11422</v>
      </c>
    </row>
    <row r="877" spans="1:9" x14ac:dyDescent="0.3">
      <c r="A877">
        <v>876</v>
      </c>
      <c r="B877" t="s">
        <v>1273</v>
      </c>
      <c r="C877" t="s">
        <v>4456</v>
      </c>
      <c r="D877" t="s">
        <v>6299</v>
      </c>
      <c r="E877" t="s">
        <v>4457</v>
      </c>
      <c r="F877" t="s">
        <v>4458</v>
      </c>
      <c r="G877" t="s">
        <v>3222</v>
      </c>
      <c r="H877" t="s">
        <v>320</v>
      </c>
      <c r="I877">
        <v>11542</v>
      </c>
    </row>
    <row r="878" spans="1:9" x14ac:dyDescent="0.3">
      <c r="A878">
        <v>877</v>
      </c>
      <c r="B878" t="s">
        <v>4459</v>
      </c>
      <c r="C878" t="s">
        <v>4003</v>
      </c>
      <c r="D878" t="s">
        <v>6299</v>
      </c>
      <c r="E878" t="s">
        <v>4460</v>
      </c>
      <c r="F878" t="s">
        <v>4461</v>
      </c>
      <c r="G878" t="s">
        <v>1632</v>
      </c>
      <c r="H878" t="s">
        <v>320</v>
      </c>
      <c r="I878">
        <v>11414</v>
      </c>
    </row>
    <row r="879" spans="1:9" x14ac:dyDescent="0.3">
      <c r="A879">
        <v>878</v>
      </c>
      <c r="B879" t="s">
        <v>4462</v>
      </c>
      <c r="C879" t="s">
        <v>1379</v>
      </c>
      <c r="D879" t="s">
        <v>6299</v>
      </c>
      <c r="E879" t="s">
        <v>4463</v>
      </c>
      <c r="F879" t="s">
        <v>4464</v>
      </c>
      <c r="G879" t="s">
        <v>1745</v>
      </c>
      <c r="H879" t="s">
        <v>320</v>
      </c>
      <c r="I879">
        <v>11787</v>
      </c>
    </row>
    <row r="880" spans="1:9" x14ac:dyDescent="0.3">
      <c r="A880">
        <v>879</v>
      </c>
      <c r="B880" t="s">
        <v>4465</v>
      </c>
      <c r="C880" t="s">
        <v>4466</v>
      </c>
      <c r="D880" t="s">
        <v>6299</v>
      </c>
      <c r="E880" t="s">
        <v>4467</v>
      </c>
      <c r="F880" t="s">
        <v>4468</v>
      </c>
      <c r="G880" t="s">
        <v>2237</v>
      </c>
      <c r="H880" t="s">
        <v>320</v>
      </c>
      <c r="I880">
        <v>11530</v>
      </c>
    </row>
    <row r="881" spans="1:9" x14ac:dyDescent="0.3">
      <c r="A881">
        <v>880</v>
      </c>
      <c r="B881" t="s">
        <v>4469</v>
      </c>
      <c r="C881" t="s">
        <v>3453</v>
      </c>
      <c r="D881" t="s">
        <v>6299</v>
      </c>
      <c r="E881" t="s">
        <v>4470</v>
      </c>
      <c r="F881" t="s">
        <v>4471</v>
      </c>
      <c r="G881" t="s">
        <v>1192</v>
      </c>
      <c r="H881" t="s">
        <v>320</v>
      </c>
      <c r="I881">
        <v>11104</v>
      </c>
    </row>
    <row r="882" spans="1:9" x14ac:dyDescent="0.3">
      <c r="A882">
        <v>881</v>
      </c>
      <c r="B882" t="s">
        <v>4472</v>
      </c>
      <c r="C882" t="s">
        <v>4473</v>
      </c>
      <c r="D882" t="s">
        <v>6299</v>
      </c>
      <c r="E882" t="s">
        <v>4474</v>
      </c>
      <c r="F882" t="s">
        <v>4475</v>
      </c>
      <c r="G882" t="s">
        <v>3255</v>
      </c>
      <c r="H882" t="s">
        <v>314</v>
      </c>
      <c r="I882">
        <v>90403</v>
      </c>
    </row>
    <row r="883" spans="1:9" x14ac:dyDescent="0.3">
      <c r="A883">
        <v>882</v>
      </c>
      <c r="B883" t="s">
        <v>4476</v>
      </c>
      <c r="C883" t="s">
        <v>3876</v>
      </c>
      <c r="D883" t="s">
        <v>6299</v>
      </c>
      <c r="E883" t="s">
        <v>4477</v>
      </c>
      <c r="F883" t="s">
        <v>4478</v>
      </c>
      <c r="G883" t="s">
        <v>1973</v>
      </c>
      <c r="H883" t="s">
        <v>320</v>
      </c>
      <c r="I883">
        <v>12020</v>
      </c>
    </row>
    <row r="884" spans="1:9" x14ac:dyDescent="0.3">
      <c r="A884">
        <v>883</v>
      </c>
      <c r="B884" t="s">
        <v>4479</v>
      </c>
      <c r="C884" t="s">
        <v>4480</v>
      </c>
      <c r="D884" t="s">
        <v>4481</v>
      </c>
      <c r="E884" t="s">
        <v>4482</v>
      </c>
      <c r="F884" t="s">
        <v>4483</v>
      </c>
      <c r="G884" t="s">
        <v>2180</v>
      </c>
      <c r="H884" t="s">
        <v>326</v>
      </c>
      <c r="I884">
        <v>79930</v>
      </c>
    </row>
    <row r="885" spans="1:9" x14ac:dyDescent="0.3">
      <c r="A885">
        <v>884</v>
      </c>
      <c r="B885" t="s">
        <v>4484</v>
      </c>
      <c r="C885" t="s">
        <v>1144</v>
      </c>
      <c r="D885" t="s">
        <v>6299</v>
      </c>
      <c r="E885" t="s">
        <v>4485</v>
      </c>
      <c r="F885" t="s">
        <v>4486</v>
      </c>
      <c r="G885" t="s">
        <v>1466</v>
      </c>
      <c r="H885" t="s">
        <v>320</v>
      </c>
      <c r="I885">
        <v>13126</v>
      </c>
    </row>
    <row r="886" spans="1:9" x14ac:dyDescent="0.3">
      <c r="A886">
        <v>885</v>
      </c>
      <c r="B886" t="s">
        <v>4487</v>
      </c>
      <c r="C886" t="s">
        <v>2387</v>
      </c>
      <c r="D886" t="s">
        <v>6299</v>
      </c>
      <c r="E886" t="s">
        <v>4488</v>
      </c>
      <c r="F886" t="s">
        <v>4489</v>
      </c>
      <c r="G886" t="s">
        <v>1121</v>
      </c>
      <c r="H886" t="s">
        <v>326</v>
      </c>
      <c r="I886">
        <v>75604</v>
      </c>
    </row>
    <row r="887" spans="1:9" x14ac:dyDescent="0.3">
      <c r="A887">
        <v>886</v>
      </c>
      <c r="B887" t="s">
        <v>4490</v>
      </c>
      <c r="C887" t="s">
        <v>4044</v>
      </c>
      <c r="D887" t="s">
        <v>6299</v>
      </c>
      <c r="E887" t="s">
        <v>4491</v>
      </c>
      <c r="F887" t="s">
        <v>4492</v>
      </c>
      <c r="G887" t="s">
        <v>1413</v>
      </c>
      <c r="H887" t="s">
        <v>320</v>
      </c>
      <c r="I887">
        <v>14120</v>
      </c>
    </row>
    <row r="888" spans="1:9" x14ac:dyDescent="0.3">
      <c r="A888">
        <v>887</v>
      </c>
      <c r="B888" t="s">
        <v>4049</v>
      </c>
      <c r="C888" t="s">
        <v>4493</v>
      </c>
      <c r="D888" t="s">
        <v>6299</v>
      </c>
      <c r="E888" t="s">
        <v>4494</v>
      </c>
      <c r="F888" t="s">
        <v>4495</v>
      </c>
      <c r="G888" t="s">
        <v>1546</v>
      </c>
      <c r="H888" t="s">
        <v>320</v>
      </c>
      <c r="I888">
        <v>11791</v>
      </c>
    </row>
    <row r="889" spans="1:9" x14ac:dyDescent="0.3">
      <c r="A889">
        <v>888</v>
      </c>
      <c r="B889" t="s">
        <v>4496</v>
      </c>
      <c r="C889" t="s">
        <v>4497</v>
      </c>
      <c r="D889" t="s">
        <v>6299</v>
      </c>
      <c r="E889" t="s">
        <v>4498</v>
      </c>
      <c r="F889" t="s">
        <v>4499</v>
      </c>
      <c r="G889" t="s">
        <v>1900</v>
      </c>
      <c r="H889" t="s">
        <v>320</v>
      </c>
      <c r="I889">
        <v>14580</v>
      </c>
    </row>
    <row r="890" spans="1:9" x14ac:dyDescent="0.3">
      <c r="A890">
        <v>889</v>
      </c>
      <c r="B890" t="s">
        <v>4500</v>
      </c>
      <c r="C890" t="s">
        <v>4501</v>
      </c>
      <c r="D890" t="s">
        <v>6299</v>
      </c>
      <c r="E890" t="s">
        <v>4502</v>
      </c>
      <c r="F890" t="s">
        <v>4503</v>
      </c>
      <c r="G890" t="s">
        <v>1348</v>
      </c>
      <c r="H890" t="s">
        <v>314</v>
      </c>
      <c r="I890">
        <v>94070</v>
      </c>
    </row>
    <row r="891" spans="1:9" x14ac:dyDescent="0.3">
      <c r="A891">
        <v>890</v>
      </c>
      <c r="B891" t="s">
        <v>4504</v>
      </c>
      <c r="C891" t="s">
        <v>4292</v>
      </c>
      <c r="D891" t="s">
        <v>6299</v>
      </c>
      <c r="E891" t="s">
        <v>4505</v>
      </c>
      <c r="F891" t="s">
        <v>4506</v>
      </c>
      <c r="G891" t="s">
        <v>1197</v>
      </c>
      <c r="H891" t="s">
        <v>320</v>
      </c>
      <c r="I891">
        <v>10562</v>
      </c>
    </row>
    <row r="892" spans="1:9" x14ac:dyDescent="0.3">
      <c r="A892">
        <v>891</v>
      </c>
      <c r="B892" t="s">
        <v>4507</v>
      </c>
      <c r="C892" t="s">
        <v>4508</v>
      </c>
      <c r="D892" t="s">
        <v>6299</v>
      </c>
      <c r="E892" t="s">
        <v>4509</v>
      </c>
      <c r="F892" t="s">
        <v>4510</v>
      </c>
      <c r="G892" t="s">
        <v>1110</v>
      </c>
      <c r="H892" t="s">
        <v>320</v>
      </c>
      <c r="I892">
        <v>10952</v>
      </c>
    </row>
    <row r="893" spans="1:9" x14ac:dyDescent="0.3">
      <c r="A893">
        <v>892</v>
      </c>
      <c r="B893" t="s">
        <v>3728</v>
      </c>
      <c r="C893" t="s">
        <v>3808</v>
      </c>
      <c r="D893" t="s">
        <v>6299</v>
      </c>
      <c r="E893" t="s">
        <v>4511</v>
      </c>
      <c r="F893" t="s">
        <v>4512</v>
      </c>
      <c r="G893" t="s">
        <v>1197</v>
      </c>
      <c r="H893" t="s">
        <v>320</v>
      </c>
      <c r="I893">
        <v>10562</v>
      </c>
    </row>
    <row r="894" spans="1:9" x14ac:dyDescent="0.3">
      <c r="A894">
        <v>893</v>
      </c>
      <c r="B894" t="s">
        <v>4513</v>
      </c>
      <c r="C894" t="s">
        <v>3605</v>
      </c>
      <c r="D894" t="s">
        <v>6299</v>
      </c>
      <c r="E894" t="s">
        <v>4514</v>
      </c>
      <c r="F894" t="s">
        <v>4515</v>
      </c>
      <c r="G894" t="s">
        <v>2765</v>
      </c>
      <c r="H894" t="s">
        <v>320</v>
      </c>
      <c r="I894">
        <v>14043</v>
      </c>
    </row>
    <row r="895" spans="1:9" x14ac:dyDescent="0.3">
      <c r="A895">
        <v>894</v>
      </c>
      <c r="B895" t="s">
        <v>4516</v>
      </c>
      <c r="C895" t="s">
        <v>4517</v>
      </c>
      <c r="D895" t="s">
        <v>6299</v>
      </c>
      <c r="E895" t="s">
        <v>4518</v>
      </c>
      <c r="F895" t="s">
        <v>4519</v>
      </c>
      <c r="G895" t="s">
        <v>1964</v>
      </c>
      <c r="H895" t="s">
        <v>320</v>
      </c>
      <c r="I895">
        <v>12553</v>
      </c>
    </row>
    <row r="896" spans="1:9" x14ac:dyDescent="0.3">
      <c r="A896">
        <v>895</v>
      </c>
      <c r="B896" t="s">
        <v>4520</v>
      </c>
      <c r="C896" t="s">
        <v>3344</v>
      </c>
      <c r="D896" t="s">
        <v>6299</v>
      </c>
      <c r="E896" t="s">
        <v>4521</v>
      </c>
      <c r="F896" t="s">
        <v>4522</v>
      </c>
      <c r="G896" t="s">
        <v>1767</v>
      </c>
      <c r="H896" t="s">
        <v>320</v>
      </c>
      <c r="I896">
        <v>11803</v>
      </c>
    </row>
    <row r="897" spans="1:9" x14ac:dyDescent="0.3">
      <c r="A897">
        <v>896</v>
      </c>
      <c r="B897" t="s">
        <v>4523</v>
      </c>
      <c r="C897" t="s">
        <v>1415</v>
      </c>
      <c r="D897" t="s">
        <v>4524</v>
      </c>
      <c r="E897" t="s">
        <v>4525</v>
      </c>
      <c r="F897" t="s">
        <v>4526</v>
      </c>
      <c r="G897" t="s">
        <v>3250</v>
      </c>
      <c r="H897" t="s">
        <v>320</v>
      </c>
      <c r="I897">
        <v>10956</v>
      </c>
    </row>
    <row r="898" spans="1:9" x14ac:dyDescent="0.3">
      <c r="A898">
        <v>897</v>
      </c>
      <c r="B898" t="s">
        <v>4527</v>
      </c>
      <c r="C898" t="s">
        <v>3564</v>
      </c>
      <c r="D898" t="s">
        <v>4528</v>
      </c>
      <c r="E898" t="s">
        <v>4529</v>
      </c>
      <c r="F898" t="s">
        <v>4530</v>
      </c>
      <c r="G898" t="s">
        <v>1252</v>
      </c>
      <c r="H898" t="s">
        <v>320</v>
      </c>
      <c r="I898">
        <v>14086</v>
      </c>
    </row>
    <row r="899" spans="1:9" x14ac:dyDescent="0.3">
      <c r="A899">
        <v>898</v>
      </c>
      <c r="B899" t="s">
        <v>4531</v>
      </c>
      <c r="C899" t="s">
        <v>4532</v>
      </c>
      <c r="D899" t="s">
        <v>4533</v>
      </c>
      <c r="E899" t="s">
        <v>4534</v>
      </c>
      <c r="F899" t="s">
        <v>4535</v>
      </c>
      <c r="G899" t="s">
        <v>372</v>
      </c>
      <c r="H899" t="s">
        <v>326</v>
      </c>
      <c r="I899">
        <v>77016</v>
      </c>
    </row>
    <row r="900" spans="1:9" x14ac:dyDescent="0.3">
      <c r="A900">
        <v>899</v>
      </c>
      <c r="B900" t="s">
        <v>4536</v>
      </c>
      <c r="C900" t="s">
        <v>4537</v>
      </c>
      <c r="D900" t="s">
        <v>6299</v>
      </c>
      <c r="E900" t="s">
        <v>4538</v>
      </c>
      <c r="F900" t="s">
        <v>4539</v>
      </c>
      <c r="G900" t="s">
        <v>1161</v>
      </c>
      <c r="H900" t="s">
        <v>326</v>
      </c>
      <c r="I900">
        <v>77904</v>
      </c>
    </row>
    <row r="901" spans="1:9" x14ac:dyDescent="0.3">
      <c r="A901">
        <v>900</v>
      </c>
      <c r="B901" t="s">
        <v>4540</v>
      </c>
      <c r="C901" t="s">
        <v>1706</v>
      </c>
      <c r="D901" t="s">
        <v>6299</v>
      </c>
      <c r="E901" t="s">
        <v>4541</v>
      </c>
      <c r="F901" t="s">
        <v>4542</v>
      </c>
      <c r="G901" t="s">
        <v>1348</v>
      </c>
      <c r="H901" t="s">
        <v>314</v>
      </c>
      <c r="I901">
        <v>94070</v>
      </c>
    </row>
    <row r="902" spans="1:9" x14ac:dyDescent="0.3">
      <c r="A902">
        <v>901</v>
      </c>
      <c r="B902" t="s">
        <v>4543</v>
      </c>
      <c r="C902" t="s">
        <v>4544</v>
      </c>
      <c r="D902" t="s">
        <v>6299</v>
      </c>
      <c r="E902" t="s">
        <v>4545</v>
      </c>
      <c r="F902" t="s">
        <v>4546</v>
      </c>
      <c r="G902" t="s">
        <v>3301</v>
      </c>
      <c r="H902" t="s">
        <v>314</v>
      </c>
      <c r="I902">
        <v>91762</v>
      </c>
    </row>
    <row r="903" spans="1:9" x14ac:dyDescent="0.3">
      <c r="A903">
        <v>902</v>
      </c>
      <c r="B903" t="s">
        <v>4547</v>
      </c>
      <c r="C903" t="s">
        <v>1648</v>
      </c>
      <c r="D903" t="s">
        <v>6299</v>
      </c>
      <c r="E903" t="s">
        <v>4548</v>
      </c>
      <c r="F903" t="s">
        <v>4549</v>
      </c>
      <c r="G903" t="s">
        <v>1466</v>
      </c>
      <c r="H903" t="s">
        <v>320</v>
      </c>
      <c r="I903">
        <v>13126</v>
      </c>
    </row>
    <row r="904" spans="1:9" x14ac:dyDescent="0.3">
      <c r="A904">
        <v>903</v>
      </c>
      <c r="B904" t="s">
        <v>4550</v>
      </c>
      <c r="C904" t="s">
        <v>2298</v>
      </c>
      <c r="D904" t="s">
        <v>6299</v>
      </c>
      <c r="E904" t="s">
        <v>4551</v>
      </c>
      <c r="F904" t="s">
        <v>4552</v>
      </c>
      <c r="G904" t="s">
        <v>1939</v>
      </c>
      <c r="H904" t="s">
        <v>320</v>
      </c>
      <c r="I904">
        <v>11801</v>
      </c>
    </row>
    <row r="905" spans="1:9" x14ac:dyDescent="0.3">
      <c r="A905">
        <v>904</v>
      </c>
      <c r="B905" t="s">
        <v>4553</v>
      </c>
      <c r="C905" t="s">
        <v>3797</v>
      </c>
      <c r="D905" t="s">
        <v>4554</v>
      </c>
      <c r="E905" t="s">
        <v>4555</v>
      </c>
      <c r="F905" t="s">
        <v>4556</v>
      </c>
      <c r="G905" t="s">
        <v>1575</v>
      </c>
      <c r="H905" t="s">
        <v>314</v>
      </c>
      <c r="I905">
        <v>95127</v>
      </c>
    </row>
    <row r="906" spans="1:9" x14ac:dyDescent="0.3">
      <c r="A906">
        <v>905</v>
      </c>
      <c r="B906" t="s">
        <v>4557</v>
      </c>
      <c r="C906" t="s">
        <v>1308</v>
      </c>
      <c r="D906" t="s">
        <v>6299</v>
      </c>
      <c r="E906" t="s">
        <v>4558</v>
      </c>
      <c r="F906" t="s">
        <v>4559</v>
      </c>
      <c r="G906" t="s">
        <v>1231</v>
      </c>
      <c r="H906" t="s">
        <v>320</v>
      </c>
      <c r="I906">
        <v>13027</v>
      </c>
    </row>
    <row r="907" spans="1:9" x14ac:dyDescent="0.3">
      <c r="A907">
        <v>906</v>
      </c>
      <c r="B907" t="s">
        <v>4560</v>
      </c>
      <c r="C907" t="s">
        <v>4561</v>
      </c>
      <c r="D907" t="s">
        <v>6299</v>
      </c>
      <c r="E907" t="s">
        <v>4562</v>
      </c>
      <c r="F907" t="s">
        <v>4563</v>
      </c>
      <c r="G907" t="s">
        <v>1156</v>
      </c>
      <c r="H907" t="s">
        <v>326</v>
      </c>
      <c r="I907">
        <v>77478</v>
      </c>
    </row>
    <row r="908" spans="1:9" x14ac:dyDescent="0.3">
      <c r="A908">
        <v>907</v>
      </c>
      <c r="B908" t="s">
        <v>4564</v>
      </c>
      <c r="C908" t="s">
        <v>4565</v>
      </c>
      <c r="D908" t="s">
        <v>6299</v>
      </c>
      <c r="E908" t="s">
        <v>4566</v>
      </c>
      <c r="F908" t="s">
        <v>4567</v>
      </c>
      <c r="G908" t="s">
        <v>1121</v>
      </c>
      <c r="H908" t="s">
        <v>326</v>
      </c>
      <c r="I908">
        <v>75604</v>
      </c>
    </row>
    <row r="909" spans="1:9" x14ac:dyDescent="0.3">
      <c r="A909">
        <v>908</v>
      </c>
      <c r="B909" t="s">
        <v>4568</v>
      </c>
      <c r="C909" t="s">
        <v>2259</v>
      </c>
      <c r="D909" t="s">
        <v>6299</v>
      </c>
      <c r="E909" t="s">
        <v>4569</v>
      </c>
      <c r="F909" t="s">
        <v>4570</v>
      </c>
      <c r="G909" t="s">
        <v>1663</v>
      </c>
      <c r="H909" t="s">
        <v>320</v>
      </c>
      <c r="I909">
        <v>14094</v>
      </c>
    </row>
    <row r="910" spans="1:9" x14ac:dyDescent="0.3">
      <c r="A910">
        <v>909</v>
      </c>
      <c r="B910" t="s">
        <v>4571</v>
      </c>
      <c r="C910" t="s">
        <v>2202</v>
      </c>
      <c r="D910" t="s">
        <v>6299</v>
      </c>
      <c r="E910" t="s">
        <v>4572</v>
      </c>
      <c r="F910" t="s">
        <v>4573</v>
      </c>
      <c r="G910" t="s">
        <v>1074</v>
      </c>
      <c r="H910" t="s">
        <v>320</v>
      </c>
      <c r="I910">
        <v>11553</v>
      </c>
    </row>
    <row r="911" spans="1:9" x14ac:dyDescent="0.3">
      <c r="A911">
        <v>910</v>
      </c>
      <c r="B911" t="s">
        <v>2023</v>
      </c>
      <c r="C911" t="s">
        <v>1608</v>
      </c>
      <c r="D911" t="s">
        <v>6299</v>
      </c>
      <c r="E911" t="s">
        <v>4574</v>
      </c>
      <c r="F911" t="s">
        <v>4575</v>
      </c>
      <c r="G911" t="s">
        <v>2062</v>
      </c>
      <c r="H911" t="s">
        <v>326</v>
      </c>
      <c r="I911">
        <v>78501</v>
      </c>
    </row>
    <row r="912" spans="1:9" x14ac:dyDescent="0.3">
      <c r="A912">
        <v>911</v>
      </c>
      <c r="B912" t="s">
        <v>4576</v>
      </c>
      <c r="C912" t="s">
        <v>4577</v>
      </c>
      <c r="D912" t="s">
        <v>6299</v>
      </c>
      <c r="E912" t="s">
        <v>4578</v>
      </c>
      <c r="F912" t="s">
        <v>4579</v>
      </c>
      <c r="G912" t="s">
        <v>1615</v>
      </c>
      <c r="H912" t="s">
        <v>320</v>
      </c>
      <c r="I912">
        <v>14534</v>
      </c>
    </row>
    <row r="913" spans="1:9" x14ac:dyDescent="0.3">
      <c r="A913">
        <v>912</v>
      </c>
      <c r="B913" t="s">
        <v>4580</v>
      </c>
      <c r="C913" t="s">
        <v>3344</v>
      </c>
      <c r="D913" t="s">
        <v>6299</v>
      </c>
      <c r="E913" t="s">
        <v>4581</v>
      </c>
      <c r="F913" t="s">
        <v>4582</v>
      </c>
      <c r="G913" t="s">
        <v>2200</v>
      </c>
      <c r="H913" t="s">
        <v>320</v>
      </c>
      <c r="I913">
        <v>11762</v>
      </c>
    </row>
    <row r="914" spans="1:9" x14ac:dyDescent="0.3">
      <c r="A914">
        <v>913</v>
      </c>
      <c r="B914" t="s">
        <v>4583</v>
      </c>
      <c r="C914" t="s">
        <v>4584</v>
      </c>
      <c r="D914" t="s">
        <v>6299</v>
      </c>
      <c r="E914" t="s">
        <v>4585</v>
      </c>
      <c r="F914" t="s">
        <v>4586</v>
      </c>
      <c r="G914" t="s">
        <v>1367</v>
      </c>
      <c r="H914" t="s">
        <v>326</v>
      </c>
      <c r="I914">
        <v>75115</v>
      </c>
    </row>
    <row r="915" spans="1:9" x14ac:dyDescent="0.3">
      <c r="A915">
        <v>914</v>
      </c>
      <c r="B915" t="s">
        <v>2442</v>
      </c>
      <c r="C915" t="s">
        <v>4587</v>
      </c>
      <c r="D915" t="s">
        <v>6299</v>
      </c>
      <c r="E915" t="s">
        <v>4588</v>
      </c>
      <c r="F915" t="s">
        <v>4589</v>
      </c>
      <c r="G915" t="s">
        <v>1343</v>
      </c>
      <c r="H915" t="s">
        <v>320</v>
      </c>
      <c r="I915">
        <v>11570</v>
      </c>
    </row>
    <row r="916" spans="1:9" x14ac:dyDescent="0.3">
      <c r="A916">
        <v>915</v>
      </c>
      <c r="B916" t="s">
        <v>4590</v>
      </c>
      <c r="C916" t="s">
        <v>1278</v>
      </c>
      <c r="D916" t="s">
        <v>4591</v>
      </c>
      <c r="E916" t="s">
        <v>4592</v>
      </c>
      <c r="F916" t="s">
        <v>4593</v>
      </c>
      <c r="G916" t="s">
        <v>1080</v>
      </c>
      <c r="H916" t="s">
        <v>314</v>
      </c>
      <c r="I916">
        <v>95820</v>
      </c>
    </row>
    <row r="917" spans="1:9" x14ac:dyDescent="0.3">
      <c r="A917">
        <v>916</v>
      </c>
      <c r="B917" t="s">
        <v>4594</v>
      </c>
      <c r="C917" t="s">
        <v>2121</v>
      </c>
      <c r="D917" t="s">
        <v>6299</v>
      </c>
      <c r="E917" t="s">
        <v>4595</v>
      </c>
      <c r="F917" t="s">
        <v>4596</v>
      </c>
      <c r="G917" t="s">
        <v>2539</v>
      </c>
      <c r="H917" t="s">
        <v>320</v>
      </c>
      <c r="I917">
        <v>10550</v>
      </c>
    </row>
    <row r="918" spans="1:9" x14ac:dyDescent="0.3">
      <c r="A918">
        <v>917</v>
      </c>
      <c r="B918" t="s">
        <v>4597</v>
      </c>
      <c r="C918" t="s">
        <v>3089</v>
      </c>
      <c r="D918" t="s">
        <v>4598</v>
      </c>
      <c r="E918" t="s">
        <v>4599</v>
      </c>
      <c r="F918" t="s">
        <v>4600</v>
      </c>
      <c r="G918" t="s">
        <v>1502</v>
      </c>
      <c r="H918" t="s">
        <v>320</v>
      </c>
      <c r="I918">
        <v>12180</v>
      </c>
    </row>
    <row r="919" spans="1:9" x14ac:dyDescent="0.3">
      <c r="A919">
        <v>918</v>
      </c>
      <c r="B919" t="s">
        <v>4286</v>
      </c>
      <c r="C919" t="s">
        <v>1473</v>
      </c>
      <c r="D919" t="s">
        <v>6299</v>
      </c>
      <c r="E919" t="s">
        <v>4601</v>
      </c>
      <c r="F919" t="s">
        <v>4602</v>
      </c>
      <c r="G919" t="s">
        <v>1745</v>
      </c>
      <c r="H919" t="s">
        <v>320</v>
      </c>
      <c r="I919">
        <v>11787</v>
      </c>
    </row>
    <row r="920" spans="1:9" x14ac:dyDescent="0.3">
      <c r="A920">
        <v>919</v>
      </c>
      <c r="B920" t="s">
        <v>4603</v>
      </c>
      <c r="C920" t="s">
        <v>4604</v>
      </c>
      <c r="D920" t="s">
        <v>6299</v>
      </c>
      <c r="E920" t="s">
        <v>4605</v>
      </c>
      <c r="F920" t="s">
        <v>4606</v>
      </c>
      <c r="G920" t="s">
        <v>1206</v>
      </c>
      <c r="H920" t="s">
        <v>314</v>
      </c>
      <c r="I920">
        <v>90505</v>
      </c>
    </row>
    <row r="921" spans="1:9" x14ac:dyDescent="0.3">
      <c r="A921">
        <v>920</v>
      </c>
      <c r="B921" t="s">
        <v>3630</v>
      </c>
      <c r="C921" t="s">
        <v>4342</v>
      </c>
      <c r="D921" t="s">
        <v>6299</v>
      </c>
      <c r="E921" t="s">
        <v>4607</v>
      </c>
      <c r="F921" t="s">
        <v>4608</v>
      </c>
      <c r="G921" t="s">
        <v>1413</v>
      </c>
      <c r="H921" t="s">
        <v>320</v>
      </c>
      <c r="I921">
        <v>14120</v>
      </c>
    </row>
    <row r="922" spans="1:9" x14ac:dyDescent="0.3">
      <c r="A922">
        <v>921</v>
      </c>
      <c r="B922" t="s">
        <v>4609</v>
      </c>
      <c r="C922" t="s">
        <v>364</v>
      </c>
      <c r="D922" t="s">
        <v>6299</v>
      </c>
      <c r="E922" t="s">
        <v>4610</v>
      </c>
      <c r="F922" t="s">
        <v>4611</v>
      </c>
      <c r="G922" t="s">
        <v>1900</v>
      </c>
      <c r="H922" t="s">
        <v>320</v>
      </c>
      <c r="I922">
        <v>14580</v>
      </c>
    </row>
    <row r="923" spans="1:9" x14ac:dyDescent="0.3">
      <c r="A923">
        <v>922</v>
      </c>
      <c r="B923" t="s">
        <v>4612</v>
      </c>
      <c r="C923" t="s">
        <v>3558</v>
      </c>
      <c r="D923" t="s">
        <v>6299</v>
      </c>
      <c r="E923" t="s">
        <v>4613</v>
      </c>
      <c r="F923" t="s">
        <v>4614</v>
      </c>
      <c r="G923" t="s">
        <v>1699</v>
      </c>
      <c r="H923" t="s">
        <v>320</v>
      </c>
      <c r="I923">
        <v>11758</v>
      </c>
    </row>
    <row r="924" spans="1:9" x14ac:dyDescent="0.3">
      <c r="A924">
        <v>923</v>
      </c>
      <c r="B924" t="s">
        <v>4615</v>
      </c>
      <c r="C924" t="s">
        <v>1887</v>
      </c>
      <c r="D924" t="s">
        <v>6299</v>
      </c>
      <c r="E924" t="s">
        <v>4616</v>
      </c>
      <c r="F924" t="s">
        <v>4617</v>
      </c>
      <c r="G924" t="s">
        <v>2138</v>
      </c>
      <c r="H924" t="s">
        <v>314</v>
      </c>
      <c r="I924">
        <v>91387</v>
      </c>
    </row>
    <row r="925" spans="1:9" x14ac:dyDescent="0.3">
      <c r="A925">
        <v>924</v>
      </c>
      <c r="B925" t="s">
        <v>3343</v>
      </c>
      <c r="C925" t="s">
        <v>1674</v>
      </c>
      <c r="D925" t="s">
        <v>6299</v>
      </c>
      <c r="E925" t="s">
        <v>4618</v>
      </c>
      <c r="F925" t="s">
        <v>4619</v>
      </c>
      <c r="G925" t="s">
        <v>1964</v>
      </c>
      <c r="H925" t="s">
        <v>320</v>
      </c>
      <c r="I925">
        <v>12553</v>
      </c>
    </row>
    <row r="926" spans="1:9" x14ac:dyDescent="0.3">
      <c r="A926">
        <v>925</v>
      </c>
      <c r="B926" t="s">
        <v>4620</v>
      </c>
      <c r="C926" t="s">
        <v>1105</v>
      </c>
      <c r="D926" t="s">
        <v>6299</v>
      </c>
      <c r="E926" t="s">
        <v>4621</v>
      </c>
      <c r="F926" t="s">
        <v>4622</v>
      </c>
      <c r="G926" t="s">
        <v>2262</v>
      </c>
      <c r="H926" t="s">
        <v>320</v>
      </c>
      <c r="I926">
        <v>12401</v>
      </c>
    </row>
    <row r="927" spans="1:9" x14ac:dyDescent="0.3">
      <c r="A927">
        <v>926</v>
      </c>
      <c r="B927" t="s">
        <v>4623</v>
      </c>
      <c r="C927" t="s">
        <v>4624</v>
      </c>
      <c r="D927" t="s">
        <v>4625</v>
      </c>
      <c r="E927" t="s">
        <v>4626</v>
      </c>
      <c r="F927" t="s">
        <v>4627</v>
      </c>
      <c r="G927" t="s">
        <v>2989</v>
      </c>
      <c r="H927" t="s">
        <v>314</v>
      </c>
      <c r="I927">
        <v>93306</v>
      </c>
    </row>
    <row r="928" spans="1:9" x14ac:dyDescent="0.3">
      <c r="A928">
        <v>927</v>
      </c>
      <c r="B928" t="s">
        <v>4628</v>
      </c>
      <c r="C928" t="s">
        <v>3911</v>
      </c>
      <c r="D928" t="s">
        <v>4629</v>
      </c>
      <c r="E928" t="s">
        <v>4630</v>
      </c>
      <c r="F928" t="s">
        <v>4631</v>
      </c>
      <c r="G928" t="s">
        <v>1137</v>
      </c>
      <c r="H928" t="s">
        <v>320</v>
      </c>
      <c r="I928">
        <v>10002</v>
      </c>
    </row>
    <row r="929" spans="1:9" x14ac:dyDescent="0.3">
      <c r="A929">
        <v>928</v>
      </c>
      <c r="B929" t="s">
        <v>4632</v>
      </c>
      <c r="C929" t="s">
        <v>1928</v>
      </c>
      <c r="D929" t="s">
        <v>6299</v>
      </c>
      <c r="E929" t="s">
        <v>4633</v>
      </c>
      <c r="F929" t="s">
        <v>4634</v>
      </c>
      <c r="G929" t="s">
        <v>3255</v>
      </c>
      <c r="H929" t="s">
        <v>314</v>
      </c>
      <c r="I929">
        <v>90403</v>
      </c>
    </row>
    <row r="930" spans="1:9" x14ac:dyDescent="0.3">
      <c r="A930">
        <v>929</v>
      </c>
      <c r="B930" t="s">
        <v>4635</v>
      </c>
      <c r="C930" t="s">
        <v>4636</v>
      </c>
      <c r="D930" t="s">
        <v>6299</v>
      </c>
      <c r="E930" t="s">
        <v>4637</v>
      </c>
      <c r="F930" t="s">
        <v>4638</v>
      </c>
      <c r="G930" t="s">
        <v>2215</v>
      </c>
      <c r="H930" t="s">
        <v>314</v>
      </c>
      <c r="I930">
        <v>94566</v>
      </c>
    </row>
    <row r="931" spans="1:9" x14ac:dyDescent="0.3">
      <c r="A931">
        <v>930</v>
      </c>
      <c r="B931" t="s">
        <v>2535</v>
      </c>
      <c r="C931" t="s">
        <v>3551</v>
      </c>
      <c r="D931" t="s">
        <v>6299</v>
      </c>
      <c r="E931" t="s">
        <v>4639</v>
      </c>
      <c r="F931" t="s">
        <v>4640</v>
      </c>
      <c r="G931" t="s">
        <v>3586</v>
      </c>
      <c r="H931" t="s">
        <v>320</v>
      </c>
      <c r="I931">
        <v>12065</v>
      </c>
    </row>
    <row r="932" spans="1:9" x14ac:dyDescent="0.3">
      <c r="A932">
        <v>931</v>
      </c>
      <c r="B932" t="s">
        <v>4641</v>
      </c>
      <c r="C932" t="s">
        <v>2318</v>
      </c>
      <c r="D932" t="s">
        <v>6299</v>
      </c>
      <c r="E932" t="s">
        <v>4642</v>
      </c>
      <c r="F932" t="s">
        <v>4643</v>
      </c>
      <c r="G932" t="s">
        <v>1353</v>
      </c>
      <c r="H932" t="s">
        <v>326</v>
      </c>
      <c r="I932">
        <v>76901</v>
      </c>
    </row>
    <row r="933" spans="1:9" x14ac:dyDescent="0.3">
      <c r="A933">
        <v>932</v>
      </c>
      <c r="B933" t="s">
        <v>4644</v>
      </c>
      <c r="C933" t="s">
        <v>1082</v>
      </c>
      <c r="D933" t="s">
        <v>6299</v>
      </c>
      <c r="E933" t="s">
        <v>4645</v>
      </c>
      <c r="F933" t="s">
        <v>4646</v>
      </c>
      <c r="G933" t="s">
        <v>2661</v>
      </c>
      <c r="H933" t="s">
        <v>320</v>
      </c>
      <c r="I933">
        <v>12590</v>
      </c>
    </row>
    <row r="934" spans="1:9" x14ac:dyDescent="0.3">
      <c r="A934">
        <v>933</v>
      </c>
      <c r="B934" t="s">
        <v>4647</v>
      </c>
      <c r="C934" t="s">
        <v>3960</v>
      </c>
      <c r="D934" t="s">
        <v>6299</v>
      </c>
      <c r="E934" t="s">
        <v>4648</v>
      </c>
      <c r="F934" t="s">
        <v>4649</v>
      </c>
      <c r="G934" t="s">
        <v>1632</v>
      </c>
      <c r="H934" t="s">
        <v>320</v>
      </c>
      <c r="I934">
        <v>11414</v>
      </c>
    </row>
    <row r="935" spans="1:9" x14ac:dyDescent="0.3">
      <c r="A935">
        <v>934</v>
      </c>
      <c r="B935" t="s">
        <v>4650</v>
      </c>
      <c r="C935" t="s">
        <v>2465</v>
      </c>
      <c r="D935" t="s">
        <v>6299</v>
      </c>
      <c r="E935" t="s">
        <v>4651</v>
      </c>
      <c r="F935" t="s">
        <v>4652</v>
      </c>
      <c r="G935" t="s">
        <v>1677</v>
      </c>
      <c r="H935" t="s">
        <v>320</v>
      </c>
      <c r="I935">
        <v>14075</v>
      </c>
    </row>
    <row r="936" spans="1:9" x14ac:dyDescent="0.3">
      <c r="A936">
        <v>935</v>
      </c>
      <c r="B936" t="s">
        <v>4653</v>
      </c>
      <c r="C936" t="s">
        <v>3082</v>
      </c>
      <c r="D936" t="s">
        <v>6299</v>
      </c>
      <c r="E936" t="s">
        <v>4654</v>
      </c>
      <c r="F936" t="s">
        <v>4655</v>
      </c>
      <c r="G936" t="s">
        <v>1105</v>
      </c>
      <c r="H936" t="s">
        <v>320</v>
      </c>
      <c r="I936">
        <v>10950</v>
      </c>
    </row>
    <row r="937" spans="1:9" x14ac:dyDescent="0.3">
      <c r="A937">
        <v>936</v>
      </c>
      <c r="B937" t="s">
        <v>4656</v>
      </c>
      <c r="C937" t="s">
        <v>2751</v>
      </c>
      <c r="D937" t="s">
        <v>6299</v>
      </c>
      <c r="E937" t="s">
        <v>4657</v>
      </c>
      <c r="F937" t="s">
        <v>4658</v>
      </c>
      <c r="G937" t="s">
        <v>1197</v>
      </c>
      <c r="H937" t="s">
        <v>320</v>
      </c>
      <c r="I937">
        <v>10562</v>
      </c>
    </row>
    <row r="938" spans="1:9" x14ac:dyDescent="0.3">
      <c r="A938">
        <v>937</v>
      </c>
      <c r="B938" t="s">
        <v>4659</v>
      </c>
      <c r="C938" t="s">
        <v>4393</v>
      </c>
      <c r="D938" t="s">
        <v>6299</v>
      </c>
      <c r="E938" t="s">
        <v>4660</v>
      </c>
      <c r="F938" t="s">
        <v>4661</v>
      </c>
      <c r="G938" t="s">
        <v>1589</v>
      </c>
      <c r="H938" t="s">
        <v>320</v>
      </c>
      <c r="I938">
        <v>11552</v>
      </c>
    </row>
    <row r="939" spans="1:9" x14ac:dyDescent="0.3">
      <c r="A939">
        <v>938</v>
      </c>
      <c r="B939" t="s">
        <v>4662</v>
      </c>
      <c r="C939" t="s">
        <v>4663</v>
      </c>
      <c r="D939" t="s">
        <v>4664</v>
      </c>
      <c r="E939" t="s">
        <v>4665</v>
      </c>
      <c r="F939" t="s">
        <v>4666</v>
      </c>
      <c r="G939" t="s">
        <v>2951</v>
      </c>
      <c r="H939" t="s">
        <v>320</v>
      </c>
      <c r="I939">
        <v>14606</v>
      </c>
    </row>
    <row r="940" spans="1:9" x14ac:dyDescent="0.3">
      <c r="A940">
        <v>939</v>
      </c>
      <c r="B940" t="s">
        <v>4667</v>
      </c>
      <c r="C940" t="s">
        <v>2193</v>
      </c>
      <c r="D940" t="s">
        <v>4668</v>
      </c>
      <c r="E940" t="s">
        <v>4669</v>
      </c>
      <c r="F940" t="s">
        <v>4670</v>
      </c>
      <c r="G940" t="s">
        <v>1638</v>
      </c>
      <c r="H940" t="s">
        <v>326</v>
      </c>
      <c r="I940">
        <v>78418</v>
      </c>
    </row>
    <row r="941" spans="1:9" x14ac:dyDescent="0.3">
      <c r="A941">
        <v>940</v>
      </c>
      <c r="B941" t="s">
        <v>4671</v>
      </c>
      <c r="C941" t="s">
        <v>4672</v>
      </c>
      <c r="D941" t="s">
        <v>6299</v>
      </c>
      <c r="E941" t="s">
        <v>4673</v>
      </c>
      <c r="F941" t="s">
        <v>4674</v>
      </c>
      <c r="G941" t="s">
        <v>1257</v>
      </c>
      <c r="H941" t="s">
        <v>314</v>
      </c>
      <c r="I941">
        <v>91316</v>
      </c>
    </row>
    <row r="942" spans="1:9" x14ac:dyDescent="0.3">
      <c r="A942">
        <v>941</v>
      </c>
      <c r="B942" t="s">
        <v>4675</v>
      </c>
      <c r="C942" t="s">
        <v>3498</v>
      </c>
      <c r="D942" t="s">
        <v>6299</v>
      </c>
      <c r="E942" t="s">
        <v>4676</v>
      </c>
      <c r="F942" t="s">
        <v>4677</v>
      </c>
      <c r="G942" t="s">
        <v>1339</v>
      </c>
      <c r="H942" t="s">
        <v>320</v>
      </c>
      <c r="I942">
        <v>11722</v>
      </c>
    </row>
    <row r="943" spans="1:9" x14ac:dyDescent="0.3">
      <c r="A943">
        <v>942</v>
      </c>
      <c r="B943" t="s">
        <v>4678</v>
      </c>
      <c r="C943" t="s">
        <v>2298</v>
      </c>
      <c r="D943" t="s">
        <v>4679</v>
      </c>
      <c r="E943" t="s">
        <v>4680</v>
      </c>
      <c r="F943" t="s">
        <v>4681</v>
      </c>
      <c r="G943" t="s">
        <v>1252</v>
      </c>
      <c r="H943" t="s">
        <v>320</v>
      </c>
      <c r="I943">
        <v>14086</v>
      </c>
    </row>
    <row r="944" spans="1:9" x14ac:dyDescent="0.3">
      <c r="A944">
        <v>943</v>
      </c>
      <c r="B944" t="s">
        <v>1657</v>
      </c>
      <c r="C944" t="s">
        <v>2504</v>
      </c>
      <c r="D944" t="s">
        <v>6299</v>
      </c>
      <c r="E944" t="s">
        <v>4682</v>
      </c>
      <c r="F944" t="s">
        <v>4683</v>
      </c>
      <c r="G944" t="s">
        <v>1142</v>
      </c>
      <c r="H944" t="s">
        <v>320</v>
      </c>
      <c r="I944">
        <v>10583</v>
      </c>
    </row>
    <row r="945" spans="1:9" x14ac:dyDescent="0.3">
      <c r="A945">
        <v>944</v>
      </c>
      <c r="B945" t="s">
        <v>4684</v>
      </c>
      <c r="C945" t="s">
        <v>3158</v>
      </c>
      <c r="D945" t="s">
        <v>6299</v>
      </c>
      <c r="E945" t="s">
        <v>4685</v>
      </c>
      <c r="F945" t="s">
        <v>4686</v>
      </c>
      <c r="G945" t="s">
        <v>1142</v>
      </c>
      <c r="H945" t="s">
        <v>320</v>
      </c>
      <c r="I945">
        <v>10583</v>
      </c>
    </row>
    <row r="946" spans="1:9" x14ac:dyDescent="0.3">
      <c r="A946">
        <v>945</v>
      </c>
      <c r="B946" t="s">
        <v>4687</v>
      </c>
      <c r="C946" t="s">
        <v>1860</v>
      </c>
      <c r="D946" t="s">
        <v>6299</v>
      </c>
      <c r="E946" t="s">
        <v>4688</v>
      </c>
      <c r="F946" t="s">
        <v>4689</v>
      </c>
      <c r="G946" t="s">
        <v>1100</v>
      </c>
      <c r="H946" t="s">
        <v>320</v>
      </c>
      <c r="I946">
        <v>11050</v>
      </c>
    </row>
    <row r="947" spans="1:9" x14ac:dyDescent="0.3">
      <c r="A947">
        <v>946</v>
      </c>
      <c r="B947" t="s">
        <v>4690</v>
      </c>
      <c r="C947" t="s">
        <v>1424</v>
      </c>
      <c r="D947" t="s">
        <v>6299</v>
      </c>
      <c r="E947" t="s">
        <v>4691</v>
      </c>
      <c r="F947" t="s">
        <v>4692</v>
      </c>
      <c r="G947" t="s">
        <v>1615</v>
      </c>
      <c r="H947" t="s">
        <v>320</v>
      </c>
      <c r="I947">
        <v>14534</v>
      </c>
    </row>
    <row r="948" spans="1:9" x14ac:dyDescent="0.3">
      <c r="A948">
        <v>947</v>
      </c>
      <c r="B948" t="s">
        <v>3245</v>
      </c>
      <c r="C948" t="s">
        <v>3320</v>
      </c>
      <c r="D948" t="s">
        <v>6299</v>
      </c>
      <c r="E948" t="s">
        <v>4693</v>
      </c>
      <c r="F948" t="s">
        <v>4694</v>
      </c>
      <c r="G948" t="s">
        <v>1222</v>
      </c>
      <c r="H948" t="s">
        <v>314</v>
      </c>
      <c r="I948">
        <v>90274</v>
      </c>
    </row>
    <row r="949" spans="1:9" x14ac:dyDescent="0.3">
      <c r="A949">
        <v>948</v>
      </c>
      <c r="B949" t="s">
        <v>4695</v>
      </c>
      <c r="C949" t="s">
        <v>4696</v>
      </c>
      <c r="D949" t="s">
        <v>6299</v>
      </c>
      <c r="E949" t="s">
        <v>4697</v>
      </c>
      <c r="F949" t="s">
        <v>4698</v>
      </c>
      <c r="G949" t="s">
        <v>2328</v>
      </c>
      <c r="H949" t="s">
        <v>320</v>
      </c>
      <c r="I949">
        <v>11756</v>
      </c>
    </row>
    <row r="950" spans="1:9" x14ac:dyDescent="0.3">
      <c r="A950">
        <v>949</v>
      </c>
      <c r="B950" t="s">
        <v>4699</v>
      </c>
      <c r="C950" t="s">
        <v>1194</v>
      </c>
      <c r="D950" t="s">
        <v>6299</v>
      </c>
      <c r="E950" t="s">
        <v>4700</v>
      </c>
      <c r="F950" t="s">
        <v>4701</v>
      </c>
      <c r="G950" t="s">
        <v>1142</v>
      </c>
      <c r="H950" t="s">
        <v>320</v>
      </c>
      <c r="I950">
        <v>10583</v>
      </c>
    </row>
    <row r="951" spans="1:9" x14ac:dyDescent="0.3">
      <c r="A951">
        <v>950</v>
      </c>
      <c r="B951" t="s">
        <v>4702</v>
      </c>
      <c r="C951" t="s">
        <v>4703</v>
      </c>
      <c r="D951" t="s">
        <v>4704</v>
      </c>
      <c r="E951" t="s">
        <v>4705</v>
      </c>
      <c r="F951" t="s">
        <v>4706</v>
      </c>
      <c r="G951" t="s">
        <v>2951</v>
      </c>
      <c r="H951" t="s">
        <v>320</v>
      </c>
      <c r="I951">
        <v>14606</v>
      </c>
    </row>
    <row r="952" spans="1:9" x14ac:dyDescent="0.3">
      <c r="A952">
        <v>951</v>
      </c>
      <c r="B952" t="s">
        <v>4707</v>
      </c>
      <c r="C952" t="s">
        <v>4708</v>
      </c>
      <c r="D952" t="s">
        <v>6299</v>
      </c>
      <c r="E952" t="s">
        <v>4709</v>
      </c>
      <c r="F952" t="s">
        <v>4710</v>
      </c>
      <c r="G952" t="s">
        <v>1142</v>
      </c>
      <c r="H952" t="s">
        <v>320</v>
      </c>
      <c r="I952">
        <v>10583</v>
      </c>
    </row>
    <row r="953" spans="1:9" x14ac:dyDescent="0.3">
      <c r="A953">
        <v>952</v>
      </c>
      <c r="B953" t="s">
        <v>4711</v>
      </c>
      <c r="C953" t="s">
        <v>1742</v>
      </c>
      <c r="D953" t="s">
        <v>6299</v>
      </c>
      <c r="E953" t="s">
        <v>4712</v>
      </c>
      <c r="F953" t="s">
        <v>4713</v>
      </c>
      <c r="G953" t="s">
        <v>1206</v>
      </c>
      <c r="H953" t="s">
        <v>314</v>
      </c>
      <c r="I953">
        <v>90505</v>
      </c>
    </row>
    <row r="954" spans="1:9" x14ac:dyDescent="0.3">
      <c r="A954">
        <v>953</v>
      </c>
      <c r="B954" t="s">
        <v>4714</v>
      </c>
      <c r="C954" t="s">
        <v>4715</v>
      </c>
      <c r="D954" t="s">
        <v>6299</v>
      </c>
      <c r="E954" t="s">
        <v>4716</v>
      </c>
      <c r="F954" t="s">
        <v>4717</v>
      </c>
      <c r="G954" t="s">
        <v>1776</v>
      </c>
      <c r="H954" t="s">
        <v>326</v>
      </c>
      <c r="I954">
        <v>78023</v>
      </c>
    </row>
    <row r="955" spans="1:9" x14ac:dyDescent="0.3">
      <c r="A955">
        <v>954</v>
      </c>
      <c r="B955" t="s">
        <v>4718</v>
      </c>
      <c r="C955" t="s">
        <v>4719</v>
      </c>
      <c r="D955" t="s">
        <v>6299</v>
      </c>
      <c r="E955" t="s">
        <v>4720</v>
      </c>
      <c r="F955" t="s">
        <v>4721</v>
      </c>
      <c r="G955" t="s">
        <v>1939</v>
      </c>
      <c r="H955" t="s">
        <v>320</v>
      </c>
      <c r="I955">
        <v>11801</v>
      </c>
    </row>
    <row r="956" spans="1:9" x14ac:dyDescent="0.3">
      <c r="A956">
        <v>955</v>
      </c>
      <c r="B956" t="s">
        <v>4722</v>
      </c>
      <c r="C956" t="s">
        <v>1804</v>
      </c>
      <c r="D956" t="s">
        <v>6299</v>
      </c>
      <c r="E956" t="s">
        <v>4723</v>
      </c>
      <c r="F956" t="s">
        <v>4724</v>
      </c>
      <c r="G956" t="s">
        <v>3786</v>
      </c>
      <c r="H956" t="s">
        <v>320</v>
      </c>
      <c r="I956">
        <v>11704</v>
      </c>
    </row>
    <row r="957" spans="1:9" x14ac:dyDescent="0.3">
      <c r="A957">
        <v>956</v>
      </c>
      <c r="B957" t="s">
        <v>4725</v>
      </c>
      <c r="C957" t="s">
        <v>4726</v>
      </c>
      <c r="D957" t="s">
        <v>6299</v>
      </c>
      <c r="E957" t="s">
        <v>4727</v>
      </c>
      <c r="F957" t="s">
        <v>4728</v>
      </c>
      <c r="G957" t="s">
        <v>1496</v>
      </c>
      <c r="H957" t="s">
        <v>320</v>
      </c>
      <c r="I957">
        <v>11735</v>
      </c>
    </row>
    <row r="958" spans="1:9" x14ac:dyDescent="0.3">
      <c r="A958">
        <v>957</v>
      </c>
      <c r="B958" t="s">
        <v>4729</v>
      </c>
      <c r="C958" t="s">
        <v>1369</v>
      </c>
      <c r="D958" t="s">
        <v>4730</v>
      </c>
      <c r="E958" t="s">
        <v>4731</v>
      </c>
      <c r="F958" t="s">
        <v>4732</v>
      </c>
      <c r="G958" t="s">
        <v>1581</v>
      </c>
      <c r="H958" t="s">
        <v>314</v>
      </c>
      <c r="I958">
        <v>92806</v>
      </c>
    </row>
    <row r="959" spans="1:9" x14ac:dyDescent="0.3">
      <c r="A959">
        <v>958</v>
      </c>
      <c r="B959" t="s">
        <v>4733</v>
      </c>
      <c r="C959" t="s">
        <v>4393</v>
      </c>
      <c r="D959" t="s">
        <v>6299</v>
      </c>
      <c r="E959" t="s">
        <v>4734</v>
      </c>
      <c r="F959" t="s">
        <v>4735</v>
      </c>
      <c r="G959" t="s">
        <v>1606</v>
      </c>
      <c r="H959" t="s">
        <v>326</v>
      </c>
      <c r="I959">
        <v>76039</v>
      </c>
    </row>
    <row r="960" spans="1:9" x14ac:dyDescent="0.3">
      <c r="A960">
        <v>959</v>
      </c>
      <c r="B960" t="s">
        <v>4736</v>
      </c>
      <c r="C960" t="s">
        <v>1928</v>
      </c>
      <c r="D960" t="s">
        <v>4737</v>
      </c>
      <c r="E960" t="s">
        <v>4738</v>
      </c>
      <c r="F960" t="s">
        <v>4739</v>
      </c>
      <c r="G960" t="s">
        <v>1080</v>
      </c>
      <c r="H960" t="s">
        <v>314</v>
      </c>
      <c r="I960">
        <v>95820</v>
      </c>
    </row>
    <row r="961" spans="1:9" x14ac:dyDescent="0.3">
      <c r="A961">
        <v>960</v>
      </c>
      <c r="B961" t="s">
        <v>4740</v>
      </c>
      <c r="C961" t="s">
        <v>4741</v>
      </c>
      <c r="D961" t="s">
        <v>4742</v>
      </c>
      <c r="E961" t="s">
        <v>4743</v>
      </c>
      <c r="F961" t="s">
        <v>4744</v>
      </c>
      <c r="G961" t="s">
        <v>1116</v>
      </c>
      <c r="H961" t="s">
        <v>320</v>
      </c>
      <c r="I961">
        <v>11550</v>
      </c>
    </row>
    <row r="962" spans="1:9" x14ac:dyDescent="0.3">
      <c r="A962">
        <v>961</v>
      </c>
      <c r="B962" t="s">
        <v>4745</v>
      </c>
      <c r="C962" t="s">
        <v>2751</v>
      </c>
      <c r="D962" t="s">
        <v>6299</v>
      </c>
      <c r="E962" t="s">
        <v>4746</v>
      </c>
      <c r="F962" t="s">
        <v>4747</v>
      </c>
      <c r="G962" t="s">
        <v>2262</v>
      </c>
      <c r="H962" t="s">
        <v>320</v>
      </c>
      <c r="I962">
        <v>12401</v>
      </c>
    </row>
    <row r="963" spans="1:9" x14ac:dyDescent="0.3">
      <c r="A963">
        <v>962</v>
      </c>
      <c r="B963" t="s">
        <v>4748</v>
      </c>
      <c r="C963" t="s">
        <v>4749</v>
      </c>
      <c r="D963" t="s">
        <v>6299</v>
      </c>
      <c r="E963" t="s">
        <v>4750</v>
      </c>
      <c r="F963" t="s">
        <v>4751</v>
      </c>
      <c r="G963" t="s">
        <v>4162</v>
      </c>
      <c r="H963" t="s">
        <v>326</v>
      </c>
      <c r="I963">
        <v>76522</v>
      </c>
    </row>
    <row r="964" spans="1:9" x14ac:dyDescent="0.3">
      <c r="A964">
        <v>963</v>
      </c>
      <c r="B964" t="s">
        <v>4752</v>
      </c>
      <c r="C964" t="s">
        <v>4696</v>
      </c>
      <c r="D964" t="s">
        <v>6299</v>
      </c>
      <c r="E964" t="s">
        <v>4753</v>
      </c>
      <c r="F964" t="s">
        <v>4754</v>
      </c>
      <c r="G964" t="s">
        <v>1372</v>
      </c>
      <c r="H964" t="s">
        <v>320</v>
      </c>
      <c r="I964">
        <v>13440</v>
      </c>
    </row>
    <row r="965" spans="1:9" x14ac:dyDescent="0.3">
      <c r="A965">
        <v>964</v>
      </c>
      <c r="B965" t="s">
        <v>4755</v>
      </c>
      <c r="C965" t="s">
        <v>2477</v>
      </c>
      <c r="D965" t="s">
        <v>4756</v>
      </c>
      <c r="E965" t="s">
        <v>4757</v>
      </c>
      <c r="F965" t="s">
        <v>4758</v>
      </c>
      <c r="G965" t="s">
        <v>1638</v>
      </c>
      <c r="H965" t="s">
        <v>326</v>
      </c>
      <c r="I965">
        <v>78418</v>
      </c>
    </row>
    <row r="966" spans="1:9" x14ac:dyDescent="0.3">
      <c r="A966">
        <v>965</v>
      </c>
      <c r="B966" t="s">
        <v>4759</v>
      </c>
      <c r="C966" t="s">
        <v>1477</v>
      </c>
      <c r="D966" t="s">
        <v>6299</v>
      </c>
      <c r="E966" t="s">
        <v>4760</v>
      </c>
      <c r="F966" t="s">
        <v>4761</v>
      </c>
      <c r="G966" t="s">
        <v>1767</v>
      </c>
      <c r="H966" t="s">
        <v>320</v>
      </c>
      <c r="I966">
        <v>11803</v>
      </c>
    </row>
    <row r="967" spans="1:9" x14ac:dyDescent="0.3">
      <c r="A967">
        <v>966</v>
      </c>
      <c r="B967" t="s">
        <v>4762</v>
      </c>
      <c r="C967" t="s">
        <v>4473</v>
      </c>
      <c r="D967" t="s">
        <v>6299</v>
      </c>
      <c r="E967" t="s">
        <v>4763</v>
      </c>
      <c r="F967" t="s">
        <v>4764</v>
      </c>
      <c r="G967" t="s">
        <v>3222</v>
      </c>
      <c r="H967" t="s">
        <v>320</v>
      </c>
      <c r="I967">
        <v>11542</v>
      </c>
    </row>
    <row r="968" spans="1:9" x14ac:dyDescent="0.3">
      <c r="A968">
        <v>967</v>
      </c>
      <c r="B968" t="s">
        <v>4765</v>
      </c>
      <c r="C968" t="s">
        <v>1933</v>
      </c>
      <c r="D968" t="s">
        <v>6299</v>
      </c>
      <c r="E968" t="s">
        <v>4766</v>
      </c>
      <c r="F968" t="s">
        <v>4767</v>
      </c>
      <c r="G968" t="s">
        <v>1147</v>
      </c>
      <c r="H968" t="s">
        <v>320</v>
      </c>
      <c r="I968">
        <v>14424</v>
      </c>
    </row>
    <row r="969" spans="1:9" x14ac:dyDescent="0.3">
      <c r="A969">
        <v>968</v>
      </c>
      <c r="B969" t="s">
        <v>4768</v>
      </c>
      <c r="C969" t="s">
        <v>4769</v>
      </c>
      <c r="D969" t="s">
        <v>6299</v>
      </c>
      <c r="E969" t="s">
        <v>4770</v>
      </c>
      <c r="F969" t="s">
        <v>4771</v>
      </c>
      <c r="G969" t="s">
        <v>1181</v>
      </c>
      <c r="H969" t="s">
        <v>320</v>
      </c>
      <c r="I969">
        <v>10541</v>
      </c>
    </row>
    <row r="970" spans="1:9" x14ac:dyDescent="0.3">
      <c r="A970">
        <v>969</v>
      </c>
      <c r="B970" t="s">
        <v>4772</v>
      </c>
      <c r="C970" t="s">
        <v>4703</v>
      </c>
      <c r="D970" t="s">
        <v>4773</v>
      </c>
      <c r="E970" t="s">
        <v>4774</v>
      </c>
      <c r="F970" t="s">
        <v>4775</v>
      </c>
      <c r="G970" t="s">
        <v>2951</v>
      </c>
      <c r="H970" t="s">
        <v>320</v>
      </c>
      <c r="I970">
        <v>14606</v>
      </c>
    </row>
    <row r="971" spans="1:9" x14ac:dyDescent="0.3">
      <c r="A971">
        <v>970</v>
      </c>
      <c r="B971" t="s">
        <v>4776</v>
      </c>
      <c r="C971" t="s">
        <v>4777</v>
      </c>
      <c r="D971" t="s">
        <v>6299</v>
      </c>
      <c r="E971" t="s">
        <v>4778</v>
      </c>
      <c r="F971" t="s">
        <v>4779</v>
      </c>
      <c r="G971" t="s">
        <v>1171</v>
      </c>
      <c r="H971" t="s">
        <v>320</v>
      </c>
      <c r="I971">
        <v>11423</v>
      </c>
    </row>
    <row r="972" spans="1:9" x14ac:dyDescent="0.3">
      <c r="A972">
        <v>971</v>
      </c>
      <c r="B972" t="s">
        <v>4780</v>
      </c>
      <c r="C972" t="s">
        <v>4781</v>
      </c>
      <c r="D972" t="s">
        <v>4782</v>
      </c>
      <c r="E972" t="s">
        <v>4783</v>
      </c>
      <c r="F972" t="s">
        <v>4784</v>
      </c>
      <c r="G972" t="s">
        <v>2094</v>
      </c>
      <c r="H972" t="s">
        <v>320</v>
      </c>
      <c r="I972">
        <v>11717</v>
      </c>
    </row>
    <row r="973" spans="1:9" x14ac:dyDescent="0.3">
      <c r="A973">
        <v>972</v>
      </c>
      <c r="B973" t="s">
        <v>1919</v>
      </c>
      <c r="C973" t="s">
        <v>1826</v>
      </c>
      <c r="D973" t="s">
        <v>4785</v>
      </c>
      <c r="E973" t="s">
        <v>4786</v>
      </c>
      <c r="F973" t="s">
        <v>4787</v>
      </c>
      <c r="G973" t="s">
        <v>1187</v>
      </c>
      <c r="H973" t="s">
        <v>320</v>
      </c>
      <c r="I973">
        <v>11561</v>
      </c>
    </row>
    <row r="974" spans="1:9" x14ac:dyDescent="0.3">
      <c r="A974">
        <v>973</v>
      </c>
      <c r="B974" t="s">
        <v>4788</v>
      </c>
      <c r="C974" t="s">
        <v>4447</v>
      </c>
      <c r="D974" t="s">
        <v>6299</v>
      </c>
      <c r="E974" t="s">
        <v>4789</v>
      </c>
      <c r="F974" t="s">
        <v>4790</v>
      </c>
      <c r="G974" t="s">
        <v>2005</v>
      </c>
      <c r="H974" t="s">
        <v>314</v>
      </c>
      <c r="I974">
        <v>93555</v>
      </c>
    </row>
    <row r="975" spans="1:9" x14ac:dyDescent="0.3">
      <c r="A975">
        <v>974</v>
      </c>
      <c r="B975" t="s">
        <v>4791</v>
      </c>
      <c r="C975" t="s">
        <v>4207</v>
      </c>
      <c r="D975" t="s">
        <v>6299</v>
      </c>
      <c r="E975" t="s">
        <v>4792</v>
      </c>
      <c r="F975" t="s">
        <v>4793</v>
      </c>
      <c r="G975" t="s">
        <v>1246</v>
      </c>
      <c r="H975" t="s">
        <v>320</v>
      </c>
      <c r="I975">
        <v>11102</v>
      </c>
    </row>
    <row r="976" spans="1:9" x14ac:dyDescent="0.3">
      <c r="A976">
        <v>975</v>
      </c>
      <c r="B976" t="s">
        <v>4794</v>
      </c>
      <c r="C976" t="s">
        <v>1133</v>
      </c>
      <c r="D976" t="s">
        <v>4795</v>
      </c>
      <c r="E976" t="s">
        <v>4796</v>
      </c>
      <c r="F976" t="s">
        <v>4797</v>
      </c>
      <c r="G976" t="s">
        <v>3444</v>
      </c>
      <c r="H976" t="s">
        <v>314</v>
      </c>
      <c r="I976">
        <v>90008</v>
      </c>
    </row>
    <row r="977" spans="1:9" x14ac:dyDescent="0.3">
      <c r="A977">
        <v>976</v>
      </c>
      <c r="B977" t="s">
        <v>1936</v>
      </c>
      <c r="C977" t="s">
        <v>2974</v>
      </c>
      <c r="D977" t="s">
        <v>6299</v>
      </c>
      <c r="E977" t="s">
        <v>4798</v>
      </c>
      <c r="F977" t="s">
        <v>4799</v>
      </c>
      <c r="G977" t="s">
        <v>1745</v>
      </c>
      <c r="H977" t="s">
        <v>320</v>
      </c>
      <c r="I977">
        <v>11787</v>
      </c>
    </row>
    <row r="978" spans="1:9" x14ac:dyDescent="0.3">
      <c r="A978">
        <v>977</v>
      </c>
      <c r="B978" t="s">
        <v>2253</v>
      </c>
      <c r="C978" t="s">
        <v>4800</v>
      </c>
      <c r="D978" t="s">
        <v>6299</v>
      </c>
      <c r="E978" t="s">
        <v>4801</v>
      </c>
      <c r="F978" t="s">
        <v>4802</v>
      </c>
      <c r="G978" t="s">
        <v>1362</v>
      </c>
      <c r="H978" t="s">
        <v>320</v>
      </c>
      <c r="I978">
        <v>11701</v>
      </c>
    </row>
    <row r="979" spans="1:9" x14ac:dyDescent="0.3">
      <c r="A979">
        <v>978</v>
      </c>
      <c r="B979" t="s">
        <v>1322</v>
      </c>
      <c r="C979" t="s">
        <v>4221</v>
      </c>
      <c r="D979" t="s">
        <v>6299</v>
      </c>
      <c r="E979" t="s">
        <v>4803</v>
      </c>
      <c r="F979" t="s">
        <v>4804</v>
      </c>
      <c r="G979" t="s">
        <v>1334</v>
      </c>
      <c r="H979" t="s">
        <v>320</v>
      </c>
      <c r="I979">
        <v>10451</v>
      </c>
    </row>
    <row r="980" spans="1:9" x14ac:dyDescent="0.3">
      <c r="A980">
        <v>979</v>
      </c>
      <c r="B980" t="s">
        <v>4805</v>
      </c>
      <c r="C980" t="s">
        <v>4359</v>
      </c>
      <c r="D980" t="s">
        <v>6299</v>
      </c>
      <c r="E980" t="s">
        <v>4806</v>
      </c>
      <c r="F980" t="s">
        <v>4807</v>
      </c>
      <c r="G980" t="s">
        <v>2631</v>
      </c>
      <c r="H980" t="s">
        <v>320</v>
      </c>
      <c r="I980">
        <v>14850</v>
      </c>
    </row>
    <row r="981" spans="1:9" x14ac:dyDescent="0.3">
      <c r="A981">
        <v>980</v>
      </c>
      <c r="B981" t="s">
        <v>1269</v>
      </c>
      <c r="C981" t="s">
        <v>1299</v>
      </c>
      <c r="D981" t="s">
        <v>6299</v>
      </c>
      <c r="E981" t="s">
        <v>4808</v>
      </c>
      <c r="F981" t="s">
        <v>4809</v>
      </c>
      <c r="G981" t="s">
        <v>1731</v>
      </c>
      <c r="H981" t="s">
        <v>320</v>
      </c>
      <c r="I981">
        <v>10573</v>
      </c>
    </row>
    <row r="982" spans="1:9" x14ac:dyDescent="0.3">
      <c r="A982">
        <v>981</v>
      </c>
      <c r="B982" t="s">
        <v>4736</v>
      </c>
      <c r="C982" t="s">
        <v>3558</v>
      </c>
      <c r="D982" t="s">
        <v>4810</v>
      </c>
      <c r="E982" t="s">
        <v>4811</v>
      </c>
      <c r="F982" t="s">
        <v>4812</v>
      </c>
      <c r="G982" t="s">
        <v>1187</v>
      </c>
      <c r="H982" t="s">
        <v>320</v>
      </c>
      <c r="I982">
        <v>11561</v>
      </c>
    </row>
    <row r="983" spans="1:9" x14ac:dyDescent="0.3">
      <c r="A983">
        <v>982</v>
      </c>
      <c r="B983" t="s">
        <v>4813</v>
      </c>
      <c r="C983" t="s">
        <v>1355</v>
      </c>
      <c r="D983" t="s">
        <v>6299</v>
      </c>
      <c r="E983" t="s">
        <v>4814</v>
      </c>
      <c r="F983" t="s">
        <v>4815</v>
      </c>
      <c r="G983" t="s">
        <v>1353</v>
      </c>
      <c r="H983" t="s">
        <v>326</v>
      </c>
      <c r="I983">
        <v>76901</v>
      </c>
    </row>
    <row r="984" spans="1:9" x14ac:dyDescent="0.3">
      <c r="A984">
        <v>983</v>
      </c>
      <c r="B984" t="s">
        <v>4816</v>
      </c>
      <c r="C984" t="s">
        <v>3446</v>
      </c>
      <c r="D984" t="s">
        <v>6299</v>
      </c>
      <c r="E984" t="s">
        <v>4817</v>
      </c>
      <c r="F984" t="s">
        <v>4818</v>
      </c>
      <c r="G984" t="s">
        <v>1217</v>
      </c>
      <c r="H984" t="s">
        <v>314</v>
      </c>
      <c r="I984">
        <v>92831</v>
      </c>
    </row>
    <row r="985" spans="1:9" x14ac:dyDescent="0.3">
      <c r="A985">
        <v>984</v>
      </c>
      <c r="B985" t="s">
        <v>4819</v>
      </c>
      <c r="C985" t="s">
        <v>4820</v>
      </c>
      <c r="D985" t="s">
        <v>6299</v>
      </c>
      <c r="E985" t="s">
        <v>4821</v>
      </c>
      <c r="F985" t="s">
        <v>4822</v>
      </c>
      <c r="G985" t="s">
        <v>1485</v>
      </c>
      <c r="H985" t="s">
        <v>320</v>
      </c>
      <c r="I985">
        <v>11010</v>
      </c>
    </row>
    <row r="986" spans="1:9" x14ac:dyDescent="0.3">
      <c r="A986">
        <v>985</v>
      </c>
      <c r="B986" t="s">
        <v>4823</v>
      </c>
      <c r="C986" t="s">
        <v>3056</v>
      </c>
      <c r="D986" t="s">
        <v>6299</v>
      </c>
      <c r="E986" t="s">
        <v>4824</v>
      </c>
      <c r="F986" t="s">
        <v>4825</v>
      </c>
      <c r="G986" t="s">
        <v>2821</v>
      </c>
      <c r="H986" t="s">
        <v>326</v>
      </c>
      <c r="I986">
        <v>78552</v>
      </c>
    </row>
    <row r="987" spans="1:9" x14ac:dyDescent="0.3">
      <c r="A987">
        <v>986</v>
      </c>
      <c r="B987" t="s">
        <v>4826</v>
      </c>
      <c r="C987" t="s">
        <v>1599</v>
      </c>
      <c r="D987" t="s">
        <v>6299</v>
      </c>
      <c r="E987" t="s">
        <v>4827</v>
      </c>
      <c r="F987" t="s">
        <v>4828</v>
      </c>
      <c r="G987" t="s">
        <v>1197</v>
      </c>
      <c r="H987" t="s">
        <v>320</v>
      </c>
      <c r="I987">
        <v>10562</v>
      </c>
    </row>
    <row r="988" spans="1:9" x14ac:dyDescent="0.3">
      <c r="A988">
        <v>987</v>
      </c>
      <c r="B988" t="s">
        <v>4829</v>
      </c>
      <c r="C988" t="s">
        <v>4830</v>
      </c>
      <c r="D988" t="s">
        <v>6299</v>
      </c>
      <c r="E988" t="s">
        <v>4831</v>
      </c>
      <c r="F988" t="s">
        <v>4832</v>
      </c>
      <c r="G988" t="s">
        <v>1736</v>
      </c>
      <c r="H988" t="s">
        <v>320</v>
      </c>
      <c r="I988">
        <v>10301</v>
      </c>
    </row>
    <row r="989" spans="1:9" x14ac:dyDescent="0.3">
      <c r="A989">
        <v>988</v>
      </c>
      <c r="B989" t="s">
        <v>4833</v>
      </c>
      <c r="C989" t="s">
        <v>1966</v>
      </c>
      <c r="D989" t="s">
        <v>6299</v>
      </c>
      <c r="E989" t="s">
        <v>4834</v>
      </c>
      <c r="F989" t="s">
        <v>4835</v>
      </c>
      <c r="G989" t="s">
        <v>1546</v>
      </c>
      <c r="H989" t="s">
        <v>320</v>
      </c>
      <c r="I989">
        <v>11791</v>
      </c>
    </row>
    <row r="990" spans="1:9" x14ac:dyDescent="0.3">
      <c r="A990">
        <v>989</v>
      </c>
      <c r="B990" t="s">
        <v>4836</v>
      </c>
      <c r="C990" t="s">
        <v>1715</v>
      </c>
      <c r="D990" t="s">
        <v>6299</v>
      </c>
      <c r="E990" t="s">
        <v>4837</v>
      </c>
      <c r="F990" t="s">
        <v>4838</v>
      </c>
      <c r="G990" t="s">
        <v>1836</v>
      </c>
      <c r="H990" t="s">
        <v>320</v>
      </c>
      <c r="I990">
        <v>11420</v>
      </c>
    </row>
    <row r="991" spans="1:9" x14ac:dyDescent="0.3">
      <c r="A991">
        <v>990</v>
      </c>
      <c r="B991" t="s">
        <v>4839</v>
      </c>
      <c r="C991" t="s">
        <v>4840</v>
      </c>
      <c r="D991" t="s">
        <v>6299</v>
      </c>
      <c r="E991" t="s">
        <v>4841</v>
      </c>
      <c r="F991" t="s">
        <v>4842</v>
      </c>
      <c r="G991" t="s">
        <v>1105</v>
      </c>
      <c r="H991" t="s">
        <v>320</v>
      </c>
      <c r="I991">
        <v>10950</v>
      </c>
    </row>
    <row r="992" spans="1:9" x14ac:dyDescent="0.3">
      <c r="A992">
        <v>991</v>
      </c>
      <c r="B992" t="s">
        <v>4843</v>
      </c>
      <c r="C992" t="s">
        <v>1816</v>
      </c>
      <c r="D992" t="s">
        <v>6299</v>
      </c>
      <c r="E992" t="s">
        <v>4844</v>
      </c>
      <c r="F992" t="s">
        <v>4845</v>
      </c>
      <c r="G992" t="s">
        <v>2138</v>
      </c>
      <c r="H992" t="s">
        <v>314</v>
      </c>
      <c r="I992">
        <v>91387</v>
      </c>
    </row>
    <row r="993" spans="1:9" x14ac:dyDescent="0.3">
      <c r="A993">
        <v>992</v>
      </c>
      <c r="B993" t="s">
        <v>2459</v>
      </c>
      <c r="C993" t="s">
        <v>4846</v>
      </c>
      <c r="D993" t="s">
        <v>6299</v>
      </c>
      <c r="E993" t="s">
        <v>4847</v>
      </c>
      <c r="F993" t="s">
        <v>4848</v>
      </c>
      <c r="G993" t="s">
        <v>2071</v>
      </c>
      <c r="H993" t="s">
        <v>320</v>
      </c>
      <c r="I993">
        <v>11772</v>
      </c>
    </row>
    <row r="994" spans="1:9" x14ac:dyDescent="0.3">
      <c r="A994">
        <v>993</v>
      </c>
      <c r="B994" t="s">
        <v>4849</v>
      </c>
      <c r="C994" t="s">
        <v>3154</v>
      </c>
      <c r="D994" t="s">
        <v>6299</v>
      </c>
      <c r="E994" t="s">
        <v>4850</v>
      </c>
      <c r="F994" t="s">
        <v>4851</v>
      </c>
      <c r="G994" t="s">
        <v>2005</v>
      </c>
      <c r="H994" t="s">
        <v>314</v>
      </c>
      <c r="I994">
        <v>93555</v>
      </c>
    </row>
    <row r="995" spans="1:9" x14ac:dyDescent="0.3">
      <c r="A995">
        <v>994</v>
      </c>
      <c r="B995" t="s">
        <v>4852</v>
      </c>
      <c r="C995" t="s">
        <v>1183</v>
      </c>
      <c r="D995" t="s">
        <v>6299</v>
      </c>
      <c r="E995" t="s">
        <v>4853</v>
      </c>
      <c r="F995" t="s">
        <v>4854</v>
      </c>
      <c r="G995" t="s">
        <v>3570</v>
      </c>
      <c r="H995" t="s">
        <v>320</v>
      </c>
      <c r="I995">
        <v>10598</v>
      </c>
    </row>
    <row r="996" spans="1:9" x14ac:dyDescent="0.3">
      <c r="A996">
        <v>995</v>
      </c>
      <c r="B996" t="s">
        <v>4855</v>
      </c>
      <c r="C996" t="s">
        <v>4030</v>
      </c>
      <c r="D996" t="s">
        <v>6299</v>
      </c>
      <c r="E996" t="s">
        <v>4856</v>
      </c>
      <c r="F996" t="s">
        <v>4857</v>
      </c>
      <c r="G996" t="s">
        <v>1147</v>
      </c>
      <c r="H996" t="s">
        <v>320</v>
      </c>
      <c r="I996">
        <v>14424</v>
      </c>
    </row>
    <row r="997" spans="1:9" x14ac:dyDescent="0.3">
      <c r="A997">
        <v>996</v>
      </c>
      <c r="B997" t="s">
        <v>4858</v>
      </c>
      <c r="C997" t="s">
        <v>2739</v>
      </c>
      <c r="D997" t="s">
        <v>6299</v>
      </c>
      <c r="E997" t="s">
        <v>4859</v>
      </c>
      <c r="F997" t="s">
        <v>4860</v>
      </c>
      <c r="G997" t="s">
        <v>2784</v>
      </c>
      <c r="H997" t="s">
        <v>320</v>
      </c>
      <c r="I997">
        <v>11967</v>
      </c>
    </row>
    <row r="998" spans="1:9" x14ac:dyDescent="0.3">
      <c r="A998">
        <v>997</v>
      </c>
      <c r="B998" t="s">
        <v>4861</v>
      </c>
      <c r="C998" t="s">
        <v>4247</v>
      </c>
      <c r="D998" t="s">
        <v>6299</v>
      </c>
      <c r="E998" t="s">
        <v>4862</v>
      </c>
      <c r="F998" t="s">
        <v>4863</v>
      </c>
      <c r="G998" t="s">
        <v>319</v>
      </c>
      <c r="H998" t="s">
        <v>320</v>
      </c>
      <c r="I998">
        <v>11510</v>
      </c>
    </row>
    <row r="999" spans="1:9" x14ac:dyDescent="0.3">
      <c r="A999">
        <v>998</v>
      </c>
      <c r="B999" t="s">
        <v>4864</v>
      </c>
      <c r="C999" t="s">
        <v>2268</v>
      </c>
      <c r="D999" t="s">
        <v>6299</v>
      </c>
      <c r="E999" t="s">
        <v>4865</v>
      </c>
      <c r="F999" t="s">
        <v>4866</v>
      </c>
      <c r="G999" t="s">
        <v>3697</v>
      </c>
      <c r="H999" t="s">
        <v>320</v>
      </c>
      <c r="I999">
        <v>14701</v>
      </c>
    </row>
    <row r="1000" spans="1:9" x14ac:dyDescent="0.3">
      <c r="A1000">
        <v>999</v>
      </c>
      <c r="B1000" t="s">
        <v>4867</v>
      </c>
      <c r="C1000" t="s">
        <v>1274</v>
      </c>
      <c r="D1000" t="s">
        <v>6299</v>
      </c>
      <c r="E1000" t="s">
        <v>4868</v>
      </c>
      <c r="F1000" t="s">
        <v>4869</v>
      </c>
      <c r="G1000" t="s">
        <v>1973</v>
      </c>
      <c r="H1000" t="s">
        <v>320</v>
      </c>
      <c r="I1000">
        <v>12020</v>
      </c>
    </row>
    <row r="1001" spans="1:9" x14ac:dyDescent="0.3">
      <c r="A1001">
        <v>1000</v>
      </c>
      <c r="B1001" t="s">
        <v>4870</v>
      </c>
      <c r="C1001" t="s">
        <v>3512</v>
      </c>
      <c r="D1001" t="s">
        <v>6299</v>
      </c>
      <c r="E1001" t="s">
        <v>4871</v>
      </c>
      <c r="F1001" t="s">
        <v>4872</v>
      </c>
      <c r="G1001" t="s">
        <v>3786</v>
      </c>
      <c r="H1001" t="s">
        <v>320</v>
      </c>
      <c r="I1001">
        <v>11704</v>
      </c>
    </row>
    <row r="1002" spans="1:9" x14ac:dyDescent="0.3">
      <c r="A1002">
        <v>1001</v>
      </c>
      <c r="B1002" t="s">
        <v>1902</v>
      </c>
      <c r="C1002" t="s">
        <v>2658</v>
      </c>
      <c r="D1002" t="s">
        <v>4873</v>
      </c>
      <c r="E1002" t="s">
        <v>4874</v>
      </c>
      <c r="F1002" t="s">
        <v>4875</v>
      </c>
      <c r="G1002" t="s">
        <v>2094</v>
      </c>
      <c r="H1002" t="s">
        <v>320</v>
      </c>
      <c r="I1002">
        <v>11717</v>
      </c>
    </row>
    <row r="1003" spans="1:9" x14ac:dyDescent="0.3">
      <c r="A1003">
        <v>1002</v>
      </c>
      <c r="B1003" t="s">
        <v>4876</v>
      </c>
      <c r="C1003" t="s">
        <v>4877</v>
      </c>
      <c r="D1003" t="s">
        <v>6299</v>
      </c>
      <c r="E1003" t="s">
        <v>4878</v>
      </c>
      <c r="F1003" t="s">
        <v>4879</v>
      </c>
      <c r="G1003" t="s">
        <v>1699</v>
      </c>
      <c r="H1003" t="s">
        <v>320</v>
      </c>
      <c r="I1003">
        <v>11758</v>
      </c>
    </row>
    <row r="1004" spans="1:9" x14ac:dyDescent="0.3">
      <c r="A1004">
        <v>1003</v>
      </c>
      <c r="B1004" t="s">
        <v>4880</v>
      </c>
      <c r="C1004" t="s">
        <v>2027</v>
      </c>
      <c r="D1004" t="s">
        <v>6299</v>
      </c>
      <c r="E1004" t="s">
        <v>4881</v>
      </c>
      <c r="F1004" t="s">
        <v>4882</v>
      </c>
      <c r="G1004" t="s">
        <v>2945</v>
      </c>
      <c r="H1004" t="s">
        <v>314</v>
      </c>
      <c r="I1004">
        <v>92083</v>
      </c>
    </row>
    <row r="1005" spans="1:9" x14ac:dyDescent="0.3">
      <c r="A1005">
        <v>1004</v>
      </c>
      <c r="B1005" t="s">
        <v>4883</v>
      </c>
      <c r="C1005" t="s">
        <v>4024</v>
      </c>
      <c r="D1005" t="s">
        <v>6299</v>
      </c>
      <c r="E1005" t="s">
        <v>4884</v>
      </c>
      <c r="F1005" t="s">
        <v>4885</v>
      </c>
      <c r="G1005" t="s">
        <v>1311</v>
      </c>
      <c r="H1005" t="s">
        <v>320</v>
      </c>
      <c r="I1005">
        <v>11369</v>
      </c>
    </row>
    <row r="1006" spans="1:9" x14ac:dyDescent="0.3">
      <c r="A1006">
        <v>1005</v>
      </c>
      <c r="B1006" t="s">
        <v>4603</v>
      </c>
      <c r="C1006" t="s">
        <v>1508</v>
      </c>
      <c r="D1006" t="s">
        <v>6299</v>
      </c>
      <c r="E1006" t="s">
        <v>4886</v>
      </c>
      <c r="F1006" t="s">
        <v>4887</v>
      </c>
      <c r="G1006" t="s">
        <v>1246</v>
      </c>
      <c r="H1006" t="s">
        <v>320</v>
      </c>
      <c r="I1006">
        <v>11102</v>
      </c>
    </row>
    <row r="1007" spans="1:9" x14ac:dyDescent="0.3">
      <c r="A1007">
        <v>1006</v>
      </c>
      <c r="B1007" t="s">
        <v>4888</v>
      </c>
      <c r="C1007" t="s">
        <v>4889</v>
      </c>
      <c r="D1007" t="s">
        <v>6299</v>
      </c>
      <c r="E1007" t="s">
        <v>4890</v>
      </c>
      <c r="F1007" t="s">
        <v>4891</v>
      </c>
      <c r="G1007" t="s">
        <v>1913</v>
      </c>
      <c r="H1007" t="s">
        <v>314</v>
      </c>
      <c r="I1007">
        <v>92307</v>
      </c>
    </row>
    <row r="1008" spans="1:9" x14ac:dyDescent="0.3">
      <c r="A1008">
        <v>1007</v>
      </c>
      <c r="B1008" t="s">
        <v>4892</v>
      </c>
      <c r="C1008" t="s">
        <v>4332</v>
      </c>
      <c r="D1008" t="s">
        <v>6299</v>
      </c>
      <c r="E1008" t="s">
        <v>4893</v>
      </c>
      <c r="F1008" t="s">
        <v>4894</v>
      </c>
      <c r="G1008" t="s">
        <v>1632</v>
      </c>
      <c r="H1008" t="s">
        <v>320</v>
      </c>
      <c r="I1008">
        <v>11414</v>
      </c>
    </row>
    <row r="1009" spans="1:9" x14ac:dyDescent="0.3">
      <c r="A1009">
        <v>1008</v>
      </c>
      <c r="B1009" t="s">
        <v>4895</v>
      </c>
      <c r="C1009" t="s">
        <v>2722</v>
      </c>
      <c r="D1009" t="s">
        <v>6299</v>
      </c>
      <c r="E1009" t="s">
        <v>4896</v>
      </c>
      <c r="F1009" t="s">
        <v>4897</v>
      </c>
      <c r="G1009" t="s">
        <v>1126</v>
      </c>
      <c r="H1009" t="s">
        <v>326</v>
      </c>
      <c r="I1009">
        <v>75126</v>
      </c>
    </row>
    <row r="1010" spans="1:9" x14ac:dyDescent="0.3">
      <c r="A1010">
        <v>1009</v>
      </c>
      <c r="B1010" t="s">
        <v>4898</v>
      </c>
      <c r="C1010" t="s">
        <v>4899</v>
      </c>
      <c r="D1010" t="s">
        <v>6299</v>
      </c>
      <c r="E1010" t="s">
        <v>4900</v>
      </c>
      <c r="F1010" t="s">
        <v>4901</v>
      </c>
      <c r="G1010" t="s">
        <v>2656</v>
      </c>
      <c r="H1010" t="s">
        <v>320</v>
      </c>
      <c r="I1010">
        <v>11422</v>
      </c>
    </row>
    <row r="1011" spans="1:9" x14ac:dyDescent="0.3">
      <c r="A1011">
        <v>1010</v>
      </c>
      <c r="B1011" t="s">
        <v>4902</v>
      </c>
      <c r="C1011" t="s">
        <v>1331</v>
      </c>
      <c r="D1011" t="s">
        <v>6299</v>
      </c>
      <c r="E1011" t="s">
        <v>4903</v>
      </c>
      <c r="F1011" t="s">
        <v>4904</v>
      </c>
      <c r="G1011" t="s">
        <v>1282</v>
      </c>
      <c r="H1011" t="s">
        <v>320</v>
      </c>
      <c r="I1011">
        <v>11714</v>
      </c>
    </row>
    <row r="1012" spans="1:9" x14ac:dyDescent="0.3">
      <c r="A1012">
        <v>1011</v>
      </c>
      <c r="B1012" t="s">
        <v>3910</v>
      </c>
      <c r="C1012" t="s">
        <v>4905</v>
      </c>
      <c r="D1012" t="s">
        <v>6299</v>
      </c>
      <c r="E1012" t="s">
        <v>4906</v>
      </c>
      <c r="F1012" t="s">
        <v>4907</v>
      </c>
      <c r="G1012" t="s">
        <v>1377</v>
      </c>
      <c r="H1012" t="s">
        <v>326</v>
      </c>
      <c r="I1012">
        <v>75043</v>
      </c>
    </row>
    <row r="1013" spans="1:9" x14ac:dyDescent="0.3">
      <c r="A1013">
        <v>1012</v>
      </c>
      <c r="B1013" t="s">
        <v>4908</v>
      </c>
      <c r="C1013" t="s">
        <v>4909</v>
      </c>
      <c r="D1013" t="s">
        <v>6299</v>
      </c>
      <c r="E1013" t="s">
        <v>4910</v>
      </c>
      <c r="F1013" t="s">
        <v>4911</v>
      </c>
      <c r="G1013" t="s">
        <v>1231</v>
      </c>
      <c r="H1013" t="s">
        <v>320</v>
      </c>
      <c r="I1013">
        <v>13027</v>
      </c>
    </row>
    <row r="1014" spans="1:9" x14ac:dyDescent="0.3">
      <c r="A1014">
        <v>1013</v>
      </c>
      <c r="B1014" t="s">
        <v>4912</v>
      </c>
      <c r="C1014" t="s">
        <v>2128</v>
      </c>
      <c r="D1014" t="s">
        <v>6299</v>
      </c>
      <c r="E1014" t="s">
        <v>4913</v>
      </c>
      <c r="F1014" t="s">
        <v>4914</v>
      </c>
      <c r="G1014" t="s">
        <v>3112</v>
      </c>
      <c r="H1014" t="s">
        <v>320</v>
      </c>
      <c r="I1014">
        <v>11368</v>
      </c>
    </row>
    <row r="1015" spans="1:9" x14ac:dyDescent="0.3">
      <c r="A1015">
        <v>1014</v>
      </c>
      <c r="B1015" t="s">
        <v>4915</v>
      </c>
      <c r="C1015" t="s">
        <v>1102</v>
      </c>
      <c r="D1015" t="s">
        <v>6299</v>
      </c>
      <c r="E1015" t="s">
        <v>4916</v>
      </c>
      <c r="F1015" t="s">
        <v>4917</v>
      </c>
      <c r="G1015" t="s">
        <v>3182</v>
      </c>
      <c r="H1015" t="s">
        <v>320</v>
      </c>
      <c r="I1015">
        <v>11419</v>
      </c>
    </row>
    <row r="1016" spans="1:9" x14ac:dyDescent="0.3">
      <c r="A1016">
        <v>1015</v>
      </c>
      <c r="B1016" t="s">
        <v>1534</v>
      </c>
      <c r="C1016" t="s">
        <v>2593</v>
      </c>
      <c r="D1016" t="s">
        <v>6299</v>
      </c>
      <c r="E1016" t="s">
        <v>4918</v>
      </c>
      <c r="F1016" t="s">
        <v>4919</v>
      </c>
      <c r="G1016" t="s">
        <v>2237</v>
      </c>
      <c r="H1016" t="s">
        <v>320</v>
      </c>
      <c r="I1016">
        <v>11530</v>
      </c>
    </row>
    <row r="1017" spans="1:9" x14ac:dyDescent="0.3">
      <c r="A1017">
        <v>1016</v>
      </c>
      <c r="B1017" t="s">
        <v>4920</v>
      </c>
      <c r="C1017" t="s">
        <v>4921</v>
      </c>
      <c r="D1017" t="s">
        <v>4922</v>
      </c>
      <c r="E1017" t="s">
        <v>4923</v>
      </c>
      <c r="F1017" t="s">
        <v>4924</v>
      </c>
      <c r="G1017" t="s">
        <v>1137</v>
      </c>
      <c r="H1017" t="s">
        <v>320</v>
      </c>
      <c r="I1017">
        <v>10002</v>
      </c>
    </row>
    <row r="1018" spans="1:9" x14ac:dyDescent="0.3">
      <c r="A1018">
        <v>1017</v>
      </c>
      <c r="B1018" t="s">
        <v>4925</v>
      </c>
      <c r="C1018" t="s">
        <v>1751</v>
      </c>
      <c r="D1018" t="s">
        <v>4926</v>
      </c>
      <c r="E1018" t="s">
        <v>4927</v>
      </c>
      <c r="F1018" t="s">
        <v>4928</v>
      </c>
      <c r="G1018" t="s">
        <v>1212</v>
      </c>
      <c r="H1018" t="s">
        <v>314</v>
      </c>
      <c r="I1018">
        <v>94603</v>
      </c>
    </row>
    <row r="1019" spans="1:9" x14ac:dyDescent="0.3">
      <c r="A1019">
        <v>1018</v>
      </c>
      <c r="B1019" t="s">
        <v>4929</v>
      </c>
      <c r="C1019" t="s">
        <v>2202</v>
      </c>
      <c r="D1019" t="s">
        <v>6299</v>
      </c>
      <c r="E1019" t="s">
        <v>4930</v>
      </c>
      <c r="F1019" t="s">
        <v>4931</v>
      </c>
      <c r="G1019" t="s">
        <v>1241</v>
      </c>
      <c r="H1019" t="s">
        <v>320</v>
      </c>
      <c r="I1019">
        <v>11378</v>
      </c>
    </row>
    <row r="1020" spans="1:9" x14ac:dyDescent="0.3">
      <c r="A1020">
        <v>1019</v>
      </c>
      <c r="B1020" t="s">
        <v>4932</v>
      </c>
      <c r="C1020" t="s">
        <v>2905</v>
      </c>
      <c r="D1020" t="s">
        <v>6299</v>
      </c>
      <c r="E1020" t="s">
        <v>4933</v>
      </c>
      <c r="F1020" t="s">
        <v>4934</v>
      </c>
      <c r="G1020" t="s">
        <v>1560</v>
      </c>
      <c r="H1020" t="s">
        <v>320</v>
      </c>
      <c r="I1020">
        <v>11373</v>
      </c>
    </row>
    <row r="1021" spans="1:9" x14ac:dyDescent="0.3">
      <c r="A1021">
        <v>1020</v>
      </c>
      <c r="B1021" t="s">
        <v>4935</v>
      </c>
      <c r="C1021" t="s">
        <v>2264</v>
      </c>
      <c r="D1021" t="s">
        <v>6299</v>
      </c>
      <c r="E1021" t="s">
        <v>4936</v>
      </c>
      <c r="F1021" t="s">
        <v>4937</v>
      </c>
      <c r="G1021" t="s">
        <v>1348</v>
      </c>
      <c r="H1021" t="s">
        <v>314</v>
      </c>
      <c r="I1021">
        <v>94070</v>
      </c>
    </row>
    <row r="1022" spans="1:9" x14ac:dyDescent="0.3">
      <c r="A1022">
        <v>1021</v>
      </c>
      <c r="B1022" t="s">
        <v>4938</v>
      </c>
      <c r="C1022" t="s">
        <v>4436</v>
      </c>
      <c r="D1022" t="s">
        <v>6299</v>
      </c>
      <c r="E1022" t="s">
        <v>4939</v>
      </c>
      <c r="F1022" t="s">
        <v>4940</v>
      </c>
      <c r="G1022" t="s">
        <v>1718</v>
      </c>
      <c r="H1022" t="s">
        <v>320</v>
      </c>
      <c r="I1022">
        <v>11412</v>
      </c>
    </row>
    <row r="1023" spans="1:9" x14ac:dyDescent="0.3">
      <c r="A1023">
        <v>1022</v>
      </c>
      <c r="B1023" t="s">
        <v>4941</v>
      </c>
      <c r="C1023" t="s">
        <v>1696</v>
      </c>
      <c r="D1023" t="s">
        <v>6299</v>
      </c>
      <c r="E1023" t="s">
        <v>4942</v>
      </c>
      <c r="F1023" t="s">
        <v>4943</v>
      </c>
      <c r="G1023" t="s">
        <v>1181</v>
      </c>
      <c r="H1023" t="s">
        <v>320</v>
      </c>
      <c r="I1023">
        <v>10541</v>
      </c>
    </row>
    <row r="1024" spans="1:9" x14ac:dyDescent="0.3">
      <c r="A1024">
        <v>1023</v>
      </c>
      <c r="B1024" t="s">
        <v>4944</v>
      </c>
      <c r="C1024" t="s">
        <v>4945</v>
      </c>
      <c r="D1024" t="s">
        <v>6299</v>
      </c>
      <c r="E1024" t="s">
        <v>4946</v>
      </c>
      <c r="F1024" t="s">
        <v>4947</v>
      </c>
      <c r="G1024" t="s">
        <v>1973</v>
      </c>
      <c r="H1024" t="s">
        <v>320</v>
      </c>
      <c r="I1024">
        <v>12020</v>
      </c>
    </row>
    <row r="1025" spans="1:9" x14ac:dyDescent="0.3">
      <c r="A1025">
        <v>1024</v>
      </c>
      <c r="B1025" t="s">
        <v>4948</v>
      </c>
      <c r="C1025" t="s">
        <v>1673</v>
      </c>
      <c r="D1025" t="s">
        <v>4949</v>
      </c>
      <c r="E1025" t="s">
        <v>4950</v>
      </c>
      <c r="F1025" t="s">
        <v>4951</v>
      </c>
      <c r="G1025" t="s">
        <v>2180</v>
      </c>
      <c r="H1025" t="s">
        <v>326</v>
      </c>
      <c r="I1025">
        <v>79930</v>
      </c>
    </row>
    <row r="1026" spans="1:9" x14ac:dyDescent="0.3">
      <c r="A1026">
        <v>1025</v>
      </c>
      <c r="B1026" t="s">
        <v>4952</v>
      </c>
      <c r="C1026" t="s">
        <v>3750</v>
      </c>
      <c r="D1026" t="s">
        <v>6299</v>
      </c>
      <c r="E1026" t="s">
        <v>4953</v>
      </c>
      <c r="F1026" t="s">
        <v>4954</v>
      </c>
      <c r="G1026" t="s">
        <v>1496</v>
      </c>
      <c r="H1026" t="s">
        <v>320</v>
      </c>
      <c r="I1026">
        <v>11735</v>
      </c>
    </row>
    <row r="1027" spans="1:9" x14ac:dyDescent="0.3">
      <c r="A1027">
        <v>1026</v>
      </c>
      <c r="B1027" t="s">
        <v>3338</v>
      </c>
      <c r="C1027" t="s">
        <v>1856</v>
      </c>
      <c r="D1027" t="s">
        <v>6299</v>
      </c>
      <c r="E1027" t="s">
        <v>4955</v>
      </c>
      <c r="F1027" t="s">
        <v>4956</v>
      </c>
      <c r="G1027" t="s">
        <v>3924</v>
      </c>
      <c r="H1027" t="s">
        <v>320</v>
      </c>
      <c r="I1027">
        <v>13760</v>
      </c>
    </row>
    <row r="1028" spans="1:9" x14ac:dyDescent="0.3">
      <c r="A1028">
        <v>1027</v>
      </c>
      <c r="B1028" t="s">
        <v>4957</v>
      </c>
      <c r="C1028" t="s">
        <v>4958</v>
      </c>
      <c r="D1028" t="s">
        <v>6299</v>
      </c>
      <c r="E1028" t="s">
        <v>4959</v>
      </c>
      <c r="F1028" t="s">
        <v>4960</v>
      </c>
      <c r="G1028" t="s">
        <v>1718</v>
      </c>
      <c r="H1028" t="s">
        <v>320</v>
      </c>
      <c r="I1028">
        <v>11412</v>
      </c>
    </row>
    <row r="1029" spans="1:9" x14ac:dyDescent="0.3">
      <c r="A1029">
        <v>1028</v>
      </c>
      <c r="B1029" t="s">
        <v>4961</v>
      </c>
      <c r="C1029" t="s">
        <v>1442</v>
      </c>
      <c r="D1029" t="s">
        <v>6299</v>
      </c>
      <c r="E1029" t="s">
        <v>4962</v>
      </c>
      <c r="F1029" t="s">
        <v>4963</v>
      </c>
      <c r="G1029" t="s">
        <v>1147</v>
      </c>
      <c r="H1029" t="s">
        <v>320</v>
      </c>
      <c r="I1029">
        <v>14424</v>
      </c>
    </row>
    <row r="1030" spans="1:9" x14ac:dyDescent="0.3">
      <c r="A1030">
        <v>1029</v>
      </c>
      <c r="B1030" t="s">
        <v>4964</v>
      </c>
      <c r="C1030" t="s">
        <v>1264</v>
      </c>
      <c r="D1030" t="s">
        <v>6299</v>
      </c>
      <c r="E1030" t="s">
        <v>4965</v>
      </c>
      <c r="F1030" t="s">
        <v>4966</v>
      </c>
      <c r="G1030" t="s">
        <v>325</v>
      </c>
      <c r="H1030" t="s">
        <v>326</v>
      </c>
      <c r="I1030">
        <v>75088</v>
      </c>
    </row>
    <row r="1031" spans="1:9" x14ac:dyDescent="0.3">
      <c r="A1031">
        <v>1030</v>
      </c>
      <c r="B1031" t="s">
        <v>4967</v>
      </c>
      <c r="C1031" t="s">
        <v>2072</v>
      </c>
      <c r="D1031" t="s">
        <v>6299</v>
      </c>
      <c r="E1031" t="s">
        <v>4968</v>
      </c>
      <c r="F1031" t="s">
        <v>4969</v>
      </c>
      <c r="G1031" t="s">
        <v>1997</v>
      </c>
      <c r="H1031" t="s">
        <v>320</v>
      </c>
      <c r="I1031">
        <v>11201</v>
      </c>
    </row>
    <row r="1032" spans="1:9" x14ac:dyDescent="0.3">
      <c r="A1032">
        <v>1031</v>
      </c>
      <c r="B1032" t="s">
        <v>4684</v>
      </c>
      <c r="C1032" t="s">
        <v>1082</v>
      </c>
      <c r="D1032" t="s">
        <v>6299</v>
      </c>
      <c r="E1032" t="s">
        <v>4970</v>
      </c>
      <c r="F1032" t="s">
        <v>4971</v>
      </c>
      <c r="G1032" t="s">
        <v>1085</v>
      </c>
      <c r="H1032" t="s">
        <v>320</v>
      </c>
      <c r="I1032">
        <v>14450</v>
      </c>
    </row>
    <row r="1033" spans="1:9" x14ac:dyDescent="0.3">
      <c r="A1033">
        <v>1032</v>
      </c>
      <c r="B1033" t="s">
        <v>4972</v>
      </c>
      <c r="C1033" t="s">
        <v>4225</v>
      </c>
      <c r="D1033" t="s">
        <v>6299</v>
      </c>
      <c r="E1033" t="s">
        <v>4973</v>
      </c>
      <c r="F1033" t="s">
        <v>4974</v>
      </c>
      <c r="G1033" t="s">
        <v>1462</v>
      </c>
      <c r="H1033" t="s">
        <v>320</v>
      </c>
      <c r="I1033">
        <v>11746</v>
      </c>
    </row>
    <row r="1034" spans="1:9" x14ac:dyDescent="0.3">
      <c r="A1034">
        <v>1033</v>
      </c>
      <c r="B1034" t="s">
        <v>4975</v>
      </c>
      <c r="C1034" t="s">
        <v>4314</v>
      </c>
      <c r="D1034" t="s">
        <v>6299</v>
      </c>
      <c r="E1034" t="s">
        <v>4976</v>
      </c>
      <c r="F1034" t="s">
        <v>4977</v>
      </c>
      <c r="G1034" t="s">
        <v>2526</v>
      </c>
      <c r="H1034" t="s">
        <v>320</v>
      </c>
      <c r="I1034">
        <v>11375</v>
      </c>
    </row>
    <row r="1035" spans="1:9" x14ac:dyDescent="0.3">
      <c r="A1035">
        <v>1034</v>
      </c>
      <c r="B1035" t="s">
        <v>4978</v>
      </c>
      <c r="C1035" t="s">
        <v>4979</v>
      </c>
      <c r="D1035" t="s">
        <v>6299</v>
      </c>
      <c r="E1035" t="s">
        <v>4980</v>
      </c>
      <c r="F1035" t="s">
        <v>4981</v>
      </c>
      <c r="G1035" t="s">
        <v>2345</v>
      </c>
      <c r="H1035" t="s">
        <v>320</v>
      </c>
      <c r="I1035">
        <v>11720</v>
      </c>
    </row>
    <row r="1036" spans="1:9" x14ac:dyDescent="0.3">
      <c r="A1036">
        <v>1035</v>
      </c>
      <c r="B1036" t="s">
        <v>1263</v>
      </c>
      <c r="C1036" t="s">
        <v>4982</v>
      </c>
      <c r="D1036" t="s">
        <v>6299</v>
      </c>
      <c r="E1036" t="s">
        <v>4983</v>
      </c>
      <c r="F1036" t="s">
        <v>4984</v>
      </c>
      <c r="G1036" t="s">
        <v>1064</v>
      </c>
      <c r="H1036" t="s">
        <v>314</v>
      </c>
      <c r="I1036">
        <v>95008</v>
      </c>
    </row>
    <row r="1037" spans="1:9" x14ac:dyDescent="0.3">
      <c r="A1037">
        <v>1036</v>
      </c>
      <c r="B1037" t="s">
        <v>4615</v>
      </c>
      <c r="C1037" t="s">
        <v>3141</v>
      </c>
      <c r="D1037" t="s">
        <v>6299</v>
      </c>
      <c r="E1037" t="s">
        <v>4985</v>
      </c>
      <c r="F1037" t="s">
        <v>4986</v>
      </c>
      <c r="G1037" t="s">
        <v>2345</v>
      </c>
      <c r="H1037" t="s">
        <v>320</v>
      </c>
      <c r="I1037">
        <v>11720</v>
      </c>
    </row>
    <row r="1038" spans="1:9" x14ac:dyDescent="0.3">
      <c r="A1038">
        <v>1037</v>
      </c>
      <c r="B1038" t="s">
        <v>1432</v>
      </c>
      <c r="C1038" t="s">
        <v>4987</v>
      </c>
      <c r="D1038" t="s">
        <v>6299</v>
      </c>
      <c r="E1038" t="s">
        <v>4988</v>
      </c>
      <c r="F1038" t="s">
        <v>4989</v>
      </c>
      <c r="G1038" t="s">
        <v>3002</v>
      </c>
      <c r="H1038" t="s">
        <v>320</v>
      </c>
      <c r="I1038">
        <v>10954</v>
      </c>
    </row>
    <row r="1039" spans="1:9" x14ac:dyDescent="0.3">
      <c r="A1039">
        <v>1038</v>
      </c>
      <c r="B1039" t="s">
        <v>1122</v>
      </c>
      <c r="C1039" t="s">
        <v>2166</v>
      </c>
      <c r="D1039" t="s">
        <v>6299</v>
      </c>
      <c r="E1039" t="s">
        <v>4990</v>
      </c>
      <c r="F1039" t="s">
        <v>4991</v>
      </c>
      <c r="G1039" t="s">
        <v>2526</v>
      </c>
      <c r="H1039" t="s">
        <v>320</v>
      </c>
      <c r="I1039">
        <v>11375</v>
      </c>
    </row>
    <row r="1040" spans="1:9" x14ac:dyDescent="0.3">
      <c r="A1040">
        <v>1039</v>
      </c>
      <c r="B1040" t="s">
        <v>4992</v>
      </c>
      <c r="C1040" t="s">
        <v>1848</v>
      </c>
      <c r="D1040" t="s">
        <v>6299</v>
      </c>
      <c r="E1040" t="s">
        <v>4993</v>
      </c>
      <c r="F1040" t="s">
        <v>4994</v>
      </c>
      <c r="G1040" t="s">
        <v>1236</v>
      </c>
      <c r="H1040" t="s">
        <v>320</v>
      </c>
      <c r="I1040">
        <v>13090</v>
      </c>
    </row>
    <row r="1041" spans="1:9" x14ac:dyDescent="0.3">
      <c r="A1041">
        <v>1040</v>
      </c>
      <c r="B1041" t="s">
        <v>4995</v>
      </c>
      <c r="C1041" t="s">
        <v>4987</v>
      </c>
      <c r="D1041" t="s">
        <v>6299</v>
      </c>
      <c r="E1041" t="s">
        <v>4996</v>
      </c>
      <c r="F1041" t="s">
        <v>4997</v>
      </c>
      <c r="G1041" t="s">
        <v>1161</v>
      </c>
      <c r="H1041" t="s">
        <v>326</v>
      </c>
      <c r="I1041">
        <v>77904</v>
      </c>
    </row>
    <row r="1042" spans="1:9" x14ac:dyDescent="0.3">
      <c r="A1042">
        <v>1041</v>
      </c>
      <c r="B1042" t="s">
        <v>4998</v>
      </c>
      <c r="C1042" t="s">
        <v>1123</v>
      </c>
      <c r="D1042" t="s">
        <v>6299</v>
      </c>
      <c r="E1042" t="s">
        <v>4999</v>
      </c>
      <c r="F1042" t="s">
        <v>5000</v>
      </c>
      <c r="G1042" t="s">
        <v>1466</v>
      </c>
      <c r="H1042" t="s">
        <v>320</v>
      </c>
      <c r="I1042">
        <v>13126</v>
      </c>
    </row>
    <row r="1043" spans="1:9" x14ac:dyDescent="0.3">
      <c r="A1043">
        <v>1042</v>
      </c>
      <c r="B1043" t="s">
        <v>5001</v>
      </c>
      <c r="C1043" t="s">
        <v>1087</v>
      </c>
      <c r="D1043" t="s">
        <v>6299</v>
      </c>
      <c r="E1043" t="s">
        <v>5002</v>
      </c>
      <c r="F1043" t="s">
        <v>5003</v>
      </c>
      <c r="G1043" t="s">
        <v>1277</v>
      </c>
      <c r="H1043" t="s">
        <v>320</v>
      </c>
      <c r="I1043">
        <v>11003</v>
      </c>
    </row>
    <row r="1044" spans="1:9" x14ac:dyDescent="0.3">
      <c r="A1044">
        <v>1043</v>
      </c>
      <c r="B1044" t="s">
        <v>5004</v>
      </c>
      <c r="C1044" t="s">
        <v>5005</v>
      </c>
      <c r="D1044" t="s">
        <v>6299</v>
      </c>
      <c r="E1044" t="s">
        <v>5006</v>
      </c>
      <c r="F1044" t="s">
        <v>5007</v>
      </c>
      <c r="G1044" t="s">
        <v>3563</v>
      </c>
      <c r="H1044" t="s">
        <v>320</v>
      </c>
      <c r="I1044">
        <v>11365</v>
      </c>
    </row>
    <row r="1045" spans="1:9" x14ac:dyDescent="0.3">
      <c r="A1045">
        <v>1044</v>
      </c>
      <c r="B1045" t="s">
        <v>5008</v>
      </c>
      <c r="C1045" t="s">
        <v>5009</v>
      </c>
      <c r="D1045" t="s">
        <v>6299</v>
      </c>
      <c r="E1045" t="s">
        <v>5010</v>
      </c>
      <c r="F1045" t="s">
        <v>5011</v>
      </c>
      <c r="G1045" t="s">
        <v>2656</v>
      </c>
      <c r="H1045" t="s">
        <v>320</v>
      </c>
      <c r="I1045">
        <v>11422</v>
      </c>
    </row>
    <row r="1046" spans="1:9" x14ac:dyDescent="0.3">
      <c r="A1046">
        <v>1045</v>
      </c>
      <c r="B1046" t="s">
        <v>5012</v>
      </c>
      <c r="C1046" t="s">
        <v>5013</v>
      </c>
      <c r="D1046" t="s">
        <v>6299</v>
      </c>
      <c r="E1046" t="s">
        <v>5014</v>
      </c>
      <c r="F1046" t="s">
        <v>5015</v>
      </c>
      <c r="G1046" t="s">
        <v>2945</v>
      </c>
      <c r="H1046" t="s">
        <v>314</v>
      </c>
      <c r="I1046">
        <v>92083</v>
      </c>
    </row>
    <row r="1047" spans="1:9" x14ac:dyDescent="0.3">
      <c r="A1047">
        <v>1046</v>
      </c>
      <c r="B1047" t="s">
        <v>5016</v>
      </c>
      <c r="C1047" t="s">
        <v>1233</v>
      </c>
      <c r="D1047" t="s">
        <v>6299</v>
      </c>
      <c r="E1047" t="s">
        <v>5017</v>
      </c>
      <c r="F1047" t="s">
        <v>5018</v>
      </c>
      <c r="G1047" t="s">
        <v>1147</v>
      </c>
      <c r="H1047" t="s">
        <v>320</v>
      </c>
      <c r="I1047">
        <v>14424</v>
      </c>
    </row>
    <row r="1048" spans="1:9" x14ac:dyDescent="0.3">
      <c r="A1048">
        <v>1047</v>
      </c>
      <c r="B1048" t="s">
        <v>1202</v>
      </c>
      <c r="C1048" t="s">
        <v>1848</v>
      </c>
      <c r="D1048" t="s">
        <v>6299</v>
      </c>
      <c r="E1048" t="s">
        <v>5019</v>
      </c>
      <c r="F1048" t="s">
        <v>5020</v>
      </c>
      <c r="G1048" t="s">
        <v>1560</v>
      </c>
      <c r="H1048" t="s">
        <v>320</v>
      </c>
      <c r="I1048">
        <v>11373</v>
      </c>
    </row>
    <row r="1049" spans="1:9" x14ac:dyDescent="0.3">
      <c r="A1049">
        <v>1048</v>
      </c>
      <c r="B1049" t="s">
        <v>5021</v>
      </c>
      <c r="C1049" t="s">
        <v>2424</v>
      </c>
      <c r="D1049" t="s">
        <v>6299</v>
      </c>
      <c r="E1049" t="s">
        <v>5022</v>
      </c>
      <c r="F1049" t="s">
        <v>5023</v>
      </c>
      <c r="G1049" t="s">
        <v>1913</v>
      </c>
      <c r="H1049" t="s">
        <v>314</v>
      </c>
      <c r="I1049">
        <v>92307</v>
      </c>
    </row>
    <row r="1050" spans="1:9" x14ac:dyDescent="0.3">
      <c r="A1050">
        <v>1049</v>
      </c>
      <c r="B1050" t="s">
        <v>5024</v>
      </c>
      <c r="C1050" t="s">
        <v>3008</v>
      </c>
      <c r="D1050" t="s">
        <v>6299</v>
      </c>
      <c r="E1050" t="s">
        <v>5025</v>
      </c>
      <c r="F1050" t="s">
        <v>5026</v>
      </c>
      <c r="G1050" t="s">
        <v>3586</v>
      </c>
      <c r="H1050" t="s">
        <v>320</v>
      </c>
      <c r="I1050">
        <v>12065</v>
      </c>
    </row>
    <row r="1051" spans="1:9" x14ac:dyDescent="0.3">
      <c r="A1051">
        <v>1050</v>
      </c>
      <c r="B1051" t="s">
        <v>5027</v>
      </c>
      <c r="C1051" t="s">
        <v>2790</v>
      </c>
      <c r="D1051" t="s">
        <v>6299</v>
      </c>
      <c r="E1051" t="s">
        <v>5028</v>
      </c>
      <c r="F1051" t="s">
        <v>5029</v>
      </c>
      <c r="G1051" t="s">
        <v>2784</v>
      </c>
      <c r="H1051" t="s">
        <v>320</v>
      </c>
      <c r="I1051">
        <v>11967</v>
      </c>
    </row>
    <row r="1052" spans="1:9" x14ac:dyDescent="0.3">
      <c r="A1052">
        <v>1051</v>
      </c>
      <c r="B1052" t="s">
        <v>5030</v>
      </c>
      <c r="C1052" t="s">
        <v>3129</v>
      </c>
      <c r="D1052" t="s">
        <v>6299</v>
      </c>
      <c r="E1052" t="s">
        <v>5031</v>
      </c>
      <c r="F1052" t="s">
        <v>5032</v>
      </c>
      <c r="G1052" t="s">
        <v>1462</v>
      </c>
      <c r="H1052" t="s">
        <v>320</v>
      </c>
      <c r="I1052">
        <v>11746</v>
      </c>
    </row>
    <row r="1053" spans="1:9" x14ac:dyDescent="0.3">
      <c r="A1053">
        <v>1052</v>
      </c>
      <c r="B1053" t="s">
        <v>5033</v>
      </c>
      <c r="C1053" t="s">
        <v>3972</v>
      </c>
      <c r="D1053" t="s">
        <v>5034</v>
      </c>
      <c r="E1053" t="s">
        <v>5035</v>
      </c>
      <c r="F1053" t="s">
        <v>5036</v>
      </c>
      <c r="G1053" t="s">
        <v>1080</v>
      </c>
      <c r="H1053" t="s">
        <v>314</v>
      </c>
      <c r="I1053">
        <v>95820</v>
      </c>
    </row>
    <row r="1054" spans="1:9" x14ac:dyDescent="0.3">
      <c r="A1054">
        <v>1053</v>
      </c>
      <c r="B1054" t="s">
        <v>5037</v>
      </c>
      <c r="C1054" t="s">
        <v>4406</v>
      </c>
      <c r="D1054" t="s">
        <v>6299</v>
      </c>
      <c r="E1054" t="s">
        <v>5038</v>
      </c>
      <c r="F1054" t="s">
        <v>5039</v>
      </c>
      <c r="G1054" t="s">
        <v>1181</v>
      </c>
      <c r="H1054" t="s">
        <v>320</v>
      </c>
      <c r="I1054">
        <v>10541</v>
      </c>
    </row>
    <row r="1055" spans="1:9" x14ac:dyDescent="0.3">
      <c r="A1055">
        <v>1054</v>
      </c>
      <c r="B1055" t="s">
        <v>5040</v>
      </c>
      <c r="C1055" t="s">
        <v>5041</v>
      </c>
      <c r="D1055" t="s">
        <v>6299</v>
      </c>
      <c r="E1055" t="s">
        <v>5042</v>
      </c>
      <c r="F1055" t="s">
        <v>5043</v>
      </c>
      <c r="G1055" t="s">
        <v>1377</v>
      </c>
      <c r="H1055" t="s">
        <v>326</v>
      </c>
      <c r="I1055">
        <v>75043</v>
      </c>
    </row>
    <row r="1056" spans="1:9" x14ac:dyDescent="0.3">
      <c r="A1056">
        <v>1055</v>
      </c>
      <c r="B1056" t="s">
        <v>5044</v>
      </c>
      <c r="C1056" t="s">
        <v>5045</v>
      </c>
      <c r="D1056" t="s">
        <v>6299</v>
      </c>
      <c r="E1056" t="s">
        <v>5046</v>
      </c>
      <c r="F1056" t="s">
        <v>5047</v>
      </c>
      <c r="G1056" t="s">
        <v>1241</v>
      </c>
      <c r="H1056" t="s">
        <v>320</v>
      </c>
      <c r="I1056">
        <v>11378</v>
      </c>
    </row>
    <row r="1057" spans="1:9" x14ac:dyDescent="0.3">
      <c r="A1057">
        <v>1056</v>
      </c>
      <c r="B1057" t="s">
        <v>5048</v>
      </c>
      <c r="C1057" t="s">
        <v>1123</v>
      </c>
      <c r="D1057" t="s">
        <v>6299</v>
      </c>
      <c r="E1057" t="s">
        <v>5049</v>
      </c>
      <c r="F1057" t="s">
        <v>5050</v>
      </c>
      <c r="G1057" t="s">
        <v>2539</v>
      </c>
      <c r="H1057" t="s">
        <v>320</v>
      </c>
      <c r="I1057">
        <v>10550</v>
      </c>
    </row>
    <row r="1058" spans="1:9" x14ac:dyDescent="0.3">
      <c r="A1058">
        <v>1057</v>
      </c>
      <c r="B1058" t="s">
        <v>5051</v>
      </c>
      <c r="C1058" t="s">
        <v>5052</v>
      </c>
      <c r="D1058" t="s">
        <v>6299</v>
      </c>
      <c r="E1058" t="s">
        <v>5053</v>
      </c>
      <c r="F1058" t="s">
        <v>5054</v>
      </c>
      <c r="G1058" t="s">
        <v>2539</v>
      </c>
      <c r="H1058" t="s">
        <v>320</v>
      </c>
      <c r="I1058">
        <v>10550</v>
      </c>
    </row>
    <row r="1059" spans="1:9" x14ac:dyDescent="0.3">
      <c r="A1059">
        <v>1058</v>
      </c>
      <c r="B1059" t="s">
        <v>5055</v>
      </c>
      <c r="C1059" t="s">
        <v>1626</v>
      </c>
      <c r="D1059" t="s">
        <v>6299</v>
      </c>
      <c r="E1059" t="s">
        <v>5056</v>
      </c>
      <c r="F1059" t="s">
        <v>5057</v>
      </c>
      <c r="G1059" t="s">
        <v>1900</v>
      </c>
      <c r="H1059" t="s">
        <v>320</v>
      </c>
      <c r="I1059">
        <v>14580</v>
      </c>
    </row>
    <row r="1060" spans="1:9" x14ac:dyDescent="0.3">
      <c r="A1060">
        <v>1059</v>
      </c>
      <c r="B1060" t="s">
        <v>5058</v>
      </c>
      <c r="C1060" t="s">
        <v>3876</v>
      </c>
      <c r="D1060" t="s">
        <v>6299</v>
      </c>
      <c r="E1060" t="s">
        <v>5059</v>
      </c>
      <c r="F1060" t="s">
        <v>5060</v>
      </c>
      <c r="G1060" t="s">
        <v>1166</v>
      </c>
      <c r="H1060" t="s">
        <v>320</v>
      </c>
      <c r="I1060">
        <v>11731</v>
      </c>
    </row>
    <row r="1061" spans="1:9" x14ac:dyDescent="0.3">
      <c r="A1061">
        <v>1060</v>
      </c>
      <c r="B1061" t="s">
        <v>1378</v>
      </c>
      <c r="C1061" t="s">
        <v>4899</v>
      </c>
      <c r="D1061" t="s">
        <v>5061</v>
      </c>
      <c r="E1061" t="s">
        <v>5062</v>
      </c>
      <c r="F1061" t="s">
        <v>5063</v>
      </c>
      <c r="G1061" t="s">
        <v>1252</v>
      </c>
      <c r="H1061" t="s">
        <v>320</v>
      </c>
      <c r="I1061">
        <v>14086</v>
      </c>
    </row>
    <row r="1062" spans="1:9" x14ac:dyDescent="0.3">
      <c r="A1062">
        <v>1061</v>
      </c>
      <c r="B1062" t="s">
        <v>5064</v>
      </c>
      <c r="C1062" t="s">
        <v>2341</v>
      </c>
      <c r="D1062" t="s">
        <v>6299</v>
      </c>
      <c r="E1062" t="s">
        <v>5065</v>
      </c>
      <c r="F1062" t="s">
        <v>5066</v>
      </c>
      <c r="G1062" t="s">
        <v>1606</v>
      </c>
      <c r="H1062" t="s">
        <v>326</v>
      </c>
      <c r="I1062">
        <v>76039</v>
      </c>
    </row>
    <row r="1063" spans="1:9" x14ac:dyDescent="0.3">
      <c r="A1063">
        <v>1062</v>
      </c>
      <c r="B1063" t="s">
        <v>5067</v>
      </c>
      <c r="C1063" t="s">
        <v>5068</v>
      </c>
      <c r="D1063" t="s">
        <v>6299</v>
      </c>
      <c r="E1063" t="s">
        <v>5069</v>
      </c>
      <c r="F1063" t="s">
        <v>5070</v>
      </c>
      <c r="G1063" t="s">
        <v>2796</v>
      </c>
      <c r="H1063" t="s">
        <v>320</v>
      </c>
      <c r="I1063">
        <v>10512</v>
      </c>
    </row>
    <row r="1064" spans="1:9" x14ac:dyDescent="0.3">
      <c r="A1064">
        <v>1063</v>
      </c>
      <c r="B1064" t="s">
        <v>5071</v>
      </c>
      <c r="C1064" t="s">
        <v>3257</v>
      </c>
      <c r="D1064" t="s">
        <v>6299</v>
      </c>
      <c r="E1064" t="s">
        <v>5072</v>
      </c>
      <c r="F1064" t="s">
        <v>5073</v>
      </c>
      <c r="G1064" t="s">
        <v>3071</v>
      </c>
      <c r="H1064" t="s">
        <v>326</v>
      </c>
      <c r="I1064">
        <v>77566</v>
      </c>
    </row>
    <row r="1065" spans="1:9" x14ac:dyDescent="0.3">
      <c r="A1065">
        <v>1064</v>
      </c>
      <c r="B1065" t="s">
        <v>5074</v>
      </c>
      <c r="C1065" t="s">
        <v>5075</v>
      </c>
      <c r="D1065" t="s">
        <v>6299</v>
      </c>
      <c r="E1065" t="s">
        <v>5076</v>
      </c>
      <c r="F1065" t="s">
        <v>5077</v>
      </c>
      <c r="G1065" t="s">
        <v>325</v>
      </c>
      <c r="H1065" t="s">
        <v>326</v>
      </c>
      <c r="I1065">
        <v>75088</v>
      </c>
    </row>
    <row r="1066" spans="1:9" x14ac:dyDescent="0.3">
      <c r="A1066">
        <v>1065</v>
      </c>
      <c r="B1066" t="s">
        <v>5078</v>
      </c>
      <c r="C1066" t="s">
        <v>1128</v>
      </c>
      <c r="D1066" t="s">
        <v>6299</v>
      </c>
      <c r="E1066" t="s">
        <v>5079</v>
      </c>
      <c r="F1066" t="s">
        <v>5080</v>
      </c>
      <c r="G1066" t="s">
        <v>1291</v>
      </c>
      <c r="H1066" t="s">
        <v>314</v>
      </c>
      <c r="I1066">
        <v>94580</v>
      </c>
    </row>
    <row r="1067" spans="1:9" x14ac:dyDescent="0.3">
      <c r="A1067">
        <v>1066</v>
      </c>
      <c r="B1067" t="s">
        <v>5081</v>
      </c>
      <c r="C1067" t="s">
        <v>1093</v>
      </c>
      <c r="D1067" t="s">
        <v>5082</v>
      </c>
      <c r="E1067" t="s">
        <v>5083</v>
      </c>
      <c r="F1067" t="s">
        <v>5084</v>
      </c>
      <c r="G1067" t="s">
        <v>1581</v>
      </c>
      <c r="H1067" t="s">
        <v>314</v>
      </c>
      <c r="I1067">
        <v>92806</v>
      </c>
    </row>
    <row r="1068" spans="1:9" x14ac:dyDescent="0.3">
      <c r="A1068">
        <v>1067</v>
      </c>
      <c r="B1068" t="s">
        <v>5085</v>
      </c>
      <c r="C1068" t="s">
        <v>5086</v>
      </c>
      <c r="D1068" t="s">
        <v>6299</v>
      </c>
      <c r="E1068" t="s">
        <v>5087</v>
      </c>
      <c r="F1068" t="s">
        <v>5088</v>
      </c>
      <c r="G1068" t="s">
        <v>1955</v>
      </c>
      <c r="H1068" t="s">
        <v>320</v>
      </c>
      <c r="I1068">
        <v>11374</v>
      </c>
    </row>
    <row r="1069" spans="1:9" x14ac:dyDescent="0.3">
      <c r="A1069">
        <v>1068</v>
      </c>
      <c r="B1069" t="s">
        <v>5089</v>
      </c>
      <c r="C1069" t="s">
        <v>5090</v>
      </c>
      <c r="D1069" t="s">
        <v>6299</v>
      </c>
      <c r="E1069" t="s">
        <v>5091</v>
      </c>
      <c r="F1069" t="s">
        <v>5092</v>
      </c>
      <c r="G1069" t="s">
        <v>1471</v>
      </c>
      <c r="H1069" t="s">
        <v>314</v>
      </c>
      <c r="I1069">
        <v>91010</v>
      </c>
    </row>
    <row r="1070" spans="1:9" x14ac:dyDescent="0.3">
      <c r="A1070">
        <v>1069</v>
      </c>
      <c r="B1070" t="s">
        <v>5093</v>
      </c>
      <c r="C1070" t="s">
        <v>5094</v>
      </c>
      <c r="D1070" t="s">
        <v>6299</v>
      </c>
      <c r="E1070" t="s">
        <v>5095</v>
      </c>
      <c r="F1070" t="s">
        <v>5096</v>
      </c>
      <c r="G1070" t="s">
        <v>2784</v>
      </c>
      <c r="H1070" t="s">
        <v>320</v>
      </c>
      <c r="I1070">
        <v>11967</v>
      </c>
    </row>
    <row r="1071" spans="1:9" x14ac:dyDescent="0.3">
      <c r="A1071">
        <v>1070</v>
      </c>
      <c r="B1071" t="s">
        <v>5097</v>
      </c>
      <c r="C1071" t="s">
        <v>3125</v>
      </c>
      <c r="D1071" t="s">
        <v>6299</v>
      </c>
      <c r="E1071" t="s">
        <v>5098</v>
      </c>
      <c r="F1071" t="s">
        <v>5099</v>
      </c>
      <c r="G1071" t="s">
        <v>5100</v>
      </c>
      <c r="H1071" t="s">
        <v>320</v>
      </c>
      <c r="I1071">
        <v>11364</v>
      </c>
    </row>
    <row r="1072" spans="1:9" x14ac:dyDescent="0.3">
      <c r="A1072">
        <v>1071</v>
      </c>
      <c r="B1072" t="s">
        <v>5101</v>
      </c>
      <c r="C1072" t="s">
        <v>1359</v>
      </c>
      <c r="D1072" t="s">
        <v>6299</v>
      </c>
      <c r="E1072" t="s">
        <v>5102</v>
      </c>
      <c r="F1072" t="s">
        <v>5103</v>
      </c>
      <c r="G1072" t="s">
        <v>2610</v>
      </c>
      <c r="H1072" t="s">
        <v>314</v>
      </c>
      <c r="I1072">
        <v>91768</v>
      </c>
    </row>
    <row r="1073" spans="1:9" x14ac:dyDescent="0.3">
      <c r="A1073">
        <v>1072</v>
      </c>
      <c r="B1073" t="s">
        <v>5104</v>
      </c>
      <c r="C1073" t="s">
        <v>1331</v>
      </c>
      <c r="D1073" t="s">
        <v>6299</v>
      </c>
      <c r="E1073" t="s">
        <v>5105</v>
      </c>
      <c r="F1073" t="s">
        <v>5106</v>
      </c>
      <c r="G1073" t="s">
        <v>1427</v>
      </c>
      <c r="H1073" t="s">
        <v>326</v>
      </c>
      <c r="I1073">
        <v>75080</v>
      </c>
    </row>
    <row r="1074" spans="1:9" x14ac:dyDescent="0.3">
      <c r="A1074">
        <v>1073</v>
      </c>
      <c r="B1074" t="s">
        <v>5107</v>
      </c>
      <c r="C1074" t="s">
        <v>2388</v>
      </c>
      <c r="D1074" t="s">
        <v>6299</v>
      </c>
      <c r="E1074" t="s">
        <v>5108</v>
      </c>
      <c r="F1074" t="s">
        <v>5109</v>
      </c>
      <c r="G1074" t="s">
        <v>1516</v>
      </c>
      <c r="H1074" t="s">
        <v>320</v>
      </c>
      <c r="I1074">
        <v>11361</v>
      </c>
    </row>
    <row r="1075" spans="1:9" x14ac:dyDescent="0.3">
      <c r="A1075">
        <v>1074</v>
      </c>
      <c r="B1075" t="s">
        <v>5110</v>
      </c>
      <c r="C1075" t="s">
        <v>1288</v>
      </c>
      <c r="D1075" t="s">
        <v>6299</v>
      </c>
      <c r="E1075" t="s">
        <v>5111</v>
      </c>
      <c r="F1075" t="s">
        <v>5112</v>
      </c>
      <c r="G1075" t="s">
        <v>1569</v>
      </c>
      <c r="H1075" t="s">
        <v>320</v>
      </c>
      <c r="I1075">
        <v>11001</v>
      </c>
    </row>
    <row r="1076" spans="1:9" x14ac:dyDescent="0.3">
      <c r="A1076">
        <v>1075</v>
      </c>
      <c r="B1076" t="s">
        <v>5113</v>
      </c>
      <c r="C1076" t="s">
        <v>5114</v>
      </c>
      <c r="D1076" t="s">
        <v>6299</v>
      </c>
      <c r="E1076" t="s">
        <v>5115</v>
      </c>
      <c r="F1076" t="s">
        <v>5116</v>
      </c>
      <c r="G1076" t="s">
        <v>1462</v>
      </c>
      <c r="H1076" t="s">
        <v>320</v>
      </c>
      <c r="I1076">
        <v>11746</v>
      </c>
    </row>
    <row r="1077" spans="1:9" x14ac:dyDescent="0.3">
      <c r="A1077">
        <v>1076</v>
      </c>
      <c r="B1077" t="s">
        <v>5117</v>
      </c>
      <c r="C1077" t="s">
        <v>1696</v>
      </c>
      <c r="D1077" t="s">
        <v>6299</v>
      </c>
      <c r="E1077" t="s">
        <v>5118</v>
      </c>
      <c r="F1077" t="s">
        <v>5119</v>
      </c>
      <c r="G1077" t="s">
        <v>2945</v>
      </c>
      <c r="H1077" t="s">
        <v>314</v>
      </c>
      <c r="I1077">
        <v>92083</v>
      </c>
    </row>
    <row r="1078" spans="1:9" x14ac:dyDescent="0.3">
      <c r="A1078">
        <v>1077</v>
      </c>
      <c r="B1078" t="s">
        <v>4864</v>
      </c>
      <c r="C1078" t="s">
        <v>2305</v>
      </c>
      <c r="D1078" t="s">
        <v>6299</v>
      </c>
      <c r="E1078" t="s">
        <v>5120</v>
      </c>
      <c r="F1078" t="s">
        <v>5121</v>
      </c>
      <c r="G1078" t="s">
        <v>1192</v>
      </c>
      <c r="H1078" t="s">
        <v>320</v>
      </c>
      <c r="I1078">
        <v>11104</v>
      </c>
    </row>
    <row r="1079" spans="1:9" x14ac:dyDescent="0.3">
      <c r="A1079">
        <v>1078</v>
      </c>
      <c r="B1079" t="s">
        <v>5122</v>
      </c>
      <c r="C1079" t="s">
        <v>3871</v>
      </c>
      <c r="D1079" t="s">
        <v>6299</v>
      </c>
      <c r="E1079" t="s">
        <v>5123</v>
      </c>
      <c r="F1079" t="s">
        <v>5124</v>
      </c>
      <c r="G1079" t="s">
        <v>2526</v>
      </c>
      <c r="H1079" t="s">
        <v>320</v>
      </c>
      <c r="I1079">
        <v>11375</v>
      </c>
    </row>
    <row r="1080" spans="1:9" x14ac:dyDescent="0.3">
      <c r="A1080">
        <v>1079</v>
      </c>
      <c r="B1080" t="s">
        <v>2131</v>
      </c>
      <c r="C1080" t="s">
        <v>4636</v>
      </c>
      <c r="D1080" t="s">
        <v>6299</v>
      </c>
      <c r="E1080" t="s">
        <v>5125</v>
      </c>
      <c r="F1080" t="s">
        <v>5126</v>
      </c>
      <c r="G1080" t="s">
        <v>1569</v>
      </c>
      <c r="H1080" t="s">
        <v>320</v>
      </c>
      <c r="I1080">
        <v>11001</v>
      </c>
    </row>
    <row r="1081" spans="1:9" x14ac:dyDescent="0.3">
      <c r="A1081">
        <v>1080</v>
      </c>
      <c r="B1081" t="s">
        <v>5127</v>
      </c>
      <c r="C1081" t="s">
        <v>5128</v>
      </c>
      <c r="D1081" t="s">
        <v>6299</v>
      </c>
      <c r="E1081" t="s">
        <v>5129</v>
      </c>
      <c r="F1081" t="s">
        <v>5130</v>
      </c>
      <c r="G1081" t="s">
        <v>1121</v>
      </c>
      <c r="H1081" t="s">
        <v>326</v>
      </c>
      <c r="I1081">
        <v>75604</v>
      </c>
    </row>
    <row r="1082" spans="1:9" x14ac:dyDescent="0.3">
      <c r="A1082">
        <v>1081</v>
      </c>
      <c r="B1082" t="s">
        <v>1393</v>
      </c>
      <c r="C1082" t="s">
        <v>5131</v>
      </c>
      <c r="D1082" t="s">
        <v>6299</v>
      </c>
      <c r="E1082" t="s">
        <v>5132</v>
      </c>
      <c r="F1082" t="s">
        <v>5133</v>
      </c>
      <c r="G1082" t="s">
        <v>2871</v>
      </c>
      <c r="H1082" t="s">
        <v>320</v>
      </c>
      <c r="I1082">
        <v>10801</v>
      </c>
    </row>
    <row r="1083" spans="1:9" x14ac:dyDescent="0.3">
      <c r="A1083">
        <v>1082</v>
      </c>
      <c r="B1083" t="s">
        <v>5134</v>
      </c>
      <c r="C1083" t="s">
        <v>3089</v>
      </c>
      <c r="D1083" t="s">
        <v>5135</v>
      </c>
      <c r="E1083" t="s">
        <v>5136</v>
      </c>
      <c r="F1083" t="s">
        <v>5137</v>
      </c>
      <c r="G1083" t="s">
        <v>1187</v>
      </c>
      <c r="H1083" t="s">
        <v>320</v>
      </c>
      <c r="I1083">
        <v>11561</v>
      </c>
    </row>
    <row r="1084" spans="1:9" x14ac:dyDescent="0.3">
      <c r="A1084">
        <v>1083</v>
      </c>
      <c r="B1084" t="s">
        <v>5138</v>
      </c>
      <c r="C1084" t="s">
        <v>4846</v>
      </c>
      <c r="D1084" t="s">
        <v>6299</v>
      </c>
      <c r="E1084" t="s">
        <v>5139</v>
      </c>
      <c r="F1084" t="s">
        <v>5140</v>
      </c>
      <c r="G1084" t="s">
        <v>2605</v>
      </c>
      <c r="H1084" t="s">
        <v>320</v>
      </c>
      <c r="I1084">
        <v>11793</v>
      </c>
    </row>
    <row r="1085" spans="1:9" x14ac:dyDescent="0.3">
      <c r="A1085">
        <v>1084</v>
      </c>
      <c r="B1085" t="s">
        <v>1841</v>
      </c>
      <c r="C1085" t="s">
        <v>1764</v>
      </c>
      <c r="D1085" t="s">
        <v>6299</v>
      </c>
      <c r="E1085" t="s">
        <v>5141</v>
      </c>
      <c r="F1085" t="s">
        <v>5142</v>
      </c>
      <c r="G1085" t="s">
        <v>1485</v>
      </c>
      <c r="H1085" t="s">
        <v>320</v>
      </c>
      <c r="I1085">
        <v>11010</v>
      </c>
    </row>
    <row r="1086" spans="1:9" x14ac:dyDescent="0.3">
      <c r="A1086">
        <v>1085</v>
      </c>
      <c r="B1086" t="s">
        <v>3762</v>
      </c>
      <c r="C1086" t="s">
        <v>3368</v>
      </c>
      <c r="D1086" t="s">
        <v>6299</v>
      </c>
      <c r="E1086" t="s">
        <v>5143</v>
      </c>
      <c r="F1086" t="s">
        <v>5144</v>
      </c>
      <c r="G1086" t="s">
        <v>1339</v>
      </c>
      <c r="H1086" t="s">
        <v>320</v>
      </c>
      <c r="I1086">
        <v>11722</v>
      </c>
    </row>
    <row r="1087" spans="1:9" x14ac:dyDescent="0.3">
      <c r="A1087">
        <v>1086</v>
      </c>
      <c r="B1087" t="s">
        <v>5145</v>
      </c>
      <c r="C1087" t="s">
        <v>5146</v>
      </c>
      <c r="D1087" t="s">
        <v>6299</v>
      </c>
      <c r="E1087" t="s">
        <v>5147</v>
      </c>
      <c r="F1087" t="s">
        <v>5148</v>
      </c>
      <c r="G1087" t="s">
        <v>1992</v>
      </c>
      <c r="H1087" t="s">
        <v>320</v>
      </c>
      <c r="I1087">
        <v>11432</v>
      </c>
    </row>
    <row r="1088" spans="1:9" x14ac:dyDescent="0.3">
      <c r="A1088">
        <v>1087</v>
      </c>
      <c r="B1088" t="s">
        <v>5149</v>
      </c>
      <c r="C1088" t="s">
        <v>4164</v>
      </c>
      <c r="D1088" t="s">
        <v>6299</v>
      </c>
      <c r="E1088" t="s">
        <v>5150</v>
      </c>
      <c r="F1088" t="s">
        <v>5151</v>
      </c>
      <c r="G1088" t="s">
        <v>2215</v>
      </c>
      <c r="H1088" t="s">
        <v>314</v>
      </c>
      <c r="I1088">
        <v>94566</v>
      </c>
    </row>
    <row r="1089" spans="1:9" x14ac:dyDescent="0.3">
      <c r="A1089">
        <v>1088</v>
      </c>
      <c r="B1089" t="s">
        <v>5152</v>
      </c>
      <c r="C1089" t="s">
        <v>3158</v>
      </c>
      <c r="D1089" t="s">
        <v>6299</v>
      </c>
      <c r="E1089" t="s">
        <v>5153</v>
      </c>
      <c r="F1089" t="s">
        <v>5154</v>
      </c>
      <c r="G1089" t="s">
        <v>1913</v>
      </c>
      <c r="H1089" t="s">
        <v>314</v>
      </c>
      <c r="I1089">
        <v>92307</v>
      </c>
    </row>
    <row r="1090" spans="1:9" x14ac:dyDescent="0.3">
      <c r="A1090">
        <v>1089</v>
      </c>
      <c r="B1090" t="s">
        <v>2459</v>
      </c>
      <c r="C1090" t="s">
        <v>5155</v>
      </c>
      <c r="D1090" t="s">
        <v>6299</v>
      </c>
      <c r="E1090" t="s">
        <v>5156</v>
      </c>
      <c r="F1090" t="s">
        <v>5157</v>
      </c>
      <c r="G1090" t="s">
        <v>1059</v>
      </c>
      <c r="H1090" t="s">
        <v>320</v>
      </c>
      <c r="I1090">
        <v>14127</v>
      </c>
    </row>
    <row r="1091" spans="1:9" x14ac:dyDescent="0.3">
      <c r="A1091">
        <v>1090</v>
      </c>
      <c r="B1091" t="s">
        <v>3765</v>
      </c>
      <c r="C1091" t="s">
        <v>2404</v>
      </c>
      <c r="D1091" t="s">
        <v>6299</v>
      </c>
      <c r="E1091" t="s">
        <v>5158</v>
      </c>
      <c r="F1091" t="s">
        <v>5159</v>
      </c>
      <c r="G1091" t="s">
        <v>1422</v>
      </c>
      <c r="H1091" t="s">
        <v>320</v>
      </c>
      <c r="I1091">
        <v>11776</v>
      </c>
    </row>
    <row r="1092" spans="1:9" x14ac:dyDescent="0.3">
      <c r="A1092">
        <v>1091</v>
      </c>
      <c r="B1092" t="s">
        <v>5160</v>
      </c>
      <c r="C1092" t="s">
        <v>5161</v>
      </c>
      <c r="D1092" t="s">
        <v>6299</v>
      </c>
      <c r="E1092" t="s">
        <v>5162</v>
      </c>
      <c r="F1092" t="s">
        <v>5163</v>
      </c>
      <c r="G1092" t="s">
        <v>1391</v>
      </c>
      <c r="H1092" t="s">
        <v>314</v>
      </c>
      <c r="I1092">
        <v>95677</v>
      </c>
    </row>
    <row r="1093" spans="1:9" x14ac:dyDescent="0.3">
      <c r="A1093">
        <v>1092</v>
      </c>
      <c r="B1093" t="s">
        <v>5164</v>
      </c>
      <c r="C1093" t="s">
        <v>2400</v>
      </c>
      <c r="D1093" t="s">
        <v>6299</v>
      </c>
      <c r="E1093" t="s">
        <v>5165</v>
      </c>
      <c r="F1093" t="s">
        <v>5166</v>
      </c>
      <c r="G1093" t="s">
        <v>1166</v>
      </c>
      <c r="H1093" t="s">
        <v>320</v>
      </c>
      <c r="I1093">
        <v>11731</v>
      </c>
    </row>
    <row r="1094" spans="1:9" x14ac:dyDescent="0.3">
      <c r="A1094">
        <v>1093</v>
      </c>
      <c r="B1094" t="s">
        <v>5167</v>
      </c>
      <c r="C1094" t="s">
        <v>5168</v>
      </c>
      <c r="D1094" t="s">
        <v>6299</v>
      </c>
      <c r="E1094" t="s">
        <v>5169</v>
      </c>
      <c r="F1094" t="s">
        <v>5170</v>
      </c>
      <c r="G1094" t="s">
        <v>2103</v>
      </c>
      <c r="H1094" t="s">
        <v>320</v>
      </c>
      <c r="I1094">
        <v>11729</v>
      </c>
    </row>
    <row r="1095" spans="1:9" x14ac:dyDescent="0.3">
      <c r="A1095">
        <v>1094</v>
      </c>
      <c r="B1095" t="s">
        <v>5171</v>
      </c>
      <c r="C1095" t="s">
        <v>5172</v>
      </c>
      <c r="D1095" t="s">
        <v>6299</v>
      </c>
      <c r="E1095" t="s">
        <v>5173</v>
      </c>
      <c r="F1095" t="s">
        <v>5174</v>
      </c>
      <c r="G1095" t="s">
        <v>1457</v>
      </c>
      <c r="H1095" t="s">
        <v>320</v>
      </c>
      <c r="I1095">
        <v>11757</v>
      </c>
    </row>
    <row r="1096" spans="1:9" x14ac:dyDescent="0.3">
      <c r="A1096">
        <v>1095</v>
      </c>
      <c r="B1096" t="s">
        <v>1172</v>
      </c>
      <c r="C1096" t="s">
        <v>4007</v>
      </c>
      <c r="D1096" t="s">
        <v>6299</v>
      </c>
      <c r="E1096" t="s">
        <v>5175</v>
      </c>
      <c r="F1096" t="s">
        <v>5176</v>
      </c>
      <c r="G1096" t="s">
        <v>1955</v>
      </c>
      <c r="H1096" t="s">
        <v>320</v>
      </c>
      <c r="I1096">
        <v>11374</v>
      </c>
    </row>
    <row r="1097" spans="1:9" x14ac:dyDescent="0.3">
      <c r="A1097">
        <v>1096</v>
      </c>
      <c r="B1097" t="s">
        <v>2586</v>
      </c>
      <c r="C1097" t="s">
        <v>5177</v>
      </c>
      <c r="D1097" t="s">
        <v>6299</v>
      </c>
      <c r="E1097" t="s">
        <v>5178</v>
      </c>
      <c r="F1097" t="s">
        <v>5179</v>
      </c>
      <c r="G1097" t="s">
        <v>1231</v>
      </c>
      <c r="H1097" t="s">
        <v>320</v>
      </c>
      <c r="I1097">
        <v>13027</v>
      </c>
    </row>
    <row r="1098" spans="1:9" x14ac:dyDescent="0.3">
      <c r="A1098">
        <v>1097</v>
      </c>
      <c r="B1098" t="s">
        <v>3016</v>
      </c>
      <c r="C1098" t="s">
        <v>5180</v>
      </c>
      <c r="D1098" t="s">
        <v>6299</v>
      </c>
      <c r="E1098" t="s">
        <v>5181</v>
      </c>
      <c r="F1098" t="s">
        <v>5182</v>
      </c>
      <c r="G1098" t="s">
        <v>2156</v>
      </c>
      <c r="H1098" t="s">
        <v>314</v>
      </c>
      <c r="I1098">
        <v>94806</v>
      </c>
    </row>
    <row r="1099" spans="1:9" x14ac:dyDescent="0.3">
      <c r="A1099">
        <v>1098</v>
      </c>
      <c r="B1099" t="s">
        <v>5183</v>
      </c>
      <c r="C1099" t="s">
        <v>3498</v>
      </c>
      <c r="D1099" t="s">
        <v>6299</v>
      </c>
      <c r="E1099" t="s">
        <v>5184</v>
      </c>
      <c r="F1099" t="s">
        <v>5185</v>
      </c>
      <c r="G1099" t="s">
        <v>1343</v>
      </c>
      <c r="H1099" t="s">
        <v>320</v>
      </c>
      <c r="I1099">
        <v>11570</v>
      </c>
    </row>
    <row r="1100" spans="1:9" x14ac:dyDescent="0.3">
      <c r="A1100">
        <v>1099</v>
      </c>
      <c r="B1100" t="s">
        <v>5186</v>
      </c>
      <c r="C1100" t="s">
        <v>4221</v>
      </c>
      <c r="D1100" t="s">
        <v>6299</v>
      </c>
      <c r="E1100" t="s">
        <v>5187</v>
      </c>
      <c r="F1100" t="s">
        <v>5188</v>
      </c>
      <c r="G1100" t="s">
        <v>1096</v>
      </c>
      <c r="H1100" t="s">
        <v>320</v>
      </c>
      <c r="I1100">
        <v>11372</v>
      </c>
    </row>
    <row r="1101" spans="1:9" x14ac:dyDescent="0.3">
      <c r="A1101">
        <v>1100</v>
      </c>
      <c r="B1101" t="s">
        <v>5189</v>
      </c>
      <c r="C1101" t="s">
        <v>3295</v>
      </c>
      <c r="D1101" t="s">
        <v>6299</v>
      </c>
      <c r="E1101" t="s">
        <v>5190</v>
      </c>
      <c r="F1101" t="s">
        <v>5191</v>
      </c>
      <c r="G1101" t="s">
        <v>1973</v>
      </c>
      <c r="H1101" t="s">
        <v>320</v>
      </c>
      <c r="I1101">
        <v>12020</v>
      </c>
    </row>
    <row r="1102" spans="1:9" x14ac:dyDescent="0.3">
      <c r="A1102">
        <v>1101</v>
      </c>
      <c r="B1102" t="s">
        <v>5192</v>
      </c>
      <c r="C1102" t="s">
        <v>5193</v>
      </c>
      <c r="D1102" t="s">
        <v>6299</v>
      </c>
      <c r="E1102" t="s">
        <v>5194</v>
      </c>
      <c r="F1102" t="s">
        <v>5195</v>
      </c>
      <c r="G1102" t="s">
        <v>2765</v>
      </c>
      <c r="H1102" t="s">
        <v>320</v>
      </c>
      <c r="I1102">
        <v>14043</v>
      </c>
    </row>
    <row r="1103" spans="1:9" x14ac:dyDescent="0.3">
      <c r="A1103">
        <v>1102</v>
      </c>
      <c r="B1103" t="s">
        <v>5196</v>
      </c>
      <c r="C1103" t="s">
        <v>3551</v>
      </c>
      <c r="D1103" t="s">
        <v>5197</v>
      </c>
      <c r="E1103" t="s">
        <v>5198</v>
      </c>
      <c r="F1103" t="s">
        <v>5199</v>
      </c>
      <c r="G1103" t="s">
        <v>3188</v>
      </c>
      <c r="H1103" t="s">
        <v>326</v>
      </c>
      <c r="I1103">
        <v>76110</v>
      </c>
    </row>
    <row r="1104" spans="1:9" x14ac:dyDescent="0.3">
      <c r="A1104">
        <v>1103</v>
      </c>
      <c r="B1104" t="s">
        <v>5200</v>
      </c>
      <c r="C1104" t="s">
        <v>4899</v>
      </c>
      <c r="D1104" t="s">
        <v>6299</v>
      </c>
      <c r="E1104" t="s">
        <v>5201</v>
      </c>
      <c r="F1104" t="s">
        <v>5202</v>
      </c>
      <c r="G1104" t="s">
        <v>2138</v>
      </c>
      <c r="H1104" t="s">
        <v>314</v>
      </c>
      <c r="I1104">
        <v>91387</v>
      </c>
    </row>
    <row r="1105" spans="1:9" x14ac:dyDescent="0.3">
      <c r="A1105">
        <v>1104</v>
      </c>
      <c r="B1105" t="s">
        <v>5203</v>
      </c>
      <c r="C1105" t="s">
        <v>3228</v>
      </c>
      <c r="D1105" t="s">
        <v>6299</v>
      </c>
      <c r="E1105" t="s">
        <v>5204</v>
      </c>
      <c r="F1105" t="s">
        <v>5205</v>
      </c>
      <c r="G1105" t="s">
        <v>1709</v>
      </c>
      <c r="H1105" t="s">
        <v>320</v>
      </c>
      <c r="I1105">
        <v>10977</v>
      </c>
    </row>
    <row r="1106" spans="1:9" x14ac:dyDescent="0.3">
      <c r="A1106">
        <v>1105</v>
      </c>
      <c r="B1106" t="s">
        <v>5206</v>
      </c>
      <c r="C1106" t="s">
        <v>5172</v>
      </c>
      <c r="D1106" t="s">
        <v>6299</v>
      </c>
      <c r="E1106" t="s">
        <v>5207</v>
      </c>
      <c r="F1106" t="s">
        <v>5208</v>
      </c>
      <c r="G1106" t="s">
        <v>1427</v>
      </c>
      <c r="H1106" t="s">
        <v>326</v>
      </c>
      <c r="I1106">
        <v>75080</v>
      </c>
    </row>
    <row r="1107" spans="1:9" x14ac:dyDescent="0.3">
      <c r="A1107">
        <v>1106</v>
      </c>
      <c r="B1107" t="s">
        <v>5067</v>
      </c>
      <c r="C1107" t="s">
        <v>1331</v>
      </c>
      <c r="D1107" t="s">
        <v>6299</v>
      </c>
      <c r="E1107" t="s">
        <v>5209</v>
      </c>
      <c r="F1107" t="s">
        <v>5210</v>
      </c>
      <c r="G1107" t="s">
        <v>1709</v>
      </c>
      <c r="H1107" t="s">
        <v>320</v>
      </c>
      <c r="I1107">
        <v>10977</v>
      </c>
    </row>
    <row r="1108" spans="1:9" x14ac:dyDescent="0.3">
      <c r="A1108">
        <v>1107</v>
      </c>
      <c r="B1108" t="s">
        <v>5211</v>
      </c>
      <c r="C1108" t="s">
        <v>1102</v>
      </c>
      <c r="D1108" t="s">
        <v>6299</v>
      </c>
      <c r="E1108" t="s">
        <v>5212</v>
      </c>
      <c r="F1108" t="s">
        <v>5213</v>
      </c>
      <c r="G1108" t="s">
        <v>1511</v>
      </c>
      <c r="H1108" t="s">
        <v>320</v>
      </c>
      <c r="I1108">
        <v>12866</v>
      </c>
    </row>
    <row r="1109" spans="1:9" x14ac:dyDescent="0.3">
      <c r="A1109">
        <v>1108</v>
      </c>
      <c r="B1109" t="s">
        <v>5214</v>
      </c>
      <c r="C1109" t="s">
        <v>4109</v>
      </c>
      <c r="D1109" t="s">
        <v>6299</v>
      </c>
      <c r="E1109" t="s">
        <v>5215</v>
      </c>
      <c r="F1109" t="s">
        <v>5216</v>
      </c>
      <c r="G1109" t="s">
        <v>1367</v>
      </c>
      <c r="H1109" t="s">
        <v>326</v>
      </c>
      <c r="I1109">
        <v>75115</v>
      </c>
    </row>
    <row r="1110" spans="1:9" x14ac:dyDescent="0.3">
      <c r="A1110">
        <v>1109</v>
      </c>
      <c r="B1110" t="s">
        <v>5217</v>
      </c>
      <c r="C1110" t="s">
        <v>1970</v>
      </c>
      <c r="D1110" t="s">
        <v>6299</v>
      </c>
      <c r="E1110" t="s">
        <v>5218</v>
      </c>
      <c r="F1110" t="s">
        <v>5219</v>
      </c>
      <c r="G1110" t="s">
        <v>2103</v>
      </c>
      <c r="H1110" t="s">
        <v>320</v>
      </c>
      <c r="I1110">
        <v>11729</v>
      </c>
    </row>
    <row r="1111" spans="1:9" x14ac:dyDescent="0.3">
      <c r="A1111">
        <v>1110</v>
      </c>
      <c r="B1111" t="s">
        <v>3427</v>
      </c>
      <c r="C1111" t="s">
        <v>1783</v>
      </c>
      <c r="D1111" t="s">
        <v>6299</v>
      </c>
      <c r="E1111" t="s">
        <v>5220</v>
      </c>
      <c r="F1111" t="s">
        <v>5221</v>
      </c>
      <c r="G1111" t="s">
        <v>1589</v>
      </c>
      <c r="H1111" t="s">
        <v>320</v>
      </c>
      <c r="I1111">
        <v>11552</v>
      </c>
    </row>
    <row r="1112" spans="1:9" x14ac:dyDescent="0.3">
      <c r="A1112">
        <v>1111</v>
      </c>
      <c r="B1112" t="s">
        <v>5222</v>
      </c>
      <c r="C1112" t="s">
        <v>2439</v>
      </c>
      <c r="D1112" t="s">
        <v>6299</v>
      </c>
      <c r="E1112" t="s">
        <v>5223</v>
      </c>
      <c r="F1112" t="s">
        <v>5224</v>
      </c>
      <c r="G1112" t="s">
        <v>1427</v>
      </c>
      <c r="H1112" t="s">
        <v>326</v>
      </c>
      <c r="I1112">
        <v>75080</v>
      </c>
    </row>
    <row r="1113" spans="1:9" x14ac:dyDescent="0.3">
      <c r="A1113">
        <v>1112</v>
      </c>
      <c r="B1113" t="s">
        <v>1171</v>
      </c>
      <c r="C1113" t="s">
        <v>2105</v>
      </c>
      <c r="D1113" t="s">
        <v>6299</v>
      </c>
      <c r="E1113" t="s">
        <v>5225</v>
      </c>
      <c r="F1113" t="s">
        <v>5226</v>
      </c>
      <c r="G1113" t="s">
        <v>1699</v>
      </c>
      <c r="H1113" t="s">
        <v>320</v>
      </c>
      <c r="I1113">
        <v>11758</v>
      </c>
    </row>
    <row r="1114" spans="1:9" x14ac:dyDescent="0.3">
      <c r="A1114">
        <v>1113</v>
      </c>
      <c r="B1114" t="s">
        <v>5227</v>
      </c>
      <c r="C1114" t="s">
        <v>5228</v>
      </c>
      <c r="D1114" t="s">
        <v>6299</v>
      </c>
      <c r="E1114" t="s">
        <v>5229</v>
      </c>
      <c r="F1114" t="s">
        <v>5230</v>
      </c>
      <c r="G1114" t="s">
        <v>3697</v>
      </c>
      <c r="H1114" t="s">
        <v>320</v>
      </c>
      <c r="I1114">
        <v>14701</v>
      </c>
    </row>
    <row r="1115" spans="1:9" x14ac:dyDescent="0.3">
      <c r="A1115">
        <v>1114</v>
      </c>
      <c r="B1115" t="s">
        <v>2891</v>
      </c>
      <c r="C1115" t="s">
        <v>1999</v>
      </c>
      <c r="D1115" t="s">
        <v>5231</v>
      </c>
      <c r="E1115" t="s">
        <v>5232</v>
      </c>
      <c r="F1115" t="s">
        <v>5233</v>
      </c>
      <c r="G1115" t="s">
        <v>2015</v>
      </c>
      <c r="H1115" t="s">
        <v>320</v>
      </c>
      <c r="I1115">
        <v>12203</v>
      </c>
    </row>
    <row r="1116" spans="1:9" x14ac:dyDescent="0.3">
      <c r="A1116">
        <v>1115</v>
      </c>
      <c r="B1116" t="s">
        <v>5234</v>
      </c>
      <c r="C1116" t="s">
        <v>5235</v>
      </c>
      <c r="D1116" t="s">
        <v>6299</v>
      </c>
      <c r="E1116" t="s">
        <v>5236</v>
      </c>
      <c r="F1116" t="s">
        <v>5237</v>
      </c>
      <c r="G1116" t="s">
        <v>3222</v>
      </c>
      <c r="H1116" t="s">
        <v>320</v>
      </c>
      <c r="I1116">
        <v>11542</v>
      </c>
    </row>
    <row r="1117" spans="1:9" x14ac:dyDescent="0.3">
      <c r="A1117">
        <v>1116</v>
      </c>
      <c r="B1117" t="s">
        <v>5238</v>
      </c>
      <c r="C1117" t="s">
        <v>5239</v>
      </c>
      <c r="D1117" t="s">
        <v>6299</v>
      </c>
      <c r="E1117" t="s">
        <v>5240</v>
      </c>
      <c r="F1117" t="s">
        <v>5241</v>
      </c>
      <c r="G1117" t="s">
        <v>1246</v>
      </c>
      <c r="H1117" t="s">
        <v>320</v>
      </c>
      <c r="I1117">
        <v>11102</v>
      </c>
    </row>
    <row r="1118" spans="1:9" x14ac:dyDescent="0.3">
      <c r="A1118">
        <v>1117</v>
      </c>
      <c r="B1118" t="s">
        <v>5242</v>
      </c>
      <c r="C1118" t="s">
        <v>1634</v>
      </c>
      <c r="D1118" t="s">
        <v>6299</v>
      </c>
      <c r="E1118" t="s">
        <v>5243</v>
      </c>
      <c r="F1118" t="s">
        <v>5244</v>
      </c>
      <c r="G1118" t="s">
        <v>2656</v>
      </c>
      <c r="H1118" t="s">
        <v>320</v>
      </c>
      <c r="I1118">
        <v>11422</v>
      </c>
    </row>
    <row r="1119" spans="1:9" x14ac:dyDescent="0.3">
      <c r="A1119">
        <v>1118</v>
      </c>
      <c r="B1119" t="s">
        <v>5245</v>
      </c>
      <c r="C1119" t="s">
        <v>1616</v>
      </c>
      <c r="D1119" t="s">
        <v>6299</v>
      </c>
      <c r="E1119" t="s">
        <v>5246</v>
      </c>
      <c r="F1119" t="s">
        <v>5247</v>
      </c>
      <c r="G1119" t="s">
        <v>2138</v>
      </c>
      <c r="H1119" t="s">
        <v>314</v>
      </c>
      <c r="I1119">
        <v>91387</v>
      </c>
    </row>
    <row r="1120" spans="1:9" x14ac:dyDescent="0.3">
      <c r="A1120">
        <v>1119</v>
      </c>
      <c r="B1120" t="s">
        <v>5248</v>
      </c>
      <c r="C1120" t="s">
        <v>5249</v>
      </c>
      <c r="D1120" t="s">
        <v>6299</v>
      </c>
      <c r="E1120" t="s">
        <v>5250</v>
      </c>
      <c r="F1120" t="s">
        <v>5251</v>
      </c>
      <c r="G1120" t="s">
        <v>1110</v>
      </c>
      <c r="H1120" t="s">
        <v>320</v>
      </c>
      <c r="I1120">
        <v>10952</v>
      </c>
    </row>
    <row r="1121" spans="1:9" x14ac:dyDescent="0.3">
      <c r="A1121">
        <v>1120</v>
      </c>
      <c r="B1121" t="s">
        <v>5252</v>
      </c>
      <c r="C1121" t="s">
        <v>2481</v>
      </c>
      <c r="D1121" t="s">
        <v>6299</v>
      </c>
      <c r="E1121" t="s">
        <v>5253</v>
      </c>
      <c r="F1121" t="s">
        <v>5254</v>
      </c>
      <c r="G1121" t="s">
        <v>1166</v>
      </c>
      <c r="H1121" t="s">
        <v>320</v>
      </c>
      <c r="I1121">
        <v>11731</v>
      </c>
    </row>
    <row r="1122" spans="1:9" x14ac:dyDescent="0.3">
      <c r="A1122">
        <v>1121</v>
      </c>
      <c r="B1122" t="s">
        <v>5255</v>
      </c>
      <c r="C1122" t="s">
        <v>5256</v>
      </c>
      <c r="D1122" t="s">
        <v>6299</v>
      </c>
      <c r="E1122" t="s">
        <v>5257</v>
      </c>
      <c r="F1122" t="s">
        <v>5258</v>
      </c>
      <c r="G1122" t="s">
        <v>3570</v>
      </c>
      <c r="H1122" t="s">
        <v>320</v>
      </c>
      <c r="I1122">
        <v>10598</v>
      </c>
    </row>
    <row r="1123" spans="1:9" x14ac:dyDescent="0.3">
      <c r="A1123">
        <v>1122</v>
      </c>
      <c r="B1123" t="s">
        <v>5259</v>
      </c>
      <c r="C1123" t="s">
        <v>2139</v>
      </c>
      <c r="D1123" t="s">
        <v>6299</v>
      </c>
      <c r="E1123" t="s">
        <v>5260</v>
      </c>
      <c r="F1123" t="s">
        <v>5261</v>
      </c>
      <c r="G1123" t="s">
        <v>2200</v>
      </c>
      <c r="H1123" t="s">
        <v>320</v>
      </c>
      <c r="I1123">
        <v>11762</v>
      </c>
    </row>
    <row r="1124" spans="1:9" x14ac:dyDescent="0.3">
      <c r="A1124">
        <v>1123</v>
      </c>
      <c r="B1124" t="s">
        <v>5262</v>
      </c>
      <c r="C1124" t="s">
        <v>4587</v>
      </c>
      <c r="D1124" t="s">
        <v>6299</v>
      </c>
      <c r="E1124" t="s">
        <v>5263</v>
      </c>
      <c r="F1124" t="s">
        <v>5264</v>
      </c>
      <c r="G1124" t="s">
        <v>1085</v>
      </c>
      <c r="H1124" t="s">
        <v>320</v>
      </c>
      <c r="I1124">
        <v>14450</v>
      </c>
    </row>
    <row r="1125" spans="1:9" x14ac:dyDescent="0.3">
      <c r="A1125">
        <v>1124</v>
      </c>
      <c r="B1125" t="s">
        <v>5265</v>
      </c>
      <c r="C1125" t="s">
        <v>5266</v>
      </c>
      <c r="D1125" t="s">
        <v>6299</v>
      </c>
      <c r="E1125" t="s">
        <v>5267</v>
      </c>
      <c r="F1125" t="s">
        <v>5268</v>
      </c>
      <c r="G1125" t="s">
        <v>1362</v>
      </c>
      <c r="H1125" t="s">
        <v>320</v>
      </c>
      <c r="I1125">
        <v>11701</v>
      </c>
    </row>
    <row r="1126" spans="1:9" x14ac:dyDescent="0.3">
      <c r="A1126">
        <v>1125</v>
      </c>
      <c r="B1126" t="s">
        <v>5269</v>
      </c>
      <c r="C1126" t="s">
        <v>5270</v>
      </c>
      <c r="D1126" t="s">
        <v>6299</v>
      </c>
      <c r="E1126" t="s">
        <v>5271</v>
      </c>
      <c r="F1126" t="s">
        <v>5272</v>
      </c>
      <c r="G1126" t="s">
        <v>2215</v>
      </c>
      <c r="H1126" t="s">
        <v>314</v>
      </c>
      <c r="I1126">
        <v>94566</v>
      </c>
    </row>
    <row r="1127" spans="1:9" x14ac:dyDescent="0.3">
      <c r="A1127">
        <v>1126</v>
      </c>
      <c r="B1127" t="s">
        <v>5273</v>
      </c>
      <c r="C1127" t="s">
        <v>5274</v>
      </c>
      <c r="D1127" t="s">
        <v>6299</v>
      </c>
      <c r="E1127" t="s">
        <v>5275</v>
      </c>
      <c r="F1127" t="s">
        <v>5276</v>
      </c>
      <c r="G1127" t="s">
        <v>1709</v>
      </c>
      <c r="H1127" t="s">
        <v>320</v>
      </c>
      <c r="I1127">
        <v>10977</v>
      </c>
    </row>
    <row r="1128" spans="1:9" x14ac:dyDescent="0.3">
      <c r="A1128">
        <v>1127</v>
      </c>
      <c r="B1128" t="s">
        <v>5277</v>
      </c>
      <c r="C1128" t="s">
        <v>3911</v>
      </c>
      <c r="D1128" t="s">
        <v>6299</v>
      </c>
      <c r="E1128" t="s">
        <v>5278</v>
      </c>
      <c r="F1128" t="s">
        <v>5279</v>
      </c>
      <c r="G1128" t="s">
        <v>1262</v>
      </c>
      <c r="H1128" t="s">
        <v>320</v>
      </c>
      <c r="I1128">
        <v>12804</v>
      </c>
    </row>
    <row r="1129" spans="1:9" x14ac:dyDescent="0.3">
      <c r="A1129">
        <v>1128</v>
      </c>
      <c r="B1129" t="s">
        <v>5280</v>
      </c>
      <c r="C1129" t="s">
        <v>5281</v>
      </c>
      <c r="D1129" t="s">
        <v>6299</v>
      </c>
      <c r="E1129" t="s">
        <v>5282</v>
      </c>
      <c r="F1129" t="s">
        <v>5283</v>
      </c>
      <c r="G1129" t="s">
        <v>1181</v>
      </c>
      <c r="H1129" t="s">
        <v>320</v>
      </c>
      <c r="I1129">
        <v>10541</v>
      </c>
    </row>
    <row r="1130" spans="1:9" x14ac:dyDescent="0.3">
      <c r="A1130">
        <v>1129</v>
      </c>
      <c r="B1130" t="s">
        <v>2418</v>
      </c>
      <c r="C1130" t="s">
        <v>4208</v>
      </c>
      <c r="D1130" t="s">
        <v>6299</v>
      </c>
      <c r="E1130" t="s">
        <v>5284</v>
      </c>
      <c r="F1130" t="s">
        <v>5285</v>
      </c>
      <c r="G1130" t="s">
        <v>1819</v>
      </c>
      <c r="H1130" t="s">
        <v>320</v>
      </c>
      <c r="I1130">
        <v>11377</v>
      </c>
    </row>
    <row r="1131" spans="1:9" x14ac:dyDescent="0.3">
      <c r="A1131">
        <v>1130</v>
      </c>
      <c r="B1131" t="s">
        <v>5286</v>
      </c>
      <c r="C1131" t="s">
        <v>4708</v>
      </c>
      <c r="D1131" t="s">
        <v>6299</v>
      </c>
      <c r="E1131" t="s">
        <v>5287</v>
      </c>
      <c r="F1131" t="s">
        <v>5288</v>
      </c>
      <c r="G1131" t="s">
        <v>1277</v>
      </c>
      <c r="H1131" t="s">
        <v>320</v>
      </c>
      <c r="I1131">
        <v>11003</v>
      </c>
    </row>
    <row r="1132" spans="1:9" x14ac:dyDescent="0.3">
      <c r="A1132">
        <v>1131</v>
      </c>
      <c r="B1132" t="s">
        <v>5289</v>
      </c>
      <c r="C1132" t="s">
        <v>5290</v>
      </c>
      <c r="D1132" t="s">
        <v>6299</v>
      </c>
      <c r="E1132" t="s">
        <v>5291</v>
      </c>
      <c r="F1132" t="s">
        <v>5292</v>
      </c>
      <c r="G1132" t="s">
        <v>2539</v>
      </c>
      <c r="H1132" t="s">
        <v>320</v>
      </c>
      <c r="I1132">
        <v>10550</v>
      </c>
    </row>
    <row r="1133" spans="1:9" x14ac:dyDescent="0.3">
      <c r="A1133">
        <v>1132</v>
      </c>
      <c r="B1133" t="s">
        <v>5037</v>
      </c>
      <c r="C1133" t="s">
        <v>5293</v>
      </c>
      <c r="D1133" t="s">
        <v>6299</v>
      </c>
      <c r="E1133" t="s">
        <v>5294</v>
      </c>
      <c r="F1133" t="s">
        <v>5295</v>
      </c>
      <c r="G1133" t="s">
        <v>2631</v>
      </c>
      <c r="H1133" t="s">
        <v>320</v>
      </c>
      <c r="I1133">
        <v>14850</v>
      </c>
    </row>
    <row r="1134" spans="1:9" x14ac:dyDescent="0.3">
      <c r="A1134">
        <v>1133</v>
      </c>
      <c r="B1134" t="s">
        <v>5296</v>
      </c>
      <c r="C1134" t="s">
        <v>1985</v>
      </c>
      <c r="D1134" t="s">
        <v>6299</v>
      </c>
      <c r="E1134" t="s">
        <v>5297</v>
      </c>
      <c r="F1134" t="s">
        <v>5298</v>
      </c>
      <c r="G1134" t="s">
        <v>1786</v>
      </c>
      <c r="H1134" t="s">
        <v>320</v>
      </c>
      <c r="I1134">
        <v>11795</v>
      </c>
    </row>
    <row r="1135" spans="1:9" x14ac:dyDescent="0.3">
      <c r="A1135">
        <v>1134</v>
      </c>
      <c r="B1135" t="s">
        <v>5299</v>
      </c>
      <c r="C1135" t="s">
        <v>3114</v>
      </c>
      <c r="D1135" t="s">
        <v>6299</v>
      </c>
      <c r="E1135" t="s">
        <v>5300</v>
      </c>
      <c r="F1135" t="s">
        <v>5301</v>
      </c>
      <c r="G1135" t="s">
        <v>1367</v>
      </c>
      <c r="H1135" t="s">
        <v>326</v>
      </c>
      <c r="I1135">
        <v>75115</v>
      </c>
    </row>
    <row r="1136" spans="1:9" x14ac:dyDescent="0.3">
      <c r="A1136">
        <v>1135</v>
      </c>
      <c r="B1136" t="s">
        <v>5302</v>
      </c>
      <c r="C1136" t="s">
        <v>1203</v>
      </c>
      <c r="D1136" t="s">
        <v>6299</v>
      </c>
      <c r="E1136" t="s">
        <v>5303</v>
      </c>
      <c r="F1136" t="s">
        <v>5304</v>
      </c>
      <c r="G1136" t="s">
        <v>1377</v>
      </c>
      <c r="H1136" t="s">
        <v>326</v>
      </c>
      <c r="I1136">
        <v>75043</v>
      </c>
    </row>
    <row r="1137" spans="1:9" x14ac:dyDescent="0.3">
      <c r="A1137">
        <v>1136</v>
      </c>
      <c r="B1137" t="s">
        <v>5305</v>
      </c>
      <c r="C1137" t="s">
        <v>5306</v>
      </c>
      <c r="D1137" t="s">
        <v>5307</v>
      </c>
      <c r="E1137" t="s">
        <v>5308</v>
      </c>
      <c r="F1137" t="s">
        <v>5309</v>
      </c>
      <c r="G1137" t="s">
        <v>2951</v>
      </c>
      <c r="H1137" t="s">
        <v>320</v>
      </c>
      <c r="I1137">
        <v>14606</v>
      </c>
    </row>
    <row r="1138" spans="1:9" x14ac:dyDescent="0.3">
      <c r="A1138">
        <v>1137</v>
      </c>
      <c r="B1138" t="s">
        <v>5310</v>
      </c>
      <c r="C1138" t="s">
        <v>2806</v>
      </c>
      <c r="D1138" t="s">
        <v>6299</v>
      </c>
      <c r="E1138" t="s">
        <v>5311</v>
      </c>
      <c r="F1138" t="s">
        <v>5312</v>
      </c>
      <c r="G1138" t="s">
        <v>1100</v>
      </c>
      <c r="H1138" t="s">
        <v>320</v>
      </c>
      <c r="I1138">
        <v>11050</v>
      </c>
    </row>
    <row r="1139" spans="1:9" x14ac:dyDescent="0.3">
      <c r="A1139">
        <v>1138</v>
      </c>
      <c r="B1139" t="s">
        <v>5265</v>
      </c>
      <c r="C1139" t="s">
        <v>1644</v>
      </c>
      <c r="D1139" t="s">
        <v>6299</v>
      </c>
      <c r="E1139" t="s">
        <v>5313</v>
      </c>
      <c r="F1139" t="s">
        <v>5314</v>
      </c>
      <c r="G1139" t="s">
        <v>2005</v>
      </c>
      <c r="H1139" t="s">
        <v>314</v>
      </c>
      <c r="I1139">
        <v>93555</v>
      </c>
    </row>
    <row r="1140" spans="1:9" x14ac:dyDescent="0.3">
      <c r="A1140">
        <v>1139</v>
      </c>
      <c r="B1140" t="s">
        <v>5315</v>
      </c>
      <c r="C1140" t="s">
        <v>5005</v>
      </c>
      <c r="D1140" t="s">
        <v>6299</v>
      </c>
      <c r="E1140" t="s">
        <v>5316</v>
      </c>
      <c r="F1140" t="s">
        <v>5317</v>
      </c>
      <c r="G1140" t="s">
        <v>2539</v>
      </c>
      <c r="H1140" t="s">
        <v>320</v>
      </c>
      <c r="I1140">
        <v>10550</v>
      </c>
    </row>
    <row r="1141" spans="1:9" x14ac:dyDescent="0.3">
      <c r="A1141">
        <v>1140</v>
      </c>
      <c r="B1141" t="s">
        <v>5318</v>
      </c>
      <c r="C1141" t="s">
        <v>5319</v>
      </c>
      <c r="D1141" t="s">
        <v>6299</v>
      </c>
      <c r="E1141" t="s">
        <v>5320</v>
      </c>
      <c r="F1141" t="s">
        <v>5321</v>
      </c>
      <c r="G1141" t="s">
        <v>1236</v>
      </c>
      <c r="H1141" t="s">
        <v>320</v>
      </c>
      <c r="I1141">
        <v>13090</v>
      </c>
    </row>
    <row r="1142" spans="1:9" x14ac:dyDescent="0.3">
      <c r="A1142">
        <v>1141</v>
      </c>
      <c r="B1142" t="s">
        <v>5322</v>
      </c>
      <c r="C1142" t="s">
        <v>1477</v>
      </c>
      <c r="D1142" t="s">
        <v>6299</v>
      </c>
      <c r="E1142" t="s">
        <v>5323</v>
      </c>
      <c r="F1142" t="s">
        <v>5324</v>
      </c>
      <c r="G1142" t="s">
        <v>1651</v>
      </c>
      <c r="H1142" t="s">
        <v>320</v>
      </c>
      <c r="I1142">
        <v>12550</v>
      </c>
    </row>
    <row r="1143" spans="1:9" x14ac:dyDescent="0.3">
      <c r="A1143">
        <v>1142</v>
      </c>
      <c r="B1143" t="s">
        <v>5325</v>
      </c>
      <c r="C1143" t="s">
        <v>3246</v>
      </c>
      <c r="D1143" t="s">
        <v>6299</v>
      </c>
      <c r="E1143" t="s">
        <v>5326</v>
      </c>
      <c r="F1143" t="s">
        <v>5327</v>
      </c>
      <c r="G1143" t="s">
        <v>1615</v>
      </c>
      <c r="H1143" t="s">
        <v>320</v>
      </c>
      <c r="I1143">
        <v>14534</v>
      </c>
    </row>
    <row r="1144" spans="1:9" x14ac:dyDescent="0.3">
      <c r="A1144">
        <v>1143</v>
      </c>
      <c r="B1144" t="s">
        <v>5328</v>
      </c>
      <c r="C1144" t="s">
        <v>1504</v>
      </c>
      <c r="D1144" t="s">
        <v>6299</v>
      </c>
      <c r="E1144" t="s">
        <v>5329</v>
      </c>
      <c r="F1144" t="s">
        <v>5330</v>
      </c>
      <c r="G1144" t="s">
        <v>5331</v>
      </c>
      <c r="H1144" t="s">
        <v>320</v>
      </c>
      <c r="I1144">
        <v>14150</v>
      </c>
    </row>
    <row r="1145" spans="1:9" x14ac:dyDescent="0.3">
      <c r="A1145">
        <v>1144</v>
      </c>
      <c r="B1145" t="s">
        <v>5332</v>
      </c>
      <c r="C1145" t="s">
        <v>5333</v>
      </c>
      <c r="D1145" t="s">
        <v>6299</v>
      </c>
      <c r="E1145" t="s">
        <v>5334</v>
      </c>
      <c r="F1145" t="s">
        <v>5335</v>
      </c>
      <c r="G1145" t="s">
        <v>5100</v>
      </c>
      <c r="H1145" t="s">
        <v>320</v>
      </c>
      <c r="I1145">
        <v>11364</v>
      </c>
    </row>
    <row r="1146" spans="1:9" x14ac:dyDescent="0.3">
      <c r="A1146">
        <v>1145</v>
      </c>
      <c r="B1146" t="s">
        <v>5336</v>
      </c>
      <c r="C1146" t="s">
        <v>1369</v>
      </c>
      <c r="D1146" t="s">
        <v>5337</v>
      </c>
      <c r="E1146" t="s">
        <v>5338</v>
      </c>
      <c r="F1146" t="s">
        <v>5339</v>
      </c>
      <c r="G1146" t="s">
        <v>2922</v>
      </c>
      <c r="H1146" t="s">
        <v>320</v>
      </c>
      <c r="I1146">
        <v>10701</v>
      </c>
    </row>
    <row r="1147" spans="1:9" x14ac:dyDescent="0.3">
      <c r="A1147">
        <v>1146</v>
      </c>
      <c r="B1147" t="s">
        <v>5340</v>
      </c>
      <c r="C1147" t="s">
        <v>1393</v>
      </c>
      <c r="D1147" t="s">
        <v>6299</v>
      </c>
      <c r="E1147" t="s">
        <v>5341</v>
      </c>
      <c r="F1147" t="s">
        <v>5342</v>
      </c>
      <c r="G1147" t="s">
        <v>1718</v>
      </c>
      <c r="H1147" t="s">
        <v>320</v>
      </c>
      <c r="I1147">
        <v>11412</v>
      </c>
    </row>
    <row r="1148" spans="1:9" x14ac:dyDescent="0.3">
      <c r="A1148">
        <v>1147</v>
      </c>
      <c r="B1148" t="s">
        <v>2601</v>
      </c>
      <c r="C1148" t="s">
        <v>5343</v>
      </c>
      <c r="D1148" t="s">
        <v>6299</v>
      </c>
      <c r="E1148" t="s">
        <v>5344</v>
      </c>
      <c r="F1148" t="s">
        <v>5345</v>
      </c>
      <c r="G1148" t="s">
        <v>3255</v>
      </c>
      <c r="H1148" t="s">
        <v>314</v>
      </c>
      <c r="I1148">
        <v>90403</v>
      </c>
    </row>
    <row r="1149" spans="1:9" x14ac:dyDescent="0.3">
      <c r="A1149">
        <v>1148</v>
      </c>
      <c r="B1149" t="s">
        <v>5346</v>
      </c>
      <c r="C1149" t="s">
        <v>5347</v>
      </c>
      <c r="D1149" t="s">
        <v>6299</v>
      </c>
      <c r="E1149" t="s">
        <v>5348</v>
      </c>
      <c r="F1149" t="s">
        <v>5349</v>
      </c>
      <c r="G1149" t="s">
        <v>1709</v>
      </c>
      <c r="H1149" t="s">
        <v>320</v>
      </c>
      <c r="I1149">
        <v>10977</v>
      </c>
    </row>
    <row r="1150" spans="1:9" x14ac:dyDescent="0.3">
      <c r="A1150">
        <v>1149</v>
      </c>
      <c r="B1150" t="s">
        <v>5350</v>
      </c>
      <c r="C1150" t="s">
        <v>1804</v>
      </c>
      <c r="D1150" t="s">
        <v>6299</v>
      </c>
      <c r="E1150" t="s">
        <v>5351</v>
      </c>
      <c r="F1150" t="s">
        <v>5352</v>
      </c>
      <c r="G1150" t="s">
        <v>1854</v>
      </c>
      <c r="H1150" t="s">
        <v>314</v>
      </c>
      <c r="I1150">
        <v>95050</v>
      </c>
    </row>
    <row r="1151" spans="1:9" x14ac:dyDescent="0.3">
      <c r="A1151">
        <v>1150</v>
      </c>
      <c r="B1151" t="s">
        <v>2334</v>
      </c>
      <c r="C1151" t="s">
        <v>5353</v>
      </c>
      <c r="D1151" t="s">
        <v>5354</v>
      </c>
      <c r="E1151" t="s">
        <v>5355</v>
      </c>
      <c r="F1151" t="s">
        <v>5356</v>
      </c>
      <c r="G1151" t="s">
        <v>1638</v>
      </c>
      <c r="H1151" t="s">
        <v>326</v>
      </c>
      <c r="I1151">
        <v>78418</v>
      </c>
    </row>
    <row r="1152" spans="1:9" x14ac:dyDescent="0.3">
      <c r="A1152">
        <v>1151</v>
      </c>
      <c r="B1152" t="s">
        <v>5357</v>
      </c>
      <c r="C1152" t="s">
        <v>4221</v>
      </c>
      <c r="D1152" t="s">
        <v>6299</v>
      </c>
      <c r="E1152" t="s">
        <v>5358</v>
      </c>
      <c r="F1152" t="s">
        <v>5359</v>
      </c>
      <c r="G1152" t="s">
        <v>2345</v>
      </c>
      <c r="H1152" t="s">
        <v>320</v>
      </c>
      <c r="I1152">
        <v>11720</v>
      </c>
    </row>
    <row r="1153" spans="1:9" x14ac:dyDescent="0.3">
      <c r="A1153">
        <v>1152</v>
      </c>
      <c r="B1153" t="s">
        <v>5360</v>
      </c>
      <c r="C1153" t="s">
        <v>3203</v>
      </c>
      <c r="D1153" t="s">
        <v>6299</v>
      </c>
      <c r="E1153" t="s">
        <v>5361</v>
      </c>
      <c r="F1153" t="s">
        <v>5362</v>
      </c>
      <c r="G1153" t="s">
        <v>1404</v>
      </c>
      <c r="H1153" t="s">
        <v>314</v>
      </c>
      <c r="I1153">
        <v>91733</v>
      </c>
    </row>
    <row r="1154" spans="1:9" x14ac:dyDescent="0.3">
      <c r="A1154">
        <v>1153</v>
      </c>
      <c r="B1154" t="s">
        <v>5363</v>
      </c>
      <c r="C1154" t="s">
        <v>1720</v>
      </c>
      <c r="D1154" t="s">
        <v>6299</v>
      </c>
      <c r="E1154" t="s">
        <v>5364</v>
      </c>
      <c r="F1154" t="s">
        <v>5365</v>
      </c>
      <c r="G1154" t="s">
        <v>1348</v>
      </c>
      <c r="H1154" t="s">
        <v>314</v>
      </c>
      <c r="I1154">
        <v>94070</v>
      </c>
    </row>
    <row r="1155" spans="1:9" x14ac:dyDescent="0.3">
      <c r="A1155">
        <v>1154</v>
      </c>
      <c r="B1155" t="s">
        <v>2341</v>
      </c>
      <c r="C1155" t="s">
        <v>1203</v>
      </c>
      <c r="D1155" t="s">
        <v>6299</v>
      </c>
      <c r="E1155" t="s">
        <v>5366</v>
      </c>
      <c r="F1155" t="s">
        <v>5367</v>
      </c>
      <c r="G1155" t="s">
        <v>3415</v>
      </c>
      <c r="H1155" t="s">
        <v>320</v>
      </c>
      <c r="I1155">
        <v>13021</v>
      </c>
    </row>
    <row r="1156" spans="1:9" x14ac:dyDescent="0.3">
      <c r="A1156">
        <v>1155</v>
      </c>
      <c r="B1156" t="s">
        <v>5368</v>
      </c>
      <c r="C1156" t="s">
        <v>1446</v>
      </c>
      <c r="D1156" t="s">
        <v>6299</v>
      </c>
      <c r="E1156" t="s">
        <v>5369</v>
      </c>
      <c r="F1156" t="s">
        <v>5370</v>
      </c>
      <c r="G1156" t="s">
        <v>5371</v>
      </c>
      <c r="H1156" t="s">
        <v>320</v>
      </c>
      <c r="I1156">
        <v>11691</v>
      </c>
    </row>
    <row r="1157" spans="1:9" x14ac:dyDescent="0.3">
      <c r="A1157">
        <v>1156</v>
      </c>
      <c r="B1157" t="s">
        <v>4074</v>
      </c>
      <c r="C1157" t="s">
        <v>4109</v>
      </c>
      <c r="D1157" t="s">
        <v>6299</v>
      </c>
      <c r="E1157" t="s">
        <v>5372</v>
      </c>
      <c r="F1157" t="s">
        <v>5373</v>
      </c>
      <c r="G1157" t="s">
        <v>1632</v>
      </c>
      <c r="H1157" t="s">
        <v>320</v>
      </c>
      <c r="I1157">
        <v>11414</v>
      </c>
    </row>
    <row r="1158" spans="1:9" x14ac:dyDescent="0.3">
      <c r="A1158">
        <v>1157</v>
      </c>
      <c r="B1158" t="s">
        <v>5374</v>
      </c>
      <c r="C1158" t="s">
        <v>2253</v>
      </c>
      <c r="D1158" t="s">
        <v>5375</v>
      </c>
      <c r="E1158" t="s">
        <v>5376</v>
      </c>
      <c r="F1158" t="s">
        <v>5377</v>
      </c>
      <c r="G1158" t="s">
        <v>1091</v>
      </c>
      <c r="H1158" t="s">
        <v>320</v>
      </c>
      <c r="I1158">
        <v>14215</v>
      </c>
    </row>
    <row r="1159" spans="1:9" x14ac:dyDescent="0.3">
      <c r="A1159">
        <v>1158</v>
      </c>
      <c r="B1159" t="s">
        <v>5378</v>
      </c>
      <c r="C1159" t="s">
        <v>3176</v>
      </c>
      <c r="D1159" t="s">
        <v>6299</v>
      </c>
      <c r="E1159" t="s">
        <v>5379</v>
      </c>
      <c r="F1159" t="s">
        <v>5380</v>
      </c>
      <c r="G1159" t="s">
        <v>1147</v>
      </c>
      <c r="H1159" t="s">
        <v>320</v>
      </c>
      <c r="I1159">
        <v>14424</v>
      </c>
    </row>
    <row r="1160" spans="1:9" x14ac:dyDescent="0.3">
      <c r="A1160">
        <v>1159</v>
      </c>
      <c r="B1160" t="s">
        <v>5381</v>
      </c>
      <c r="C1160" t="s">
        <v>1401</v>
      </c>
      <c r="D1160" t="s">
        <v>6299</v>
      </c>
      <c r="E1160" t="s">
        <v>5382</v>
      </c>
      <c r="F1160" t="s">
        <v>5383</v>
      </c>
      <c r="G1160" t="s">
        <v>1546</v>
      </c>
      <c r="H1160" t="s">
        <v>320</v>
      </c>
      <c r="I1160">
        <v>11791</v>
      </c>
    </row>
    <row r="1161" spans="1:9" x14ac:dyDescent="0.3">
      <c r="A1161">
        <v>1160</v>
      </c>
      <c r="B1161" t="s">
        <v>2998</v>
      </c>
      <c r="C1161" t="s">
        <v>5384</v>
      </c>
      <c r="D1161" t="s">
        <v>6299</v>
      </c>
      <c r="E1161" t="s">
        <v>5385</v>
      </c>
      <c r="F1161" t="s">
        <v>5386</v>
      </c>
      <c r="G1161" t="s">
        <v>1606</v>
      </c>
      <c r="H1161" t="s">
        <v>326</v>
      </c>
      <c r="I1161">
        <v>76039</v>
      </c>
    </row>
    <row r="1162" spans="1:9" x14ac:dyDescent="0.3">
      <c r="A1162">
        <v>1161</v>
      </c>
      <c r="B1162" t="s">
        <v>5387</v>
      </c>
      <c r="C1162" t="s">
        <v>1816</v>
      </c>
      <c r="D1162" t="s">
        <v>6299</v>
      </c>
      <c r="E1162" t="s">
        <v>5388</v>
      </c>
      <c r="F1162" t="s">
        <v>5389</v>
      </c>
      <c r="G1162" t="s">
        <v>2619</v>
      </c>
      <c r="H1162" t="s">
        <v>320</v>
      </c>
      <c r="I1162">
        <v>11580</v>
      </c>
    </row>
    <row r="1163" spans="1:9" x14ac:dyDescent="0.3">
      <c r="A1163">
        <v>1162</v>
      </c>
      <c r="B1163" t="s">
        <v>5390</v>
      </c>
      <c r="C1163" t="s">
        <v>5391</v>
      </c>
      <c r="D1163" t="s">
        <v>6299</v>
      </c>
      <c r="E1163" t="s">
        <v>5392</v>
      </c>
      <c r="F1163" t="s">
        <v>5393</v>
      </c>
      <c r="G1163" t="s">
        <v>2631</v>
      </c>
      <c r="H1163" t="s">
        <v>320</v>
      </c>
      <c r="I1163">
        <v>14850</v>
      </c>
    </row>
    <row r="1164" spans="1:9" x14ac:dyDescent="0.3">
      <c r="A1164">
        <v>1163</v>
      </c>
      <c r="B1164" t="s">
        <v>5394</v>
      </c>
      <c r="C1164" t="s">
        <v>1087</v>
      </c>
      <c r="D1164" t="s">
        <v>6299</v>
      </c>
      <c r="E1164" t="s">
        <v>5395</v>
      </c>
      <c r="F1164" t="s">
        <v>5396</v>
      </c>
      <c r="G1164" t="s">
        <v>2076</v>
      </c>
      <c r="H1164" t="s">
        <v>314</v>
      </c>
      <c r="I1164">
        <v>90260</v>
      </c>
    </row>
    <row r="1165" spans="1:9" x14ac:dyDescent="0.3">
      <c r="A1165">
        <v>1164</v>
      </c>
      <c r="B1165" t="s">
        <v>5397</v>
      </c>
      <c r="C1165" t="s">
        <v>5398</v>
      </c>
      <c r="D1165" t="s">
        <v>6299</v>
      </c>
      <c r="E1165" t="s">
        <v>5399</v>
      </c>
      <c r="F1165" t="s">
        <v>5400</v>
      </c>
      <c r="G1165" t="s">
        <v>1142</v>
      </c>
      <c r="H1165" t="s">
        <v>320</v>
      </c>
      <c r="I1165">
        <v>10583</v>
      </c>
    </row>
    <row r="1166" spans="1:9" x14ac:dyDescent="0.3">
      <c r="A1166">
        <v>1165</v>
      </c>
      <c r="B1166" t="s">
        <v>5401</v>
      </c>
      <c r="C1166" t="s">
        <v>5402</v>
      </c>
      <c r="D1166" t="s">
        <v>5403</v>
      </c>
      <c r="E1166" t="s">
        <v>5404</v>
      </c>
      <c r="F1166" t="s">
        <v>5405</v>
      </c>
      <c r="G1166" t="s">
        <v>3188</v>
      </c>
      <c r="H1166" t="s">
        <v>326</v>
      </c>
      <c r="I1166">
        <v>76110</v>
      </c>
    </row>
    <row r="1167" spans="1:9" x14ac:dyDescent="0.3">
      <c r="A1167">
        <v>1166</v>
      </c>
      <c r="B1167" t="s">
        <v>5406</v>
      </c>
      <c r="C1167" t="s">
        <v>1183</v>
      </c>
      <c r="D1167" t="s">
        <v>6299</v>
      </c>
      <c r="E1167" t="s">
        <v>5407</v>
      </c>
      <c r="F1167" t="s">
        <v>5408</v>
      </c>
      <c r="G1167" t="s">
        <v>1781</v>
      </c>
      <c r="H1167" t="s">
        <v>320</v>
      </c>
      <c r="I1167">
        <v>11706</v>
      </c>
    </row>
    <row r="1168" spans="1:9" x14ac:dyDescent="0.3">
      <c r="A1168">
        <v>1167</v>
      </c>
      <c r="B1168" t="s">
        <v>3823</v>
      </c>
      <c r="C1168" t="s">
        <v>1269</v>
      </c>
      <c r="D1168" t="s">
        <v>6299</v>
      </c>
      <c r="E1168" t="s">
        <v>5409</v>
      </c>
      <c r="F1168" t="s">
        <v>5410</v>
      </c>
      <c r="G1168" t="s">
        <v>3002</v>
      </c>
      <c r="H1168" t="s">
        <v>320</v>
      </c>
      <c r="I1168">
        <v>10954</v>
      </c>
    </row>
    <row r="1169" spans="1:9" x14ac:dyDescent="0.3">
      <c r="A1169">
        <v>1168</v>
      </c>
      <c r="B1169" t="s">
        <v>5411</v>
      </c>
      <c r="C1169" t="s">
        <v>3354</v>
      </c>
      <c r="D1169" t="s">
        <v>6299</v>
      </c>
      <c r="E1169" t="s">
        <v>5412</v>
      </c>
      <c r="F1169" t="s">
        <v>5413</v>
      </c>
      <c r="G1169" t="s">
        <v>1192</v>
      </c>
      <c r="H1169" t="s">
        <v>320</v>
      </c>
      <c r="I1169">
        <v>11104</v>
      </c>
    </row>
    <row r="1170" spans="1:9" x14ac:dyDescent="0.3">
      <c r="A1170">
        <v>1169</v>
      </c>
      <c r="B1170" t="s">
        <v>5414</v>
      </c>
      <c r="C1170" t="s">
        <v>1446</v>
      </c>
      <c r="D1170" t="s">
        <v>6299</v>
      </c>
      <c r="E1170" t="s">
        <v>5415</v>
      </c>
      <c r="F1170" t="s">
        <v>5416</v>
      </c>
      <c r="G1170" t="s">
        <v>1709</v>
      </c>
      <c r="H1170" t="s">
        <v>320</v>
      </c>
      <c r="I1170">
        <v>10977</v>
      </c>
    </row>
    <row r="1171" spans="1:9" x14ac:dyDescent="0.3">
      <c r="A1171">
        <v>1170</v>
      </c>
      <c r="B1171" t="s">
        <v>5417</v>
      </c>
      <c r="C1171" t="s">
        <v>3887</v>
      </c>
      <c r="D1171" t="s">
        <v>6299</v>
      </c>
      <c r="E1171" t="s">
        <v>5418</v>
      </c>
      <c r="F1171" t="s">
        <v>5419</v>
      </c>
      <c r="G1171" t="s">
        <v>1267</v>
      </c>
      <c r="H1171" t="s">
        <v>320</v>
      </c>
      <c r="I1171">
        <v>11418</v>
      </c>
    </row>
    <row r="1172" spans="1:9" x14ac:dyDescent="0.3">
      <c r="A1172">
        <v>1171</v>
      </c>
      <c r="B1172" t="s">
        <v>5420</v>
      </c>
      <c r="C1172" t="s">
        <v>2696</v>
      </c>
      <c r="D1172" t="s">
        <v>6299</v>
      </c>
      <c r="E1172" t="s">
        <v>5421</v>
      </c>
      <c r="F1172" t="s">
        <v>5422</v>
      </c>
      <c r="G1172" t="s">
        <v>1372</v>
      </c>
      <c r="H1172" t="s">
        <v>320</v>
      </c>
      <c r="I1172">
        <v>13440</v>
      </c>
    </row>
    <row r="1173" spans="1:9" x14ac:dyDescent="0.3">
      <c r="A1173">
        <v>1172</v>
      </c>
      <c r="B1173" t="s">
        <v>5423</v>
      </c>
      <c r="C1173" t="s">
        <v>4273</v>
      </c>
      <c r="D1173" t="s">
        <v>6299</v>
      </c>
      <c r="E1173" t="s">
        <v>5424</v>
      </c>
      <c r="F1173" t="s">
        <v>5425</v>
      </c>
      <c r="G1173" t="s">
        <v>1615</v>
      </c>
      <c r="H1173" t="s">
        <v>320</v>
      </c>
      <c r="I1173">
        <v>14534</v>
      </c>
    </row>
    <row r="1174" spans="1:9" x14ac:dyDescent="0.3">
      <c r="A1174">
        <v>1173</v>
      </c>
      <c r="B1174" t="s">
        <v>5426</v>
      </c>
      <c r="C1174" t="s">
        <v>4044</v>
      </c>
      <c r="D1174" t="s">
        <v>6299</v>
      </c>
      <c r="E1174" t="s">
        <v>5427</v>
      </c>
      <c r="F1174" t="s">
        <v>5428</v>
      </c>
      <c r="G1174" t="s">
        <v>2237</v>
      </c>
      <c r="H1174" t="s">
        <v>320</v>
      </c>
      <c r="I1174">
        <v>11530</v>
      </c>
    </row>
    <row r="1175" spans="1:9" x14ac:dyDescent="0.3">
      <c r="A1175">
        <v>1174</v>
      </c>
      <c r="B1175" t="s">
        <v>5429</v>
      </c>
      <c r="C1175" t="s">
        <v>2494</v>
      </c>
      <c r="D1175" t="s">
        <v>5430</v>
      </c>
      <c r="E1175" t="s">
        <v>5431</v>
      </c>
      <c r="F1175" t="s">
        <v>5432</v>
      </c>
      <c r="G1175" t="s">
        <v>2922</v>
      </c>
      <c r="H1175" t="s">
        <v>320</v>
      </c>
      <c r="I1175">
        <v>10701</v>
      </c>
    </row>
    <row r="1176" spans="1:9" x14ac:dyDescent="0.3">
      <c r="A1176">
        <v>1175</v>
      </c>
      <c r="B1176" t="s">
        <v>5433</v>
      </c>
      <c r="C1176" t="s">
        <v>2415</v>
      </c>
      <c r="D1176" t="s">
        <v>6299</v>
      </c>
      <c r="E1176" t="s">
        <v>5434</v>
      </c>
      <c r="F1176" t="s">
        <v>5435</v>
      </c>
      <c r="G1176" t="s">
        <v>2610</v>
      </c>
      <c r="H1176" t="s">
        <v>314</v>
      </c>
      <c r="I1176">
        <v>91768</v>
      </c>
    </row>
    <row r="1177" spans="1:9" x14ac:dyDescent="0.3">
      <c r="A1177">
        <v>1176</v>
      </c>
      <c r="B1177" t="s">
        <v>3168</v>
      </c>
      <c r="C1177" t="s">
        <v>3409</v>
      </c>
      <c r="D1177" t="s">
        <v>6299</v>
      </c>
      <c r="E1177" t="s">
        <v>5436</v>
      </c>
      <c r="F1177" t="s">
        <v>5437</v>
      </c>
      <c r="G1177" t="s">
        <v>1262</v>
      </c>
      <c r="H1177" t="s">
        <v>320</v>
      </c>
      <c r="I1177">
        <v>12804</v>
      </c>
    </row>
    <row r="1178" spans="1:9" x14ac:dyDescent="0.3">
      <c r="A1178">
        <v>1177</v>
      </c>
      <c r="B1178" t="s">
        <v>5438</v>
      </c>
      <c r="C1178" t="s">
        <v>2037</v>
      </c>
      <c r="D1178" t="s">
        <v>6299</v>
      </c>
      <c r="E1178" t="s">
        <v>5439</v>
      </c>
      <c r="F1178" t="s">
        <v>5440</v>
      </c>
      <c r="G1178" t="s">
        <v>2316</v>
      </c>
      <c r="H1178" t="s">
        <v>320</v>
      </c>
      <c r="I1178">
        <v>12601</v>
      </c>
    </row>
    <row r="1179" spans="1:9" x14ac:dyDescent="0.3">
      <c r="A1179">
        <v>1178</v>
      </c>
      <c r="B1179" t="s">
        <v>5441</v>
      </c>
      <c r="C1179" t="s">
        <v>4719</v>
      </c>
      <c r="D1179" t="s">
        <v>5442</v>
      </c>
      <c r="E1179" t="s">
        <v>5443</v>
      </c>
      <c r="F1179" t="s">
        <v>5444</v>
      </c>
      <c r="G1179" t="s">
        <v>1846</v>
      </c>
      <c r="H1179" t="s">
        <v>314</v>
      </c>
      <c r="I1179">
        <v>93035</v>
      </c>
    </row>
    <row r="1180" spans="1:9" x14ac:dyDescent="0.3">
      <c r="A1180">
        <v>1179</v>
      </c>
      <c r="B1180" t="s">
        <v>5445</v>
      </c>
      <c r="C1180" t="s">
        <v>3994</v>
      </c>
      <c r="D1180" t="s">
        <v>6299</v>
      </c>
      <c r="E1180" t="s">
        <v>5446</v>
      </c>
      <c r="F1180" t="s">
        <v>5447</v>
      </c>
      <c r="G1180" t="s">
        <v>1997</v>
      </c>
      <c r="H1180" t="s">
        <v>320</v>
      </c>
      <c r="I1180">
        <v>11201</v>
      </c>
    </row>
    <row r="1181" spans="1:9" x14ac:dyDescent="0.3">
      <c r="A1181">
        <v>1180</v>
      </c>
      <c r="B1181" t="s">
        <v>5448</v>
      </c>
      <c r="C1181" t="s">
        <v>4164</v>
      </c>
      <c r="D1181" t="s">
        <v>6299</v>
      </c>
      <c r="E1181" t="s">
        <v>5449</v>
      </c>
      <c r="F1181" t="s">
        <v>5450</v>
      </c>
      <c r="G1181" t="s">
        <v>1496</v>
      </c>
      <c r="H1181" t="s">
        <v>320</v>
      </c>
      <c r="I1181">
        <v>11735</v>
      </c>
    </row>
    <row r="1182" spans="1:9" x14ac:dyDescent="0.3">
      <c r="A1182">
        <v>1181</v>
      </c>
      <c r="B1182" t="s">
        <v>5451</v>
      </c>
      <c r="C1182" t="s">
        <v>5452</v>
      </c>
      <c r="D1182" t="s">
        <v>6299</v>
      </c>
      <c r="E1182" t="s">
        <v>5453</v>
      </c>
      <c r="F1182" t="s">
        <v>5454</v>
      </c>
      <c r="G1182" t="s">
        <v>1997</v>
      </c>
      <c r="H1182" t="s">
        <v>320</v>
      </c>
      <c r="I1182">
        <v>11201</v>
      </c>
    </row>
    <row r="1183" spans="1:9" x14ac:dyDescent="0.3">
      <c r="A1183">
        <v>1182</v>
      </c>
      <c r="B1183" t="s">
        <v>4861</v>
      </c>
      <c r="C1183" t="s">
        <v>4840</v>
      </c>
      <c r="D1183" t="s">
        <v>6299</v>
      </c>
      <c r="E1183" t="s">
        <v>5455</v>
      </c>
      <c r="F1183" t="s">
        <v>5456</v>
      </c>
      <c r="G1183" t="s">
        <v>2288</v>
      </c>
      <c r="H1183" t="s">
        <v>320</v>
      </c>
      <c r="I1183">
        <v>11779</v>
      </c>
    </row>
    <row r="1184" spans="1:9" x14ac:dyDescent="0.3">
      <c r="A1184">
        <v>1183</v>
      </c>
      <c r="B1184" t="s">
        <v>2362</v>
      </c>
      <c r="C1184" t="s">
        <v>4273</v>
      </c>
      <c r="D1184" t="s">
        <v>6299</v>
      </c>
      <c r="E1184" t="s">
        <v>5457</v>
      </c>
      <c r="F1184" t="s">
        <v>5458</v>
      </c>
      <c r="G1184" t="s">
        <v>1306</v>
      </c>
      <c r="H1184" t="s">
        <v>320</v>
      </c>
      <c r="I1184">
        <v>11566</v>
      </c>
    </row>
    <row r="1185" spans="1:9" x14ac:dyDescent="0.3">
      <c r="A1185">
        <v>1184</v>
      </c>
      <c r="B1185" t="s">
        <v>5459</v>
      </c>
      <c r="C1185" t="s">
        <v>1933</v>
      </c>
      <c r="D1185" t="s">
        <v>6299</v>
      </c>
      <c r="E1185" t="s">
        <v>5460</v>
      </c>
      <c r="F1185" t="s">
        <v>5461</v>
      </c>
      <c r="G1185" t="s">
        <v>1709</v>
      </c>
      <c r="H1185" t="s">
        <v>320</v>
      </c>
      <c r="I1185">
        <v>10977</v>
      </c>
    </row>
    <row r="1186" spans="1:9" x14ac:dyDescent="0.3">
      <c r="A1186">
        <v>1185</v>
      </c>
      <c r="B1186" t="s">
        <v>5462</v>
      </c>
      <c r="C1186" t="s">
        <v>5463</v>
      </c>
      <c r="D1186" t="s">
        <v>6299</v>
      </c>
      <c r="E1186" t="s">
        <v>5464</v>
      </c>
      <c r="F1186" t="s">
        <v>5465</v>
      </c>
      <c r="G1186" t="s">
        <v>3586</v>
      </c>
      <c r="H1186" t="s">
        <v>320</v>
      </c>
      <c r="I1186">
        <v>12065</v>
      </c>
    </row>
    <row r="1187" spans="1:9" x14ac:dyDescent="0.3">
      <c r="A1187">
        <v>1186</v>
      </c>
      <c r="B1187" t="s">
        <v>5466</v>
      </c>
      <c r="C1187" t="s">
        <v>2086</v>
      </c>
      <c r="D1187" t="s">
        <v>6299</v>
      </c>
      <c r="E1187" t="s">
        <v>5467</v>
      </c>
      <c r="F1187" t="s">
        <v>5468</v>
      </c>
      <c r="G1187" t="s">
        <v>1348</v>
      </c>
      <c r="H1187" t="s">
        <v>314</v>
      </c>
      <c r="I1187">
        <v>94070</v>
      </c>
    </row>
    <row r="1188" spans="1:9" x14ac:dyDescent="0.3">
      <c r="A1188">
        <v>1187</v>
      </c>
      <c r="B1188" t="s">
        <v>5469</v>
      </c>
      <c r="C1188" t="s">
        <v>5470</v>
      </c>
      <c r="D1188" t="s">
        <v>6299</v>
      </c>
      <c r="E1188" t="s">
        <v>5471</v>
      </c>
      <c r="F1188" t="s">
        <v>5472</v>
      </c>
      <c r="G1188" t="s">
        <v>2703</v>
      </c>
      <c r="H1188" t="s">
        <v>320</v>
      </c>
      <c r="I1188">
        <v>11354</v>
      </c>
    </row>
    <row r="1189" spans="1:9" x14ac:dyDescent="0.3">
      <c r="A1189">
        <v>1188</v>
      </c>
      <c r="B1189" t="s">
        <v>5473</v>
      </c>
      <c r="C1189" t="s">
        <v>5474</v>
      </c>
      <c r="D1189" t="s">
        <v>5475</v>
      </c>
      <c r="E1189" t="s">
        <v>5476</v>
      </c>
      <c r="F1189" t="s">
        <v>5477</v>
      </c>
      <c r="G1189" t="s">
        <v>2922</v>
      </c>
      <c r="H1189" t="s">
        <v>320</v>
      </c>
      <c r="I1189">
        <v>10701</v>
      </c>
    </row>
    <row r="1190" spans="1:9" x14ac:dyDescent="0.3">
      <c r="A1190">
        <v>1189</v>
      </c>
      <c r="B1190" t="s">
        <v>3396</v>
      </c>
      <c r="C1190" t="s">
        <v>1539</v>
      </c>
      <c r="D1190" t="s">
        <v>6299</v>
      </c>
      <c r="E1190" t="s">
        <v>5478</v>
      </c>
      <c r="F1190" t="s">
        <v>5479</v>
      </c>
      <c r="G1190" t="s">
        <v>1074</v>
      </c>
      <c r="H1190" t="s">
        <v>320</v>
      </c>
      <c r="I1190">
        <v>11553</v>
      </c>
    </row>
    <row r="1191" spans="1:9" x14ac:dyDescent="0.3">
      <c r="A1191">
        <v>1190</v>
      </c>
      <c r="B1191" t="s">
        <v>5480</v>
      </c>
      <c r="C1191" t="s">
        <v>1883</v>
      </c>
      <c r="D1191" t="s">
        <v>6299</v>
      </c>
      <c r="E1191" t="s">
        <v>5481</v>
      </c>
      <c r="F1191" t="s">
        <v>5482</v>
      </c>
      <c r="G1191" t="s">
        <v>1422</v>
      </c>
      <c r="H1191" t="s">
        <v>320</v>
      </c>
      <c r="I1191">
        <v>11776</v>
      </c>
    </row>
    <row r="1192" spans="1:9" x14ac:dyDescent="0.3">
      <c r="A1192">
        <v>1191</v>
      </c>
      <c r="B1192" t="s">
        <v>5483</v>
      </c>
      <c r="C1192" t="s">
        <v>1066</v>
      </c>
      <c r="D1192" t="s">
        <v>5484</v>
      </c>
      <c r="E1192" t="s">
        <v>5485</v>
      </c>
      <c r="F1192" t="s">
        <v>5486</v>
      </c>
      <c r="G1192" t="s">
        <v>2951</v>
      </c>
      <c r="H1192" t="s">
        <v>320</v>
      </c>
      <c r="I1192">
        <v>14606</v>
      </c>
    </row>
    <row r="1193" spans="1:9" x14ac:dyDescent="0.3">
      <c r="A1193">
        <v>1192</v>
      </c>
      <c r="B1193" t="s">
        <v>5487</v>
      </c>
      <c r="C1193" t="s">
        <v>5488</v>
      </c>
      <c r="D1193" t="s">
        <v>6299</v>
      </c>
      <c r="E1193" t="s">
        <v>5489</v>
      </c>
      <c r="F1193" t="s">
        <v>5490</v>
      </c>
      <c r="G1193" t="s">
        <v>1367</v>
      </c>
      <c r="H1193" t="s">
        <v>326</v>
      </c>
      <c r="I1193">
        <v>75115</v>
      </c>
    </row>
    <row r="1194" spans="1:9" x14ac:dyDescent="0.3">
      <c r="A1194">
        <v>1193</v>
      </c>
      <c r="B1194" t="s">
        <v>4469</v>
      </c>
      <c r="C1194" t="s">
        <v>2037</v>
      </c>
      <c r="D1194" t="s">
        <v>6299</v>
      </c>
      <c r="E1194" t="s">
        <v>5491</v>
      </c>
      <c r="F1194" t="s">
        <v>5492</v>
      </c>
      <c r="G1194" t="s">
        <v>1836</v>
      </c>
      <c r="H1194" t="s">
        <v>320</v>
      </c>
      <c r="I1194">
        <v>11420</v>
      </c>
    </row>
    <row r="1195" spans="1:9" x14ac:dyDescent="0.3">
      <c r="A1195">
        <v>1194</v>
      </c>
      <c r="B1195" t="s">
        <v>5493</v>
      </c>
      <c r="C1195" t="s">
        <v>5494</v>
      </c>
      <c r="D1195" t="s">
        <v>6299</v>
      </c>
      <c r="E1195" t="s">
        <v>5495</v>
      </c>
      <c r="F1195" t="s">
        <v>5496</v>
      </c>
      <c r="G1195" t="s">
        <v>1615</v>
      </c>
      <c r="H1195" t="s">
        <v>320</v>
      </c>
      <c r="I1195">
        <v>14534</v>
      </c>
    </row>
    <row r="1196" spans="1:9" x14ac:dyDescent="0.3">
      <c r="A1196">
        <v>1195</v>
      </c>
      <c r="B1196" t="s">
        <v>5497</v>
      </c>
      <c r="C1196" t="s">
        <v>1424</v>
      </c>
      <c r="D1196" t="s">
        <v>5498</v>
      </c>
      <c r="E1196" t="s">
        <v>5499</v>
      </c>
      <c r="F1196" t="s">
        <v>5500</v>
      </c>
      <c r="G1196" t="s">
        <v>1091</v>
      </c>
      <c r="H1196" t="s">
        <v>320</v>
      </c>
      <c r="I1196">
        <v>14215</v>
      </c>
    </row>
    <row r="1197" spans="1:9" x14ac:dyDescent="0.3">
      <c r="A1197">
        <v>1196</v>
      </c>
      <c r="B1197" t="s">
        <v>5501</v>
      </c>
      <c r="C1197" t="s">
        <v>2884</v>
      </c>
      <c r="D1197" t="s">
        <v>6299</v>
      </c>
      <c r="E1197" t="s">
        <v>5502</v>
      </c>
      <c r="F1197" t="s">
        <v>5503</v>
      </c>
      <c r="G1197" t="s">
        <v>2071</v>
      </c>
      <c r="H1197" t="s">
        <v>320</v>
      </c>
      <c r="I1197">
        <v>11772</v>
      </c>
    </row>
    <row r="1198" spans="1:9" x14ac:dyDescent="0.3">
      <c r="A1198">
        <v>1197</v>
      </c>
      <c r="B1198" t="s">
        <v>5504</v>
      </c>
      <c r="C1198" t="s">
        <v>3270</v>
      </c>
      <c r="D1198" t="s">
        <v>6299</v>
      </c>
      <c r="E1198" t="s">
        <v>5505</v>
      </c>
      <c r="F1198" t="s">
        <v>5506</v>
      </c>
      <c r="G1198" t="s">
        <v>1100</v>
      </c>
      <c r="H1198" t="s">
        <v>320</v>
      </c>
      <c r="I1198">
        <v>11050</v>
      </c>
    </row>
    <row r="1199" spans="1:9" x14ac:dyDescent="0.3">
      <c r="A1199">
        <v>1198</v>
      </c>
      <c r="B1199" t="s">
        <v>5507</v>
      </c>
      <c r="C1199" t="s">
        <v>5494</v>
      </c>
      <c r="D1199" t="s">
        <v>6299</v>
      </c>
      <c r="E1199" t="s">
        <v>5508</v>
      </c>
      <c r="F1199" t="s">
        <v>5509</v>
      </c>
      <c r="G1199" t="s">
        <v>1997</v>
      </c>
      <c r="H1199" t="s">
        <v>320</v>
      </c>
      <c r="I1199">
        <v>11201</v>
      </c>
    </row>
    <row r="1200" spans="1:9" x14ac:dyDescent="0.3">
      <c r="A1200">
        <v>1199</v>
      </c>
      <c r="B1200" t="s">
        <v>5510</v>
      </c>
      <c r="C1200" t="s">
        <v>2041</v>
      </c>
      <c r="D1200" t="s">
        <v>6299</v>
      </c>
      <c r="E1200" t="s">
        <v>5511</v>
      </c>
      <c r="F1200" t="s">
        <v>5512</v>
      </c>
      <c r="G1200" t="s">
        <v>1413</v>
      </c>
      <c r="H1200" t="s">
        <v>320</v>
      </c>
      <c r="I1200">
        <v>14120</v>
      </c>
    </row>
    <row r="1201" spans="1:9" x14ac:dyDescent="0.3">
      <c r="A1201">
        <v>1200</v>
      </c>
      <c r="B1201" t="s">
        <v>5513</v>
      </c>
      <c r="C1201" t="s">
        <v>4432</v>
      </c>
      <c r="D1201" t="s">
        <v>6299</v>
      </c>
      <c r="E1201" t="s">
        <v>5514</v>
      </c>
      <c r="F1201" t="s">
        <v>5515</v>
      </c>
      <c r="G1201" t="s">
        <v>1100</v>
      </c>
      <c r="H1201" t="s">
        <v>320</v>
      </c>
      <c r="I1201">
        <v>11050</v>
      </c>
    </row>
    <row r="1202" spans="1:9" x14ac:dyDescent="0.3">
      <c r="A1202">
        <v>1201</v>
      </c>
      <c r="B1202" t="s">
        <v>5516</v>
      </c>
      <c r="C1202" t="s">
        <v>4389</v>
      </c>
      <c r="D1202" t="s">
        <v>6299</v>
      </c>
      <c r="E1202" t="s">
        <v>5517</v>
      </c>
      <c r="F1202" t="s">
        <v>5518</v>
      </c>
      <c r="G1202" t="s">
        <v>1731</v>
      </c>
      <c r="H1202" t="s">
        <v>320</v>
      </c>
      <c r="I1202">
        <v>10573</v>
      </c>
    </row>
    <row r="1203" spans="1:9" x14ac:dyDescent="0.3">
      <c r="A1203">
        <v>1202</v>
      </c>
      <c r="B1203" t="s">
        <v>5519</v>
      </c>
      <c r="C1203" t="s">
        <v>4310</v>
      </c>
      <c r="D1203" t="s">
        <v>6299</v>
      </c>
      <c r="E1203" t="s">
        <v>5520</v>
      </c>
      <c r="F1203" t="s">
        <v>5521</v>
      </c>
      <c r="G1203" t="s">
        <v>1791</v>
      </c>
      <c r="H1203" t="s">
        <v>314</v>
      </c>
      <c r="I1203">
        <v>92220</v>
      </c>
    </row>
    <row r="1204" spans="1:9" x14ac:dyDescent="0.3">
      <c r="A1204">
        <v>1203</v>
      </c>
      <c r="B1204" t="s">
        <v>1409</v>
      </c>
      <c r="C1204" t="s">
        <v>2633</v>
      </c>
      <c r="D1204" t="s">
        <v>6299</v>
      </c>
      <c r="E1204" t="s">
        <v>5522</v>
      </c>
      <c r="F1204" t="s">
        <v>5523</v>
      </c>
      <c r="G1204" t="s">
        <v>1367</v>
      </c>
      <c r="H1204" t="s">
        <v>326</v>
      </c>
      <c r="I1204">
        <v>75115</v>
      </c>
    </row>
    <row r="1205" spans="1:9" x14ac:dyDescent="0.3">
      <c r="A1205">
        <v>1204</v>
      </c>
      <c r="B1205" t="s">
        <v>5524</v>
      </c>
      <c r="C1205" t="s">
        <v>1513</v>
      </c>
      <c r="D1205" t="s">
        <v>6299</v>
      </c>
      <c r="E1205" t="s">
        <v>5525</v>
      </c>
      <c r="F1205" t="s">
        <v>5526</v>
      </c>
      <c r="G1205" t="s">
        <v>1511</v>
      </c>
      <c r="H1205" t="s">
        <v>320</v>
      </c>
      <c r="I1205">
        <v>12866</v>
      </c>
    </row>
    <row r="1206" spans="1:9" x14ac:dyDescent="0.3">
      <c r="A1206">
        <v>1205</v>
      </c>
      <c r="B1206" t="s">
        <v>5527</v>
      </c>
      <c r="C1206" t="s">
        <v>3324</v>
      </c>
      <c r="D1206" t="s">
        <v>6299</v>
      </c>
      <c r="E1206" t="s">
        <v>5528</v>
      </c>
      <c r="F1206" t="s">
        <v>5529</v>
      </c>
      <c r="G1206" t="s">
        <v>2539</v>
      </c>
      <c r="H1206" t="s">
        <v>320</v>
      </c>
      <c r="I1206">
        <v>10550</v>
      </c>
    </row>
    <row r="1207" spans="1:9" x14ac:dyDescent="0.3">
      <c r="A1207">
        <v>1206</v>
      </c>
      <c r="B1207" t="s">
        <v>5530</v>
      </c>
      <c r="C1207" t="s">
        <v>4769</v>
      </c>
      <c r="D1207" t="s">
        <v>6299</v>
      </c>
      <c r="E1207" t="s">
        <v>5531</v>
      </c>
      <c r="F1207" t="s">
        <v>5532</v>
      </c>
      <c r="G1207" t="s">
        <v>1171</v>
      </c>
      <c r="H1207" t="s">
        <v>320</v>
      </c>
      <c r="I1207">
        <v>11423</v>
      </c>
    </row>
    <row r="1208" spans="1:9" x14ac:dyDescent="0.3">
      <c r="A1208">
        <v>1207</v>
      </c>
      <c r="B1208" t="s">
        <v>5533</v>
      </c>
      <c r="C1208" t="s">
        <v>2254</v>
      </c>
      <c r="D1208" t="s">
        <v>5534</v>
      </c>
      <c r="E1208" t="s">
        <v>5535</v>
      </c>
      <c r="F1208" t="s">
        <v>5536</v>
      </c>
      <c r="G1208" t="s">
        <v>2094</v>
      </c>
      <c r="H1208" t="s">
        <v>320</v>
      </c>
      <c r="I1208">
        <v>11717</v>
      </c>
    </row>
    <row r="1209" spans="1:9" x14ac:dyDescent="0.3">
      <c r="A1209">
        <v>1208</v>
      </c>
      <c r="B1209" t="s">
        <v>5537</v>
      </c>
      <c r="C1209" t="s">
        <v>5538</v>
      </c>
      <c r="D1209" t="s">
        <v>6299</v>
      </c>
      <c r="E1209" t="s">
        <v>5539</v>
      </c>
      <c r="F1209" t="s">
        <v>5540</v>
      </c>
      <c r="G1209" t="s">
        <v>2796</v>
      </c>
      <c r="H1209" t="s">
        <v>320</v>
      </c>
      <c r="I1209">
        <v>10512</v>
      </c>
    </row>
    <row r="1210" spans="1:9" x14ac:dyDescent="0.3">
      <c r="A1210">
        <v>1209</v>
      </c>
      <c r="B1210" t="s">
        <v>5336</v>
      </c>
      <c r="C1210" t="s">
        <v>4800</v>
      </c>
      <c r="D1210" t="s">
        <v>6299</v>
      </c>
      <c r="E1210" t="s">
        <v>5541</v>
      </c>
      <c r="F1210" t="s">
        <v>5542</v>
      </c>
      <c r="G1210" t="s">
        <v>1758</v>
      </c>
      <c r="H1210" t="s">
        <v>320</v>
      </c>
      <c r="I1210">
        <v>11743</v>
      </c>
    </row>
    <row r="1211" spans="1:9" x14ac:dyDescent="0.3">
      <c r="A1211">
        <v>1210</v>
      </c>
      <c r="B1211" t="s">
        <v>5543</v>
      </c>
      <c r="C1211" t="s">
        <v>2490</v>
      </c>
      <c r="D1211" t="s">
        <v>6299</v>
      </c>
      <c r="E1211" t="s">
        <v>5544</v>
      </c>
      <c r="F1211" t="s">
        <v>5545</v>
      </c>
      <c r="G1211" t="s">
        <v>1819</v>
      </c>
      <c r="H1211" t="s">
        <v>320</v>
      </c>
      <c r="I1211">
        <v>11377</v>
      </c>
    </row>
    <row r="1212" spans="1:9" x14ac:dyDescent="0.3">
      <c r="A1212">
        <v>1211</v>
      </c>
      <c r="B1212" t="s">
        <v>5546</v>
      </c>
      <c r="C1212" t="s">
        <v>3866</v>
      </c>
      <c r="D1212" t="s">
        <v>6299</v>
      </c>
      <c r="E1212" t="s">
        <v>5547</v>
      </c>
      <c r="F1212" t="s">
        <v>5548</v>
      </c>
      <c r="G1212" t="s">
        <v>2164</v>
      </c>
      <c r="H1212" t="s">
        <v>320</v>
      </c>
      <c r="I1212">
        <v>14304</v>
      </c>
    </row>
    <row r="1213" spans="1:9" x14ac:dyDescent="0.3">
      <c r="A1213">
        <v>1212</v>
      </c>
      <c r="B1213" t="s">
        <v>5549</v>
      </c>
      <c r="C1213" t="s">
        <v>5550</v>
      </c>
      <c r="D1213" t="s">
        <v>6299</v>
      </c>
      <c r="E1213" t="s">
        <v>5551</v>
      </c>
      <c r="F1213" t="s">
        <v>5552</v>
      </c>
      <c r="G1213" t="s">
        <v>1462</v>
      </c>
      <c r="H1213" t="s">
        <v>320</v>
      </c>
      <c r="I1213">
        <v>11746</v>
      </c>
    </row>
    <row r="1214" spans="1:9" x14ac:dyDescent="0.3">
      <c r="A1214">
        <v>1213</v>
      </c>
      <c r="B1214" t="s">
        <v>1318</v>
      </c>
      <c r="C1214" t="s">
        <v>2602</v>
      </c>
      <c r="D1214" t="s">
        <v>6299</v>
      </c>
      <c r="E1214" t="s">
        <v>5553</v>
      </c>
      <c r="F1214" t="s">
        <v>5554</v>
      </c>
      <c r="G1214" t="s">
        <v>1353</v>
      </c>
      <c r="H1214" t="s">
        <v>326</v>
      </c>
      <c r="I1214">
        <v>76901</v>
      </c>
    </row>
    <row r="1215" spans="1:9" x14ac:dyDescent="0.3">
      <c r="A1215">
        <v>1214</v>
      </c>
      <c r="B1215" t="s">
        <v>5555</v>
      </c>
      <c r="C1215" t="s">
        <v>5556</v>
      </c>
      <c r="D1215" t="s">
        <v>6299</v>
      </c>
      <c r="E1215" t="s">
        <v>5557</v>
      </c>
      <c r="F1215" t="s">
        <v>5558</v>
      </c>
      <c r="G1215" t="s">
        <v>1854</v>
      </c>
      <c r="H1215" t="s">
        <v>314</v>
      </c>
      <c r="I1215">
        <v>95050</v>
      </c>
    </row>
    <row r="1216" spans="1:9" x14ac:dyDescent="0.3">
      <c r="A1216">
        <v>1215</v>
      </c>
      <c r="B1216" t="s">
        <v>5559</v>
      </c>
      <c r="C1216" t="s">
        <v>1139</v>
      </c>
      <c r="D1216" t="s">
        <v>6299</v>
      </c>
      <c r="E1216" t="s">
        <v>5560</v>
      </c>
      <c r="F1216" t="s">
        <v>5561</v>
      </c>
      <c r="G1216" t="s">
        <v>1343</v>
      </c>
      <c r="H1216" t="s">
        <v>320</v>
      </c>
      <c r="I1216">
        <v>11570</v>
      </c>
    </row>
    <row r="1217" spans="1:9" x14ac:dyDescent="0.3">
      <c r="A1217">
        <v>1216</v>
      </c>
      <c r="B1217" t="s">
        <v>5562</v>
      </c>
      <c r="C1217" t="s">
        <v>5563</v>
      </c>
      <c r="D1217" t="s">
        <v>6299</v>
      </c>
      <c r="E1217" t="s">
        <v>5564</v>
      </c>
      <c r="F1217" t="s">
        <v>5565</v>
      </c>
      <c r="G1217" t="s">
        <v>2215</v>
      </c>
      <c r="H1217" t="s">
        <v>314</v>
      </c>
      <c r="I1217">
        <v>94566</v>
      </c>
    </row>
    <row r="1218" spans="1:9" x14ac:dyDescent="0.3">
      <c r="A1218">
        <v>1217</v>
      </c>
      <c r="B1218" t="s">
        <v>5566</v>
      </c>
      <c r="C1218" t="s">
        <v>367</v>
      </c>
      <c r="D1218" t="s">
        <v>5567</v>
      </c>
      <c r="E1218" t="s">
        <v>5568</v>
      </c>
      <c r="F1218" t="s">
        <v>5569</v>
      </c>
      <c r="G1218" t="s">
        <v>2922</v>
      </c>
      <c r="H1218" t="s">
        <v>320</v>
      </c>
      <c r="I1218">
        <v>10701</v>
      </c>
    </row>
    <row r="1219" spans="1:9" x14ac:dyDescent="0.3">
      <c r="A1219">
        <v>1218</v>
      </c>
      <c r="B1219" t="s">
        <v>5570</v>
      </c>
      <c r="C1219" t="s">
        <v>1783</v>
      </c>
      <c r="D1219" t="s">
        <v>5571</v>
      </c>
      <c r="E1219" t="s">
        <v>5572</v>
      </c>
      <c r="F1219" t="s">
        <v>5573</v>
      </c>
      <c r="G1219" t="s">
        <v>1212</v>
      </c>
      <c r="H1219" t="s">
        <v>314</v>
      </c>
      <c r="I1219">
        <v>94603</v>
      </c>
    </row>
    <row r="1220" spans="1:9" x14ac:dyDescent="0.3">
      <c r="A1220">
        <v>1219</v>
      </c>
      <c r="B1220" t="s">
        <v>5574</v>
      </c>
      <c r="C1220" t="s">
        <v>3488</v>
      </c>
      <c r="D1220" t="s">
        <v>6299</v>
      </c>
      <c r="E1220" t="s">
        <v>5575</v>
      </c>
      <c r="F1220" t="s">
        <v>5576</v>
      </c>
      <c r="G1220" t="s">
        <v>2784</v>
      </c>
      <c r="H1220" t="s">
        <v>320</v>
      </c>
      <c r="I1220">
        <v>11967</v>
      </c>
    </row>
    <row r="1221" spans="1:9" x14ac:dyDescent="0.3">
      <c r="A1221">
        <v>1220</v>
      </c>
      <c r="B1221" t="s">
        <v>1871</v>
      </c>
      <c r="C1221" t="s">
        <v>2388</v>
      </c>
      <c r="D1221" t="s">
        <v>6299</v>
      </c>
      <c r="E1221" t="s">
        <v>5577</v>
      </c>
      <c r="F1221" t="s">
        <v>5578</v>
      </c>
      <c r="G1221" t="s">
        <v>1462</v>
      </c>
      <c r="H1221" t="s">
        <v>320</v>
      </c>
      <c r="I1221">
        <v>11746</v>
      </c>
    </row>
    <row r="1222" spans="1:9" x14ac:dyDescent="0.3">
      <c r="A1222">
        <v>1221</v>
      </c>
      <c r="B1222" t="s">
        <v>5579</v>
      </c>
      <c r="C1222" t="s">
        <v>5580</v>
      </c>
      <c r="D1222" t="s">
        <v>6299</v>
      </c>
      <c r="E1222" t="s">
        <v>5581</v>
      </c>
      <c r="F1222" t="s">
        <v>5582</v>
      </c>
      <c r="G1222" t="s">
        <v>1913</v>
      </c>
      <c r="H1222" t="s">
        <v>314</v>
      </c>
      <c r="I1222">
        <v>92307</v>
      </c>
    </row>
    <row r="1223" spans="1:9" x14ac:dyDescent="0.3">
      <c r="A1223">
        <v>1222</v>
      </c>
      <c r="B1223" t="s">
        <v>5583</v>
      </c>
      <c r="C1223" t="s">
        <v>5584</v>
      </c>
      <c r="D1223" t="s">
        <v>6299</v>
      </c>
      <c r="E1223" t="s">
        <v>5585</v>
      </c>
      <c r="F1223" t="s">
        <v>5586</v>
      </c>
      <c r="G1223" t="s">
        <v>2703</v>
      </c>
      <c r="H1223" t="s">
        <v>320</v>
      </c>
      <c r="I1223">
        <v>11354</v>
      </c>
    </row>
    <row r="1224" spans="1:9" x14ac:dyDescent="0.3">
      <c r="A1224">
        <v>1223</v>
      </c>
      <c r="B1224" t="s">
        <v>5587</v>
      </c>
      <c r="C1224" t="s">
        <v>364</v>
      </c>
      <c r="D1224" t="s">
        <v>6299</v>
      </c>
      <c r="E1224" t="s">
        <v>5588</v>
      </c>
      <c r="F1224" t="s">
        <v>5589</v>
      </c>
      <c r="G1224" t="s">
        <v>1964</v>
      </c>
      <c r="H1224" t="s">
        <v>320</v>
      </c>
      <c r="I1224">
        <v>12553</v>
      </c>
    </row>
    <row r="1225" spans="1:9" x14ac:dyDescent="0.3">
      <c r="A1225">
        <v>1224</v>
      </c>
      <c r="B1225" t="s">
        <v>5590</v>
      </c>
      <c r="C1225" t="s">
        <v>337</v>
      </c>
      <c r="D1225" t="s">
        <v>6299</v>
      </c>
      <c r="E1225" t="s">
        <v>5591</v>
      </c>
      <c r="F1225" t="s">
        <v>5592</v>
      </c>
      <c r="G1225" t="s">
        <v>2821</v>
      </c>
      <c r="H1225" t="s">
        <v>326</v>
      </c>
      <c r="I1225">
        <v>78552</v>
      </c>
    </row>
    <row r="1226" spans="1:9" x14ac:dyDescent="0.3">
      <c r="A1226">
        <v>1225</v>
      </c>
      <c r="B1226" t="s">
        <v>2238</v>
      </c>
      <c r="C1226" t="s">
        <v>4749</v>
      </c>
      <c r="D1226" t="s">
        <v>6299</v>
      </c>
      <c r="E1226" t="s">
        <v>5593</v>
      </c>
      <c r="F1226" t="s">
        <v>5594</v>
      </c>
      <c r="G1226" t="s">
        <v>2729</v>
      </c>
      <c r="H1226" t="s">
        <v>314</v>
      </c>
      <c r="I1226">
        <v>93635</v>
      </c>
    </row>
    <row r="1227" spans="1:9" x14ac:dyDescent="0.3">
      <c r="A1227">
        <v>1226</v>
      </c>
      <c r="B1227" t="s">
        <v>5595</v>
      </c>
      <c r="C1227" t="s">
        <v>333</v>
      </c>
      <c r="D1227" t="s">
        <v>6299</v>
      </c>
      <c r="E1227" t="s">
        <v>5596</v>
      </c>
      <c r="F1227" t="s">
        <v>5597</v>
      </c>
      <c r="G1227" t="s">
        <v>1166</v>
      </c>
      <c r="H1227" t="s">
        <v>320</v>
      </c>
      <c r="I1227">
        <v>11731</v>
      </c>
    </row>
    <row r="1228" spans="1:9" x14ac:dyDescent="0.3">
      <c r="A1228">
        <v>1227</v>
      </c>
      <c r="B1228" t="s">
        <v>5598</v>
      </c>
      <c r="C1228" t="s">
        <v>2864</v>
      </c>
      <c r="D1228" t="s">
        <v>5599</v>
      </c>
      <c r="E1228" t="s">
        <v>5600</v>
      </c>
      <c r="F1228" t="s">
        <v>5601</v>
      </c>
      <c r="G1228" t="s">
        <v>1502</v>
      </c>
      <c r="H1228" t="s">
        <v>320</v>
      </c>
      <c r="I1228">
        <v>12180</v>
      </c>
    </row>
    <row r="1229" spans="1:9" x14ac:dyDescent="0.3">
      <c r="A1229">
        <v>1228</v>
      </c>
      <c r="B1229" t="s">
        <v>3613</v>
      </c>
      <c r="C1229" t="s">
        <v>2739</v>
      </c>
      <c r="D1229" t="s">
        <v>5602</v>
      </c>
      <c r="E1229" t="s">
        <v>5603</v>
      </c>
      <c r="F1229" t="s">
        <v>5604</v>
      </c>
      <c r="G1229" t="s">
        <v>1212</v>
      </c>
      <c r="H1229" t="s">
        <v>314</v>
      </c>
      <c r="I1229">
        <v>94603</v>
      </c>
    </row>
    <row r="1230" spans="1:9" x14ac:dyDescent="0.3">
      <c r="A1230">
        <v>1229</v>
      </c>
      <c r="B1230" t="s">
        <v>5605</v>
      </c>
      <c r="C1230" t="s">
        <v>5606</v>
      </c>
      <c r="D1230" t="s">
        <v>6299</v>
      </c>
      <c r="E1230" t="s">
        <v>5607</v>
      </c>
      <c r="F1230" t="s">
        <v>5608</v>
      </c>
      <c r="G1230" t="s">
        <v>2661</v>
      </c>
      <c r="H1230" t="s">
        <v>320</v>
      </c>
      <c r="I1230">
        <v>12590</v>
      </c>
    </row>
    <row r="1231" spans="1:9" x14ac:dyDescent="0.3">
      <c r="A1231">
        <v>1230</v>
      </c>
      <c r="B1231" t="s">
        <v>5609</v>
      </c>
      <c r="C1231" t="s">
        <v>1821</v>
      </c>
      <c r="D1231" t="s">
        <v>6299</v>
      </c>
      <c r="E1231" t="s">
        <v>5610</v>
      </c>
      <c r="F1231" t="s">
        <v>5611</v>
      </c>
      <c r="G1231" t="s">
        <v>1367</v>
      </c>
      <c r="H1231" t="s">
        <v>326</v>
      </c>
      <c r="I1231">
        <v>75115</v>
      </c>
    </row>
    <row r="1232" spans="1:9" x14ac:dyDescent="0.3">
      <c r="A1232">
        <v>1231</v>
      </c>
      <c r="B1232" t="s">
        <v>3256</v>
      </c>
      <c r="C1232" t="s">
        <v>1369</v>
      </c>
      <c r="D1232" t="s">
        <v>6299</v>
      </c>
      <c r="E1232" t="s">
        <v>5612</v>
      </c>
      <c r="F1232" t="s">
        <v>5613</v>
      </c>
      <c r="G1232" t="s">
        <v>1064</v>
      </c>
      <c r="H1232" t="s">
        <v>314</v>
      </c>
      <c r="I1232">
        <v>95008</v>
      </c>
    </row>
    <row r="1233" spans="1:9" x14ac:dyDescent="0.3">
      <c r="A1233">
        <v>1232</v>
      </c>
      <c r="B1233" t="s">
        <v>5614</v>
      </c>
      <c r="C1233" t="s">
        <v>5068</v>
      </c>
      <c r="D1233" t="s">
        <v>6299</v>
      </c>
      <c r="E1233" t="s">
        <v>5615</v>
      </c>
      <c r="F1233" t="s">
        <v>5616</v>
      </c>
      <c r="G1233" t="s">
        <v>1282</v>
      </c>
      <c r="H1233" t="s">
        <v>320</v>
      </c>
      <c r="I1233">
        <v>11714</v>
      </c>
    </row>
    <row r="1234" spans="1:9" x14ac:dyDescent="0.3">
      <c r="A1234">
        <v>1233</v>
      </c>
      <c r="B1234" t="s">
        <v>3113</v>
      </c>
      <c r="C1234" t="s">
        <v>1933</v>
      </c>
      <c r="D1234" t="s">
        <v>6299</v>
      </c>
      <c r="E1234" t="s">
        <v>5617</v>
      </c>
      <c r="F1234" t="s">
        <v>5618</v>
      </c>
      <c r="G1234" t="s">
        <v>2945</v>
      </c>
      <c r="H1234" t="s">
        <v>314</v>
      </c>
      <c r="I1234">
        <v>92083</v>
      </c>
    </row>
    <row r="1235" spans="1:9" x14ac:dyDescent="0.3">
      <c r="A1235">
        <v>1234</v>
      </c>
      <c r="B1235" t="s">
        <v>3227</v>
      </c>
      <c r="C1235" t="s">
        <v>1284</v>
      </c>
      <c r="D1235" t="s">
        <v>6299</v>
      </c>
      <c r="E1235" t="s">
        <v>5619</v>
      </c>
      <c r="F1235" t="s">
        <v>5620</v>
      </c>
      <c r="G1235" t="s">
        <v>1197</v>
      </c>
      <c r="H1235" t="s">
        <v>320</v>
      </c>
      <c r="I1235">
        <v>10562</v>
      </c>
    </row>
    <row r="1236" spans="1:9" x14ac:dyDescent="0.3">
      <c r="A1236">
        <v>1235</v>
      </c>
      <c r="B1236" t="s">
        <v>5621</v>
      </c>
      <c r="C1236" t="s">
        <v>1842</v>
      </c>
      <c r="D1236" t="s">
        <v>6299</v>
      </c>
      <c r="E1236" t="s">
        <v>5622</v>
      </c>
      <c r="F1236" t="s">
        <v>5623</v>
      </c>
      <c r="G1236" t="s">
        <v>3924</v>
      </c>
      <c r="H1236" t="s">
        <v>320</v>
      </c>
      <c r="I1236">
        <v>13760</v>
      </c>
    </row>
    <row r="1237" spans="1:9" x14ac:dyDescent="0.3">
      <c r="A1237">
        <v>1236</v>
      </c>
      <c r="B1237" t="s">
        <v>5624</v>
      </c>
      <c r="C1237" t="s">
        <v>4532</v>
      </c>
      <c r="D1237" t="s">
        <v>6299</v>
      </c>
      <c r="E1237" t="s">
        <v>5625</v>
      </c>
      <c r="F1237" t="s">
        <v>5626</v>
      </c>
      <c r="G1237" t="s">
        <v>2539</v>
      </c>
      <c r="H1237" t="s">
        <v>320</v>
      </c>
      <c r="I1237">
        <v>10550</v>
      </c>
    </row>
    <row r="1238" spans="1:9" x14ac:dyDescent="0.3">
      <c r="A1238">
        <v>1237</v>
      </c>
      <c r="B1238" t="s">
        <v>2822</v>
      </c>
      <c r="C1238" t="s">
        <v>3012</v>
      </c>
      <c r="D1238" t="s">
        <v>6299</v>
      </c>
      <c r="E1238" t="s">
        <v>5627</v>
      </c>
      <c r="F1238" t="s">
        <v>5628</v>
      </c>
      <c r="G1238" t="s">
        <v>1282</v>
      </c>
      <c r="H1238" t="s">
        <v>320</v>
      </c>
      <c r="I1238">
        <v>11714</v>
      </c>
    </row>
    <row r="1239" spans="1:9" x14ac:dyDescent="0.3">
      <c r="A1239">
        <v>1238</v>
      </c>
      <c r="B1239" t="s">
        <v>4173</v>
      </c>
      <c r="C1239" t="s">
        <v>1264</v>
      </c>
      <c r="D1239" t="s">
        <v>6299</v>
      </c>
      <c r="E1239" t="s">
        <v>5629</v>
      </c>
      <c r="F1239" t="s">
        <v>5630</v>
      </c>
      <c r="G1239" t="s">
        <v>2821</v>
      </c>
      <c r="H1239" t="s">
        <v>326</v>
      </c>
      <c r="I1239">
        <v>78552</v>
      </c>
    </row>
    <row r="1240" spans="1:9" x14ac:dyDescent="0.3">
      <c r="A1240">
        <v>1239</v>
      </c>
      <c r="B1240" t="s">
        <v>5631</v>
      </c>
      <c r="C1240" t="s">
        <v>4177</v>
      </c>
      <c r="D1240" t="s">
        <v>6299</v>
      </c>
      <c r="E1240" t="s">
        <v>5632</v>
      </c>
      <c r="F1240" t="s">
        <v>5633</v>
      </c>
      <c r="G1240" t="s">
        <v>1457</v>
      </c>
      <c r="H1240" t="s">
        <v>320</v>
      </c>
      <c r="I1240">
        <v>11757</v>
      </c>
    </row>
    <row r="1241" spans="1:9" x14ac:dyDescent="0.3">
      <c r="A1241">
        <v>1240</v>
      </c>
      <c r="B1241" t="s">
        <v>5634</v>
      </c>
      <c r="C1241" t="s">
        <v>3793</v>
      </c>
      <c r="D1241" t="s">
        <v>6299</v>
      </c>
      <c r="E1241" t="s">
        <v>5635</v>
      </c>
      <c r="F1241" t="s">
        <v>5636</v>
      </c>
      <c r="G1241" t="s">
        <v>1471</v>
      </c>
      <c r="H1241" t="s">
        <v>314</v>
      </c>
      <c r="I1241">
        <v>91010</v>
      </c>
    </row>
    <row r="1242" spans="1:9" x14ac:dyDescent="0.3">
      <c r="A1242">
        <v>1241</v>
      </c>
      <c r="B1242" t="s">
        <v>4516</v>
      </c>
      <c r="C1242" t="s">
        <v>5637</v>
      </c>
      <c r="D1242" t="s">
        <v>6299</v>
      </c>
      <c r="E1242" t="s">
        <v>5638</v>
      </c>
      <c r="F1242" t="s">
        <v>5639</v>
      </c>
      <c r="G1242" t="s">
        <v>1372</v>
      </c>
      <c r="H1242" t="s">
        <v>320</v>
      </c>
      <c r="I1242">
        <v>13440</v>
      </c>
    </row>
    <row r="1243" spans="1:9" x14ac:dyDescent="0.3">
      <c r="A1243">
        <v>1242</v>
      </c>
      <c r="B1243" t="s">
        <v>5640</v>
      </c>
      <c r="C1243" t="s">
        <v>5641</v>
      </c>
      <c r="D1243" t="s">
        <v>6299</v>
      </c>
      <c r="E1243" t="s">
        <v>5642</v>
      </c>
      <c r="F1243" t="s">
        <v>5643</v>
      </c>
      <c r="G1243" t="s">
        <v>1485</v>
      </c>
      <c r="H1243" t="s">
        <v>320</v>
      </c>
      <c r="I1243">
        <v>11010</v>
      </c>
    </row>
    <row r="1244" spans="1:9" x14ac:dyDescent="0.3">
      <c r="A1244">
        <v>1243</v>
      </c>
      <c r="B1244" t="s">
        <v>5644</v>
      </c>
      <c r="C1244" t="s">
        <v>2511</v>
      </c>
      <c r="D1244" t="s">
        <v>6299</v>
      </c>
      <c r="E1244" t="s">
        <v>5645</v>
      </c>
      <c r="F1244" t="s">
        <v>5646</v>
      </c>
      <c r="G1244" t="s">
        <v>1569</v>
      </c>
      <c r="H1244" t="s">
        <v>320</v>
      </c>
      <c r="I1244">
        <v>11001</v>
      </c>
    </row>
    <row r="1245" spans="1:9" x14ac:dyDescent="0.3">
      <c r="A1245">
        <v>1244</v>
      </c>
      <c r="B1245" t="s">
        <v>5647</v>
      </c>
      <c r="C1245" t="s">
        <v>1144</v>
      </c>
      <c r="D1245" t="s">
        <v>6299</v>
      </c>
      <c r="E1245" t="s">
        <v>5648</v>
      </c>
      <c r="F1245" t="s">
        <v>5649</v>
      </c>
      <c r="G1245" t="s">
        <v>2765</v>
      </c>
      <c r="H1245" t="s">
        <v>320</v>
      </c>
      <c r="I1245">
        <v>14043</v>
      </c>
    </row>
    <row r="1246" spans="1:9" x14ac:dyDescent="0.3">
      <c r="A1246">
        <v>1245</v>
      </c>
      <c r="B1246" t="s">
        <v>5650</v>
      </c>
      <c r="C1246" t="s">
        <v>4820</v>
      </c>
      <c r="D1246" t="s">
        <v>5651</v>
      </c>
      <c r="E1246" t="s">
        <v>5652</v>
      </c>
      <c r="F1246" t="s">
        <v>5653</v>
      </c>
      <c r="G1246" t="s">
        <v>1187</v>
      </c>
      <c r="H1246" t="s">
        <v>320</v>
      </c>
      <c r="I1246">
        <v>11561</v>
      </c>
    </row>
    <row r="1247" spans="1:9" x14ac:dyDescent="0.3">
      <c r="A1247">
        <v>1246</v>
      </c>
      <c r="B1247" t="s">
        <v>4909</v>
      </c>
      <c r="C1247" t="s">
        <v>2105</v>
      </c>
      <c r="D1247" t="s">
        <v>6299</v>
      </c>
      <c r="E1247" t="s">
        <v>5654</v>
      </c>
      <c r="F1247" t="s">
        <v>5655</v>
      </c>
      <c r="G1247" t="s">
        <v>2262</v>
      </c>
      <c r="H1247" t="s">
        <v>320</v>
      </c>
      <c r="I1247">
        <v>12401</v>
      </c>
    </row>
    <row r="1248" spans="1:9" x14ac:dyDescent="0.3">
      <c r="A1248">
        <v>1247</v>
      </c>
      <c r="B1248" t="s">
        <v>5656</v>
      </c>
      <c r="C1248" t="s">
        <v>2974</v>
      </c>
      <c r="D1248" t="s">
        <v>6299</v>
      </c>
      <c r="E1248" t="s">
        <v>5657</v>
      </c>
      <c r="F1248" t="s">
        <v>5658</v>
      </c>
      <c r="G1248" t="s">
        <v>1699</v>
      </c>
      <c r="H1248" t="s">
        <v>320</v>
      </c>
      <c r="I1248">
        <v>11758</v>
      </c>
    </row>
    <row r="1249" spans="1:9" x14ac:dyDescent="0.3">
      <c r="A1249">
        <v>1248</v>
      </c>
      <c r="B1249" t="s">
        <v>5659</v>
      </c>
      <c r="C1249" t="s">
        <v>5660</v>
      </c>
      <c r="D1249" t="s">
        <v>6299</v>
      </c>
      <c r="E1249" t="s">
        <v>5661</v>
      </c>
      <c r="F1249" t="s">
        <v>5662</v>
      </c>
      <c r="G1249" t="s">
        <v>1422</v>
      </c>
      <c r="H1249" t="s">
        <v>320</v>
      </c>
      <c r="I1249">
        <v>11776</v>
      </c>
    </row>
    <row r="1250" spans="1:9" x14ac:dyDescent="0.3">
      <c r="A1250">
        <v>1249</v>
      </c>
      <c r="B1250" t="s">
        <v>5663</v>
      </c>
      <c r="C1250" t="s">
        <v>3498</v>
      </c>
      <c r="D1250" t="s">
        <v>6299</v>
      </c>
      <c r="E1250" t="s">
        <v>5664</v>
      </c>
      <c r="F1250" t="s">
        <v>5665</v>
      </c>
      <c r="G1250" t="s">
        <v>2005</v>
      </c>
      <c r="H1250" t="s">
        <v>314</v>
      </c>
      <c r="I1250">
        <v>93555</v>
      </c>
    </row>
    <row r="1251" spans="1:9" x14ac:dyDescent="0.3">
      <c r="A1251">
        <v>1250</v>
      </c>
      <c r="B1251" t="s">
        <v>5666</v>
      </c>
      <c r="C1251" t="s">
        <v>5667</v>
      </c>
      <c r="D1251" t="s">
        <v>6299</v>
      </c>
      <c r="E1251" t="s">
        <v>5668</v>
      </c>
      <c r="F1251" t="s">
        <v>5669</v>
      </c>
      <c r="G1251" t="s">
        <v>2539</v>
      </c>
      <c r="H1251" t="s">
        <v>320</v>
      </c>
      <c r="I1251">
        <v>10550</v>
      </c>
    </row>
    <row r="1252" spans="1:9" x14ac:dyDescent="0.3">
      <c r="A1252">
        <v>1251</v>
      </c>
      <c r="B1252" t="s">
        <v>5670</v>
      </c>
      <c r="C1252" t="s">
        <v>2658</v>
      </c>
      <c r="D1252" t="s">
        <v>6299</v>
      </c>
      <c r="E1252" t="s">
        <v>5671</v>
      </c>
      <c r="F1252" t="s">
        <v>5672</v>
      </c>
      <c r="G1252" t="s">
        <v>1316</v>
      </c>
      <c r="H1252" t="s">
        <v>314</v>
      </c>
      <c r="I1252">
        <v>91740</v>
      </c>
    </row>
    <row r="1253" spans="1:9" x14ac:dyDescent="0.3">
      <c r="A1253">
        <v>1252</v>
      </c>
      <c r="B1253" t="s">
        <v>3420</v>
      </c>
      <c r="C1253" t="s">
        <v>2549</v>
      </c>
      <c r="D1253" t="s">
        <v>6299</v>
      </c>
      <c r="E1253" t="s">
        <v>5673</v>
      </c>
      <c r="F1253" t="s">
        <v>5674</v>
      </c>
      <c r="G1253" t="s">
        <v>1767</v>
      </c>
      <c r="H1253" t="s">
        <v>320</v>
      </c>
      <c r="I1253">
        <v>11803</v>
      </c>
    </row>
    <row r="1254" spans="1:9" x14ac:dyDescent="0.3">
      <c r="A1254">
        <v>1253</v>
      </c>
      <c r="B1254" t="s">
        <v>5675</v>
      </c>
      <c r="C1254" t="s">
        <v>2545</v>
      </c>
      <c r="D1254" t="s">
        <v>6299</v>
      </c>
      <c r="E1254" t="s">
        <v>5676</v>
      </c>
      <c r="F1254" t="s">
        <v>5677</v>
      </c>
      <c r="G1254" t="s">
        <v>5371</v>
      </c>
      <c r="H1254" t="s">
        <v>320</v>
      </c>
      <c r="I1254">
        <v>11691</v>
      </c>
    </row>
    <row r="1255" spans="1:9" x14ac:dyDescent="0.3">
      <c r="A1255">
        <v>1254</v>
      </c>
      <c r="B1255" t="s">
        <v>5296</v>
      </c>
      <c r="C1255" t="s">
        <v>5353</v>
      </c>
      <c r="D1255" t="s">
        <v>6299</v>
      </c>
      <c r="E1255" t="s">
        <v>5678</v>
      </c>
      <c r="F1255" t="s">
        <v>5679</v>
      </c>
      <c r="G1255" t="s">
        <v>2138</v>
      </c>
      <c r="H1255" t="s">
        <v>314</v>
      </c>
      <c r="I1255">
        <v>91387</v>
      </c>
    </row>
    <row r="1256" spans="1:9" x14ac:dyDescent="0.3">
      <c r="A1256">
        <v>1255</v>
      </c>
      <c r="B1256" t="s">
        <v>5680</v>
      </c>
      <c r="C1256" t="s">
        <v>1644</v>
      </c>
      <c r="D1256" t="s">
        <v>6299</v>
      </c>
      <c r="E1256" t="s">
        <v>5681</v>
      </c>
      <c r="F1256" t="s">
        <v>5682</v>
      </c>
      <c r="G1256" t="s">
        <v>2631</v>
      </c>
      <c r="H1256" t="s">
        <v>320</v>
      </c>
      <c r="I1256">
        <v>14850</v>
      </c>
    </row>
    <row r="1257" spans="1:9" x14ac:dyDescent="0.3">
      <c r="A1257">
        <v>1256</v>
      </c>
      <c r="B1257" t="s">
        <v>5683</v>
      </c>
      <c r="C1257" t="s">
        <v>2415</v>
      </c>
      <c r="D1257" t="s">
        <v>6299</v>
      </c>
      <c r="E1257" t="s">
        <v>5684</v>
      </c>
      <c r="F1257" t="s">
        <v>5685</v>
      </c>
      <c r="G1257" t="s">
        <v>2288</v>
      </c>
      <c r="H1257" t="s">
        <v>320</v>
      </c>
      <c r="I1257">
        <v>11779</v>
      </c>
    </row>
    <row r="1258" spans="1:9" x14ac:dyDescent="0.3">
      <c r="A1258">
        <v>1257</v>
      </c>
      <c r="B1258" t="s">
        <v>5686</v>
      </c>
      <c r="C1258" t="s">
        <v>5687</v>
      </c>
      <c r="D1258" t="s">
        <v>6299</v>
      </c>
      <c r="E1258" t="s">
        <v>5688</v>
      </c>
      <c r="F1258" t="s">
        <v>5689</v>
      </c>
      <c r="G1258" t="s">
        <v>1900</v>
      </c>
      <c r="H1258" t="s">
        <v>320</v>
      </c>
      <c r="I1258">
        <v>14580</v>
      </c>
    </row>
    <row r="1259" spans="1:9" x14ac:dyDescent="0.3">
      <c r="A1259">
        <v>1258</v>
      </c>
      <c r="B1259" t="s">
        <v>1061</v>
      </c>
      <c r="C1259" t="s">
        <v>5690</v>
      </c>
      <c r="D1259" t="s">
        <v>6299</v>
      </c>
      <c r="E1259" t="s">
        <v>5691</v>
      </c>
      <c r="F1259" t="s">
        <v>5692</v>
      </c>
      <c r="G1259" t="s">
        <v>1781</v>
      </c>
      <c r="H1259" t="s">
        <v>320</v>
      </c>
      <c r="I1259">
        <v>11706</v>
      </c>
    </row>
    <row r="1260" spans="1:9" x14ac:dyDescent="0.3">
      <c r="A1260">
        <v>1259</v>
      </c>
      <c r="B1260" t="s">
        <v>5693</v>
      </c>
      <c r="C1260" t="s">
        <v>2888</v>
      </c>
      <c r="D1260" t="s">
        <v>6299</v>
      </c>
      <c r="E1260" t="s">
        <v>5694</v>
      </c>
      <c r="F1260" t="s">
        <v>5695</v>
      </c>
      <c r="G1260" t="s">
        <v>1348</v>
      </c>
      <c r="H1260" t="s">
        <v>314</v>
      </c>
      <c r="I1260">
        <v>94070</v>
      </c>
    </row>
    <row r="1261" spans="1:9" x14ac:dyDescent="0.3">
      <c r="A1261">
        <v>1260</v>
      </c>
      <c r="B1261" t="s">
        <v>5696</v>
      </c>
      <c r="C1261" t="s">
        <v>5697</v>
      </c>
      <c r="D1261" t="s">
        <v>6299</v>
      </c>
      <c r="E1261" t="s">
        <v>5698</v>
      </c>
      <c r="F1261" t="s">
        <v>5699</v>
      </c>
      <c r="G1261" t="s">
        <v>2468</v>
      </c>
      <c r="H1261" t="s">
        <v>320</v>
      </c>
      <c r="I1261">
        <v>12302</v>
      </c>
    </row>
    <row r="1262" spans="1:9" x14ac:dyDescent="0.3">
      <c r="A1262">
        <v>1261</v>
      </c>
      <c r="B1262" t="s">
        <v>5700</v>
      </c>
      <c r="C1262" t="s">
        <v>4083</v>
      </c>
      <c r="D1262" t="s">
        <v>6299</v>
      </c>
      <c r="E1262" t="s">
        <v>5701</v>
      </c>
      <c r="F1262" t="s">
        <v>5702</v>
      </c>
      <c r="G1262" t="s">
        <v>2156</v>
      </c>
      <c r="H1262" t="s">
        <v>314</v>
      </c>
      <c r="I1262">
        <v>94806</v>
      </c>
    </row>
    <row r="1263" spans="1:9" x14ac:dyDescent="0.3">
      <c r="A1263">
        <v>1262</v>
      </c>
      <c r="B1263" t="s">
        <v>5703</v>
      </c>
      <c r="C1263" t="s">
        <v>1087</v>
      </c>
      <c r="D1263" t="s">
        <v>6299</v>
      </c>
      <c r="E1263" t="s">
        <v>5704</v>
      </c>
      <c r="F1263" t="s">
        <v>5705</v>
      </c>
      <c r="G1263" t="s">
        <v>2156</v>
      </c>
      <c r="H1263" t="s">
        <v>314</v>
      </c>
      <c r="I1263">
        <v>94806</v>
      </c>
    </row>
    <row r="1264" spans="1:9" x14ac:dyDescent="0.3">
      <c r="A1264">
        <v>1263</v>
      </c>
      <c r="B1264" t="s">
        <v>5706</v>
      </c>
      <c r="C1264" t="s">
        <v>5707</v>
      </c>
      <c r="D1264" t="s">
        <v>6299</v>
      </c>
      <c r="E1264" t="s">
        <v>5708</v>
      </c>
      <c r="F1264" t="s">
        <v>5709</v>
      </c>
      <c r="G1264" t="s">
        <v>3526</v>
      </c>
      <c r="H1264" t="s">
        <v>320</v>
      </c>
      <c r="I1264">
        <v>11040</v>
      </c>
    </row>
    <row r="1265" spans="1:9" x14ac:dyDescent="0.3">
      <c r="A1265">
        <v>1264</v>
      </c>
      <c r="B1265" t="s">
        <v>3925</v>
      </c>
      <c r="C1265" t="s">
        <v>2212</v>
      </c>
      <c r="D1265" t="s">
        <v>5710</v>
      </c>
      <c r="E1265" t="s">
        <v>5711</v>
      </c>
      <c r="F1265" t="s">
        <v>5712</v>
      </c>
      <c r="G1265" t="s">
        <v>2094</v>
      </c>
      <c r="H1265" t="s">
        <v>320</v>
      </c>
      <c r="I1265">
        <v>11717</v>
      </c>
    </row>
    <row r="1266" spans="1:9" x14ac:dyDescent="0.3">
      <c r="A1266">
        <v>1265</v>
      </c>
      <c r="B1266" t="s">
        <v>5713</v>
      </c>
      <c r="C1266" t="s">
        <v>2836</v>
      </c>
      <c r="D1266" t="s">
        <v>6299</v>
      </c>
      <c r="E1266" t="s">
        <v>5714</v>
      </c>
      <c r="F1266" t="s">
        <v>5715</v>
      </c>
      <c r="G1266" t="s">
        <v>3924</v>
      </c>
      <c r="H1266" t="s">
        <v>320</v>
      </c>
      <c r="I1266">
        <v>13760</v>
      </c>
    </row>
    <row r="1267" spans="1:9" x14ac:dyDescent="0.3">
      <c r="A1267">
        <v>1266</v>
      </c>
      <c r="B1267" t="s">
        <v>5716</v>
      </c>
      <c r="C1267" t="s">
        <v>5717</v>
      </c>
      <c r="D1267" t="s">
        <v>6299</v>
      </c>
      <c r="E1267" t="s">
        <v>5718</v>
      </c>
      <c r="F1267" t="s">
        <v>5719</v>
      </c>
      <c r="G1267" t="s">
        <v>1377</v>
      </c>
      <c r="H1267" t="s">
        <v>326</v>
      </c>
      <c r="I1267">
        <v>75043</v>
      </c>
    </row>
    <row r="1268" spans="1:9" x14ac:dyDescent="0.3">
      <c r="A1268">
        <v>1267</v>
      </c>
      <c r="B1268" t="s">
        <v>2932</v>
      </c>
      <c r="C1268" t="s">
        <v>2185</v>
      </c>
      <c r="D1268" t="s">
        <v>6299</v>
      </c>
      <c r="E1268" t="s">
        <v>5720</v>
      </c>
      <c r="F1268" t="s">
        <v>5721</v>
      </c>
      <c r="G1268" t="s">
        <v>2288</v>
      </c>
      <c r="H1268" t="s">
        <v>320</v>
      </c>
      <c r="I1268">
        <v>11779</v>
      </c>
    </row>
    <row r="1269" spans="1:9" x14ac:dyDescent="0.3">
      <c r="A1269">
        <v>1268</v>
      </c>
      <c r="B1269" t="s">
        <v>5722</v>
      </c>
      <c r="C1269" t="s">
        <v>4064</v>
      </c>
      <c r="D1269" t="s">
        <v>6299</v>
      </c>
      <c r="E1269" t="s">
        <v>5723</v>
      </c>
      <c r="F1269" t="s">
        <v>5724</v>
      </c>
      <c r="G1269" t="s">
        <v>2262</v>
      </c>
      <c r="H1269" t="s">
        <v>320</v>
      </c>
      <c r="I1269">
        <v>12401</v>
      </c>
    </row>
    <row r="1270" spans="1:9" x14ac:dyDescent="0.3">
      <c r="A1270">
        <v>1269</v>
      </c>
      <c r="B1270" t="s">
        <v>5725</v>
      </c>
      <c r="C1270" t="s">
        <v>1415</v>
      </c>
      <c r="D1270" t="s">
        <v>6299</v>
      </c>
      <c r="E1270" t="s">
        <v>5726</v>
      </c>
      <c r="F1270" t="s">
        <v>5727</v>
      </c>
      <c r="G1270" t="s">
        <v>1100</v>
      </c>
      <c r="H1270" t="s">
        <v>320</v>
      </c>
      <c r="I1270">
        <v>11050</v>
      </c>
    </row>
    <row r="1271" spans="1:9" x14ac:dyDescent="0.3">
      <c r="A1271">
        <v>1270</v>
      </c>
      <c r="B1271" t="s">
        <v>4733</v>
      </c>
      <c r="C1271" t="s">
        <v>5177</v>
      </c>
      <c r="D1271" t="s">
        <v>6299</v>
      </c>
      <c r="E1271" t="s">
        <v>5728</v>
      </c>
      <c r="F1271" t="s">
        <v>5729</v>
      </c>
      <c r="G1271" t="s">
        <v>1059</v>
      </c>
      <c r="H1271" t="s">
        <v>320</v>
      </c>
      <c r="I1271">
        <v>14127</v>
      </c>
    </row>
    <row r="1272" spans="1:9" x14ac:dyDescent="0.3">
      <c r="A1272">
        <v>1271</v>
      </c>
      <c r="B1272" t="s">
        <v>4577</v>
      </c>
      <c r="C1272" t="s">
        <v>3887</v>
      </c>
      <c r="D1272" t="s">
        <v>6299</v>
      </c>
      <c r="E1272" t="s">
        <v>5730</v>
      </c>
      <c r="F1272" t="s">
        <v>5731</v>
      </c>
      <c r="G1272" t="s">
        <v>2610</v>
      </c>
      <c r="H1272" t="s">
        <v>314</v>
      </c>
      <c r="I1272">
        <v>91768</v>
      </c>
    </row>
    <row r="1273" spans="1:9" x14ac:dyDescent="0.3">
      <c r="A1273">
        <v>1272</v>
      </c>
      <c r="B1273" t="s">
        <v>372</v>
      </c>
      <c r="C1273" t="s">
        <v>5732</v>
      </c>
      <c r="D1273" t="s">
        <v>6299</v>
      </c>
      <c r="E1273" t="s">
        <v>5733</v>
      </c>
      <c r="F1273" t="s">
        <v>5734</v>
      </c>
      <c r="G1273" t="s">
        <v>1217</v>
      </c>
      <c r="H1273" t="s">
        <v>314</v>
      </c>
      <c r="I1273">
        <v>92831</v>
      </c>
    </row>
    <row r="1274" spans="1:9" x14ac:dyDescent="0.3">
      <c r="A1274">
        <v>1273</v>
      </c>
      <c r="B1274" t="s">
        <v>5735</v>
      </c>
      <c r="C1274" t="s">
        <v>5736</v>
      </c>
      <c r="D1274" t="s">
        <v>6299</v>
      </c>
      <c r="E1274" t="s">
        <v>5737</v>
      </c>
      <c r="F1274" t="s">
        <v>5738</v>
      </c>
      <c r="G1274" t="s">
        <v>1466</v>
      </c>
      <c r="H1274" t="s">
        <v>320</v>
      </c>
      <c r="I1274">
        <v>13126</v>
      </c>
    </row>
    <row r="1275" spans="1:9" x14ac:dyDescent="0.3">
      <c r="A1275">
        <v>1274</v>
      </c>
      <c r="B1275" t="s">
        <v>5739</v>
      </c>
      <c r="C1275" t="s">
        <v>2072</v>
      </c>
      <c r="D1275" t="s">
        <v>6299</v>
      </c>
      <c r="E1275" t="s">
        <v>5740</v>
      </c>
      <c r="F1275" t="s">
        <v>5741</v>
      </c>
      <c r="G1275" t="s">
        <v>1651</v>
      </c>
      <c r="H1275" t="s">
        <v>320</v>
      </c>
      <c r="I1275">
        <v>12550</v>
      </c>
    </row>
    <row r="1276" spans="1:9" x14ac:dyDescent="0.3">
      <c r="A1276">
        <v>1275</v>
      </c>
      <c r="B1276" t="s">
        <v>5742</v>
      </c>
      <c r="C1276" t="s">
        <v>1442</v>
      </c>
      <c r="D1276" t="s">
        <v>6299</v>
      </c>
      <c r="E1276" t="s">
        <v>5743</v>
      </c>
      <c r="F1276" t="s">
        <v>5744</v>
      </c>
      <c r="G1276" t="s">
        <v>2729</v>
      </c>
      <c r="H1276" t="s">
        <v>314</v>
      </c>
      <c r="I1276">
        <v>93635</v>
      </c>
    </row>
    <row r="1277" spans="1:9" x14ac:dyDescent="0.3">
      <c r="A1277">
        <v>1276</v>
      </c>
      <c r="B1277" t="s">
        <v>5745</v>
      </c>
      <c r="C1277" t="s">
        <v>2366</v>
      </c>
      <c r="D1277" t="s">
        <v>6299</v>
      </c>
      <c r="E1277" t="s">
        <v>5746</v>
      </c>
      <c r="F1277" t="s">
        <v>5747</v>
      </c>
      <c r="G1277" t="s">
        <v>1913</v>
      </c>
      <c r="H1277" t="s">
        <v>314</v>
      </c>
      <c r="I1277">
        <v>92307</v>
      </c>
    </row>
    <row r="1278" spans="1:9" x14ac:dyDescent="0.3">
      <c r="A1278">
        <v>1277</v>
      </c>
      <c r="B1278" t="s">
        <v>5748</v>
      </c>
      <c r="C1278" t="s">
        <v>1674</v>
      </c>
      <c r="D1278" t="s">
        <v>6299</v>
      </c>
      <c r="E1278" t="s">
        <v>5749</v>
      </c>
      <c r="F1278" t="s">
        <v>5750</v>
      </c>
      <c r="G1278" t="s">
        <v>1682</v>
      </c>
      <c r="H1278" t="s">
        <v>320</v>
      </c>
      <c r="I1278">
        <v>11727</v>
      </c>
    </row>
    <row r="1279" spans="1:9" x14ac:dyDescent="0.3">
      <c r="A1279">
        <v>1278</v>
      </c>
      <c r="B1279" t="s">
        <v>5751</v>
      </c>
      <c r="C1279" t="s">
        <v>2443</v>
      </c>
      <c r="D1279" t="s">
        <v>6299</v>
      </c>
      <c r="E1279" t="s">
        <v>5752</v>
      </c>
      <c r="F1279" t="s">
        <v>5753</v>
      </c>
      <c r="G1279" t="s">
        <v>1096</v>
      </c>
      <c r="H1279" t="s">
        <v>320</v>
      </c>
      <c r="I1279">
        <v>11372</v>
      </c>
    </row>
    <row r="1280" spans="1:9" x14ac:dyDescent="0.3">
      <c r="A1280">
        <v>1279</v>
      </c>
      <c r="B1280" t="s">
        <v>5754</v>
      </c>
      <c r="C1280" t="s">
        <v>2847</v>
      </c>
      <c r="D1280" t="s">
        <v>6299</v>
      </c>
      <c r="E1280" t="s">
        <v>5755</v>
      </c>
      <c r="F1280" t="s">
        <v>5756</v>
      </c>
      <c r="G1280" t="s">
        <v>1147</v>
      </c>
      <c r="H1280" t="s">
        <v>320</v>
      </c>
      <c r="I1280">
        <v>14424</v>
      </c>
    </row>
    <row r="1281" spans="1:9" x14ac:dyDescent="0.3">
      <c r="A1281">
        <v>1280</v>
      </c>
      <c r="B1281" t="s">
        <v>5757</v>
      </c>
      <c r="C1281" t="s">
        <v>3591</v>
      </c>
      <c r="D1281" t="s">
        <v>6299</v>
      </c>
      <c r="E1281" t="s">
        <v>5758</v>
      </c>
      <c r="F1281" t="s">
        <v>5759</v>
      </c>
      <c r="G1281" t="s">
        <v>2661</v>
      </c>
      <c r="H1281" t="s">
        <v>320</v>
      </c>
      <c r="I1281">
        <v>12590</v>
      </c>
    </row>
    <row r="1282" spans="1:9" x14ac:dyDescent="0.3">
      <c r="A1282">
        <v>1281</v>
      </c>
      <c r="B1282" t="s">
        <v>5760</v>
      </c>
      <c r="C1282" t="s">
        <v>1856</v>
      </c>
      <c r="D1282" t="s">
        <v>6299</v>
      </c>
      <c r="E1282" t="s">
        <v>5761</v>
      </c>
      <c r="F1282" t="s">
        <v>5762</v>
      </c>
      <c r="G1282" t="s">
        <v>1819</v>
      </c>
      <c r="H1282" t="s">
        <v>320</v>
      </c>
      <c r="I1282">
        <v>11377</v>
      </c>
    </row>
    <row r="1283" spans="1:9" x14ac:dyDescent="0.3">
      <c r="A1283">
        <v>1282</v>
      </c>
      <c r="B1283" t="s">
        <v>5763</v>
      </c>
      <c r="C1283" t="s">
        <v>2497</v>
      </c>
      <c r="D1283" t="s">
        <v>5764</v>
      </c>
      <c r="E1283" t="s">
        <v>5765</v>
      </c>
      <c r="F1283" t="s">
        <v>5766</v>
      </c>
      <c r="G1283" t="s">
        <v>3250</v>
      </c>
      <c r="H1283" t="s">
        <v>320</v>
      </c>
      <c r="I1283">
        <v>10956</v>
      </c>
    </row>
    <row r="1284" spans="1:9" x14ac:dyDescent="0.3">
      <c r="A1284">
        <v>1283</v>
      </c>
      <c r="B1284" t="s">
        <v>5767</v>
      </c>
      <c r="C1284" t="s">
        <v>2341</v>
      </c>
      <c r="D1284" t="s">
        <v>6299</v>
      </c>
      <c r="E1284" t="s">
        <v>5768</v>
      </c>
      <c r="F1284" t="s">
        <v>5769</v>
      </c>
      <c r="G1284" t="s">
        <v>2280</v>
      </c>
      <c r="H1284" t="s">
        <v>320</v>
      </c>
      <c r="I1284">
        <v>12533</v>
      </c>
    </row>
    <row r="1285" spans="1:9" x14ac:dyDescent="0.3">
      <c r="A1285">
        <v>1284</v>
      </c>
      <c r="B1285" t="s">
        <v>5770</v>
      </c>
      <c r="C1285" t="s">
        <v>3900</v>
      </c>
      <c r="D1285" t="s">
        <v>6299</v>
      </c>
      <c r="E1285" t="s">
        <v>5771</v>
      </c>
      <c r="F1285" t="s">
        <v>5772</v>
      </c>
      <c r="G1285" t="s">
        <v>1997</v>
      </c>
      <c r="H1285" t="s">
        <v>320</v>
      </c>
      <c r="I1285">
        <v>11201</v>
      </c>
    </row>
    <row r="1286" spans="1:9" x14ac:dyDescent="0.3">
      <c r="A1286">
        <v>1285</v>
      </c>
      <c r="B1286" t="s">
        <v>5773</v>
      </c>
      <c r="C1286" t="s">
        <v>5114</v>
      </c>
      <c r="D1286" t="s">
        <v>6299</v>
      </c>
      <c r="E1286" t="s">
        <v>5774</v>
      </c>
      <c r="F1286" t="s">
        <v>5775</v>
      </c>
      <c r="G1286" t="s">
        <v>1316</v>
      </c>
      <c r="H1286" t="s">
        <v>314</v>
      </c>
      <c r="I1286">
        <v>91740</v>
      </c>
    </row>
    <row r="1287" spans="1:9" x14ac:dyDescent="0.3">
      <c r="A1287">
        <v>1286</v>
      </c>
      <c r="B1287" t="s">
        <v>5776</v>
      </c>
      <c r="C1287" t="s">
        <v>1923</v>
      </c>
      <c r="D1287" t="s">
        <v>6299</v>
      </c>
      <c r="E1287" t="s">
        <v>5777</v>
      </c>
      <c r="F1287" t="s">
        <v>5778</v>
      </c>
      <c r="G1287" t="s">
        <v>2215</v>
      </c>
      <c r="H1287" t="s">
        <v>314</v>
      </c>
      <c r="I1287">
        <v>94566</v>
      </c>
    </row>
    <row r="1288" spans="1:9" x14ac:dyDescent="0.3">
      <c r="A1288">
        <v>1287</v>
      </c>
      <c r="B1288" t="s">
        <v>5779</v>
      </c>
      <c r="C1288" t="s">
        <v>1989</v>
      </c>
      <c r="D1288" t="s">
        <v>6299</v>
      </c>
      <c r="E1288" t="s">
        <v>5780</v>
      </c>
      <c r="F1288" t="s">
        <v>5781</v>
      </c>
      <c r="G1288" t="s">
        <v>1246</v>
      </c>
      <c r="H1288" t="s">
        <v>320</v>
      </c>
      <c r="I1288">
        <v>11102</v>
      </c>
    </row>
    <row r="1289" spans="1:9" x14ac:dyDescent="0.3">
      <c r="A1289">
        <v>1288</v>
      </c>
      <c r="B1289" t="s">
        <v>5782</v>
      </c>
      <c r="C1289" t="s">
        <v>4014</v>
      </c>
      <c r="D1289" t="s">
        <v>6299</v>
      </c>
      <c r="E1289" t="s">
        <v>5783</v>
      </c>
      <c r="F1289" t="s">
        <v>5784</v>
      </c>
      <c r="G1289" t="s">
        <v>2076</v>
      </c>
      <c r="H1289" t="s">
        <v>314</v>
      </c>
      <c r="I1289">
        <v>90260</v>
      </c>
    </row>
    <row r="1290" spans="1:9" x14ac:dyDescent="0.3">
      <c r="A1290">
        <v>1289</v>
      </c>
      <c r="B1290" t="s">
        <v>5785</v>
      </c>
      <c r="C1290" t="s">
        <v>2415</v>
      </c>
      <c r="D1290" t="s">
        <v>6299</v>
      </c>
      <c r="E1290" t="s">
        <v>5786</v>
      </c>
      <c r="F1290" t="s">
        <v>5787</v>
      </c>
      <c r="G1290" t="s">
        <v>1282</v>
      </c>
      <c r="H1290" t="s">
        <v>320</v>
      </c>
      <c r="I1290">
        <v>11714</v>
      </c>
    </row>
    <row r="1291" spans="1:9" x14ac:dyDescent="0.3">
      <c r="A1291">
        <v>1290</v>
      </c>
      <c r="B1291" t="s">
        <v>5788</v>
      </c>
      <c r="C1291" t="s">
        <v>2929</v>
      </c>
      <c r="D1291" t="s">
        <v>6299</v>
      </c>
      <c r="E1291" t="s">
        <v>5789</v>
      </c>
      <c r="F1291" t="s">
        <v>5790</v>
      </c>
      <c r="G1291" t="s">
        <v>3182</v>
      </c>
      <c r="H1291" t="s">
        <v>320</v>
      </c>
      <c r="I1291">
        <v>11419</v>
      </c>
    </row>
    <row r="1292" spans="1:9" x14ac:dyDescent="0.3">
      <c r="A1292">
        <v>1291</v>
      </c>
      <c r="B1292" t="s">
        <v>4870</v>
      </c>
      <c r="C1292" t="s">
        <v>1548</v>
      </c>
      <c r="D1292" t="s">
        <v>6299</v>
      </c>
      <c r="E1292" t="s">
        <v>5791</v>
      </c>
      <c r="F1292" t="s">
        <v>5792</v>
      </c>
      <c r="G1292" t="s">
        <v>1110</v>
      </c>
      <c r="H1292" t="s">
        <v>320</v>
      </c>
      <c r="I1292">
        <v>10952</v>
      </c>
    </row>
    <row r="1293" spans="1:9" x14ac:dyDescent="0.3">
      <c r="A1293">
        <v>1292</v>
      </c>
      <c r="B1293" t="s">
        <v>5793</v>
      </c>
      <c r="C1293" t="s">
        <v>2999</v>
      </c>
      <c r="D1293" t="s">
        <v>6299</v>
      </c>
      <c r="E1293" t="s">
        <v>5794</v>
      </c>
      <c r="F1293" t="s">
        <v>5795</v>
      </c>
      <c r="G1293" t="s">
        <v>1291</v>
      </c>
      <c r="H1293" t="s">
        <v>314</v>
      </c>
      <c r="I1293">
        <v>94580</v>
      </c>
    </row>
    <row r="1294" spans="1:9" x14ac:dyDescent="0.3">
      <c r="A1294">
        <v>1293</v>
      </c>
      <c r="B1294" t="s">
        <v>5796</v>
      </c>
      <c r="C1294" t="s">
        <v>3204</v>
      </c>
      <c r="D1294" t="s">
        <v>6299</v>
      </c>
      <c r="E1294" t="s">
        <v>5797</v>
      </c>
      <c r="F1294" t="s">
        <v>5798</v>
      </c>
      <c r="G1294" t="s">
        <v>1569</v>
      </c>
      <c r="H1294" t="s">
        <v>320</v>
      </c>
      <c r="I1294">
        <v>11001</v>
      </c>
    </row>
    <row r="1295" spans="1:9" x14ac:dyDescent="0.3">
      <c r="A1295">
        <v>1294</v>
      </c>
      <c r="B1295" t="s">
        <v>5799</v>
      </c>
      <c r="C1295" t="s">
        <v>1706</v>
      </c>
      <c r="D1295" t="s">
        <v>6299</v>
      </c>
      <c r="E1295" t="s">
        <v>5800</v>
      </c>
      <c r="F1295" t="s">
        <v>5801</v>
      </c>
      <c r="G1295" t="s">
        <v>3301</v>
      </c>
      <c r="H1295" t="s">
        <v>314</v>
      </c>
      <c r="I1295">
        <v>91762</v>
      </c>
    </row>
    <row r="1296" spans="1:9" x14ac:dyDescent="0.3">
      <c r="A1296">
        <v>1295</v>
      </c>
      <c r="B1296" t="s">
        <v>5802</v>
      </c>
      <c r="C1296" t="s">
        <v>5803</v>
      </c>
      <c r="D1296" t="s">
        <v>6299</v>
      </c>
      <c r="E1296" t="s">
        <v>5804</v>
      </c>
      <c r="F1296" t="s">
        <v>5805</v>
      </c>
      <c r="G1296" t="s">
        <v>1413</v>
      </c>
      <c r="H1296" t="s">
        <v>320</v>
      </c>
      <c r="I1296">
        <v>14120</v>
      </c>
    </row>
    <row r="1297" spans="1:9" x14ac:dyDescent="0.3">
      <c r="A1297">
        <v>1296</v>
      </c>
      <c r="B1297" t="s">
        <v>3121</v>
      </c>
      <c r="C1297" t="s">
        <v>5806</v>
      </c>
      <c r="D1297" t="s">
        <v>6299</v>
      </c>
      <c r="E1297" t="s">
        <v>5807</v>
      </c>
      <c r="F1297" t="s">
        <v>5808</v>
      </c>
      <c r="G1297" t="s">
        <v>1718</v>
      </c>
      <c r="H1297" t="s">
        <v>320</v>
      </c>
      <c r="I1297">
        <v>11412</v>
      </c>
    </row>
    <row r="1298" spans="1:9" x14ac:dyDescent="0.3">
      <c r="A1298">
        <v>1297</v>
      </c>
      <c r="B1298" t="s">
        <v>5809</v>
      </c>
      <c r="C1298" t="s">
        <v>5810</v>
      </c>
      <c r="D1298" t="s">
        <v>6299</v>
      </c>
      <c r="E1298" t="s">
        <v>5811</v>
      </c>
      <c r="F1298" t="s">
        <v>5812</v>
      </c>
      <c r="G1298" t="s">
        <v>2871</v>
      </c>
      <c r="H1298" t="s">
        <v>320</v>
      </c>
      <c r="I1298">
        <v>10801</v>
      </c>
    </row>
    <row r="1299" spans="1:9" x14ac:dyDescent="0.3">
      <c r="A1299">
        <v>1298</v>
      </c>
      <c r="B1299" t="s">
        <v>5813</v>
      </c>
      <c r="C1299" t="s">
        <v>1994</v>
      </c>
      <c r="D1299" t="s">
        <v>6299</v>
      </c>
      <c r="E1299" t="s">
        <v>5814</v>
      </c>
      <c r="F1299" t="s">
        <v>5815</v>
      </c>
      <c r="G1299" t="s">
        <v>2468</v>
      </c>
      <c r="H1299" t="s">
        <v>320</v>
      </c>
      <c r="I1299">
        <v>12302</v>
      </c>
    </row>
    <row r="1300" spans="1:9" x14ac:dyDescent="0.3">
      <c r="A1300">
        <v>1299</v>
      </c>
      <c r="B1300" t="s">
        <v>5816</v>
      </c>
      <c r="C1300" t="s">
        <v>2810</v>
      </c>
      <c r="D1300" t="s">
        <v>6299</v>
      </c>
      <c r="E1300" t="s">
        <v>5817</v>
      </c>
      <c r="F1300" t="s">
        <v>5818</v>
      </c>
      <c r="G1300" t="s">
        <v>3570</v>
      </c>
      <c r="H1300" t="s">
        <v>320</v>
      </c>
      <c r="I1300">
        <v>10598</v>
      </c>
    </row>
    <row r="1301" spans="1:9" x14ac:dyDescent="0.3">
      <c r="A1301">
        <v>1300</v>
      </c>
      <c r="B1301" t="s">
        <v>5819</v>
      </c>
      <c r="C1301" t="s">
        <v>5570</v>
      </c>
      <c r="D1301" t="s">
        <v>6299</v>
      </c>
      <c r="E1301" t="s">
        <v>5820</v>
      </c>
      <c r="F1301" t="s">
        <v>5821</v>
      </c>
      <c r="G1301" t="s">
        <v>3697</v>
      </c>
      <c r="H1301" t="s">
        <v>320</v>
      </c>
      <c r="I1301">
        <v>14701</v>
      </c>
    </row>
    <row r="1302" spans="1:9" x14ac:dyDescent="0.3">
      <c r="A1302">
        <v>1301</v>
      </c>
      <c r="B1302" t="s">
        <v>5822</v>
      </c>
      <c r="C1302" t="s">
        <v>5474</v>
      </c>
      <c r="D1302" t="s">
        <v>6299</v>
      </c>
      <c r="E1302" t="s">
        <v>5823</v>
      </c>
      <c r="F1302" t="s">
        <v>5824</v>
      </c>
      <c r="G1302" t="s">
        <v>2076</v>
      </c>
      <c r="H1302" t="s">
        <v>314</v>
      </c>
      <c r="I1302">
        <v>90260</v>
      </c>
    </row>
    <row r="1303" spans="1:9" x14ac:dyDescent="0.3">
      <c r="A1303">
        <v>1302</v>
      </c>
      <c r="B1303" t="s">
        <v>5825</v>
      </c>
      <c r="C1303" t="s">
        <v>3207</v>
      </c>
      <c r="D1303" t="s">
        <v>6299</v>
      </c>
      <c r="E1303" t="s">
        <v>5826</v>
      </c>
      <c r="F1303" t="s">
        <v>5827</v>
      </c>
      <c r="G1303" t="s">
        <v>1166</v>
      </c>
      <c r="H1303" t="s">
        <v>320</v>
      </c>
      <c r="I1303">
        <v>11731</v>
      </c>
    </row>
    <row r="1304" spans="1:9" x14ac:dyDescent="0.3">
      <c r="A1304">
        <v>1303</v>
      </c>
      <c r="B1304" t="s">
        <v>5828</v>
      </c>
      <c r="C1304" t="s">
        <v>5829</v>
      </c>
      <c r="D1304" t="s">
        <v>6299</v>
      </c>
      <c r="E1304" t="s">
        <v>5830</v>
      </c>
      <c r="F1304" t="s">
        <v>5831</v>
      </c>
      <c r="G1304" t="s">
        <v>1819</v>
      </c>
      <c r="H1304" t="s">
        <v>320</v>
      </c>
      <c r="I1304">
        <v>11377</v>
      </c>
    </row>
    <row r="1305" spans="1:9" x14ac:dyDescent="0.3">
      <c r="A1305">
        <v>1304</v>
      </c>
      <c r="B1305" t="s">
        <v>5832</v>
      </c>
      <c r="C1305" t="s">
        <v>1284</v>
      </c>
      <c r="D1305" t="s">
        <v>6299</v>
      </c>
      <c r="E1305" t="s">
        <v>5833</v>
      </c>
      <c r="F1305" t="s">
        <v>5834</v>
      </c>
      <c r="G1305" t="s">
        <v>1171</v>
      </c>
      <c r="H1305" t="s">
        <v>320</v>
      </c>
      <c r="I1305">
        <v>11423</v>
      </c>
    </row>
    <row r="1306" spans="1:9" x14ac:dyDescent="0.3">
      <c r="A1306">
        <v>1305</v>
      </c>
      <c r="B1306" t="s">
        <v>5835</v>
      </c>
      <c r="C1306" t="s">
        <v>1393</v>
      </c>
      <c r="D1306" t="s">
        <v>5836</v>
      </c>
      <c r="E1306" t="s">
        <v>5837</v>
      </c>
      <c r="F1306" t="s">
        <v>5838</v>
      </c>
      <c r="G1306" t="s">
        <v>2951</v>
      </c>
      <c r="H1306" t="s">
        <v>320</v>
      </c>
      <c r="I1306">
        <v>14606</v>
      </c>
    </row>
    <row r="1307" spans="1:9" x14ac:dyDescent="0.3">
      <c r="A1307">
        <v>1306</v>
      </c>
      <c r="B1307" t="s">
        <v>5839</v>
      </c>
      <c r="C1307" t="s">
        <v>4007</v>
      </c>
      <c r="D1307" t="s">
        <v>6299</v>
      </c>
      <c r="E1307" t="s">
        <v>5840</v>
      </c>
      <c r="F1307" t="s">
        <v>5841</v>
      </c>
      <c r="G1307" t="s">
        <v>1900</v>
      </c>
      <c r="H1307" t="s">
        <v>320</v>
      </c>
      <c r="I1307">
        <v>14580</v>
      </c>
    </row>
    <row r="1308" spans="1:9" x14ac:dyDescent="0.3">
      <c r="A1308">
        <v>1307</v>
      </c>
      <c r="B1308" t="s">
        <v>5842</v>
      </c>
      <c r="C1308" t="s">
        <v>3716</v>
      </c>
      <c r="D1308" t="s">
        <v>6299</v>
      </c>
      <c r="E1308" t="s">
        <v>5843</v>
      </c>
      <c r="F1308" t="s">
        <v>5844</v>
      </c>
      <c r="G1308" t="s">
        <v>2729</v>
      </c>
      <c r="H1308" t="s">
        <v>314</v>
      </c>
      <c r="I1308">
        <v>93635</v>
      </c>
    </row>
    <row r="1309" spans="1:9" x14ac:dyDescent="0.3">
      <c r="A1309">
        <v>1308</v>
      </c>
      <c r="B1309" t="s">
        <v>5845</v>
      </c>
      <c r="C1309" t="s">
        <v>1535</v>
      </c>
      <c r="D1309" t="s">
        <v>6299</v>
      </c>
      <c r="E1309" t="s">
        <v>5846</v>
      </c>
      <c r="F1309" t="s">
        <v>5847</v>
      </c>
      <c r="G1309" t="s">
        <v>1404</v>
      </c>
      <c r="H1309" t="s">
        <v>314</v>
      </c>
      <c r="I1309">
        <v>91733</v>
      </c>
    </row>
    <row r="1310" spans="1:9" x14ac:dyDescent="0.3">
      <c r="A1310">
        <v>1309</v>
      </c>
      <c r="B1310" t="s">
        <v>5848</v>
      </c>
      <c r="C1310" t="s">
        <v>5849</v>
      </c>
      <c r="D1310" t="s">
        <v>6299</v>
      </c>
      <c r="E1310" t="s">
        <v>5850</v>
      </c>
      <c r="F1310" t="s">
        <v>5851</v>
      </c>
      <c r="G1310" t="s">
        <v>2345</v>
      </c>
      <c r="H1310" t="s">
        <v>320</v>
      </c>
      <c r="I1310">
        <v>11720</v>
      </c>
    </row>
    <row r="1311" spans="1:9" x14ac:dyDescent="0.3">
      <c r="A1311">
        <v>1310</v>
      </c>
      <c r="B1311" t="s">
        <v>5852</v>
      </c>
      <c r="C1311" t="s">
        <v>1437</v>
      </c>
      <c r="D1311" t="s">
        <v>6299</v>
      </c>
      <c r="E1311" t="s">
        <v>5853</v>
      </c>
      <c r="F1311" t="s">
        <v>5854</v>
      </c>
      <c r="G1311" t="s">
        <v>2468</v>
      </c>
      <c r="H1311" t="s">
        <v>320</v>
      </c>
      <c r="I1311">
        <v>12302</v>
      </c>
    </row>
    <row r="1312" spans="1:9" x14ac:dyDescent="0.3">
      <c r="A1312">
        <v>1311</v>
      </c>
      <c r="B1312" t="s">
        <v>5806</v>
      </c>
      <c r="C1312" t="s">
        <v>4493</v>
      </c>
      <c r="D1312" t="s">
        <v>6299</v>
      </c>
      <c r="E1312" t="s">
        <v>5855</v>
      </c>
      <c r="F1312" t="s">
        <v>5856</v>
      </c>
      <c r="G1312" t="s">
        <v>1682</v>
      </c>
      <c r="H1312" t="s">
        <v>320</v>
      </c>
      <c r="I1312">
        <v>11727</v>
      </c>
    </row>
    <row r="1313" spans="1:9" x14ac:dyDescent="0.3">
      <c r="A1313">
        <v>1312</v>
      </c>
      <c r="B1313" t="s">
        <v>5857</v>
      </c>
      <c r="C1313" t="s">
        <v>5858</v>
      </c>
      <c r="D1313" t="s">
        <v>6299</v>
      </c>
      <c r="E1313" t="s">
        <v>5859</v>
      </c>
      <c r="F1313" t="s">
        <v>5860</v>
      </c>
      <c r="G1313" t="s">
        <v>2288</v>
      </c>
      <c r="H1313" t="s">
        <v>320</v>
      </c>
      <c r="I1313">
        <v>11779</v>
      </c>
    </row>
    <row r="1314" spans="1:9" x14ac:dyDescent="0.3">
      <c r="A1314">
        <v>1313</v>
      </c>
      <c r="B1314" t="s">
        <v>5861</v>
      </c>
      <c r="C1314" t="s">
        <v>5862</v>
      </c>
      <c r="D1314" t="s">
        <v>6299</v>
      </c>
      <c r="E1314" t="s">
        <v>5863</v>
      </c>
      <c r="F1314" t="s">
        <v>5864</v>
      </c>
      <c r="G1314" t="s">
        <v>1471</v>
      </c>
      <c r="H1314" t="s">
        <v>314</v>
      </c>
      <c r="I1314">
        <v>91010</v>
      </c>
    </row>
    <row r="1315" spans="1:9" x14ac:dyDescent="0.3">
      <c r="A1315">
        <v>1314</v>
      </c>
      <c r="B1315" t="s">
        <v>5865</v>
      </c>
      <c r="C1315" t="s">
        <v>3744</v>
      </c>
      <c r="D1315" t="s">
        <v>6299</v>
      </c>
      <c r="E1315" t="s">
        <v>5866</v>
      </c>
      <c r="F1315" t="s">
        <v>5867</v>
      </c>
      <c r="G1315" t="s">
        <v>3301</v>
      </c>
      <c r="H1315" t="s">
        <v>314</v>
      </c>
      <c r="I1315">
        <v>91762</v>
      </c>
    </row>
    <row r="1316" spans="1:9" x14ac:dyDescent="0.3">
      <c r="A1316">
        <v>1315</v>
      </c>
      <c r="B1316" t="s">
        <v>5868</v>
      </c>
      <c r="C1316" t="s">
        <v>1830</v>
      </c>
      <c r="D1316" t="s">
        <v>6299</v>
      </c>
      <c r="E1316" t="s">
        <v>5869</v>
      </c>
      <c r="F1316" t="s">
        <v>5870</v>
      </c>
      <c r="G1316" t="s">
        <v>2138</v>
      </c>
      <c r="H1316" t="s">
        <v>314</v>
      </c>
      <c r="I1316">
        <v>91387</v>
      </c>
    </row>
    <row r="1317" spans="1:9" x14ac:dyDescent="0.3">
      <c r="A1317">
        <v>1316</v>
      </c>
      <c r="B1317" t="s">
        <v>5871</v>
      </c>
      <c r="C1317" t="s">
        <v>5872</v>
      </c>
      <c r="D1317" t="s">
        <v>6299</v>
      </c>
      <c r="E1317" t="s">
        <v>5873</v>
      </c>
      <c r="F1317" t="s">
        <v>5874</v>
      </c>
      <c r="G1317" t="s">
        <v>1699</v>
      </c>
      <c r="H1317" t="s">
        <v>320</v>
      </c>
      <c r="I1317">
        <v>11758</v>
      </c>
    </row>
    <row r="1318" spans="1:9" x14ac:dyDescent="0.3">
      <c r="A1318">
        <v>1317</v>
      </c>
      <c r="B1318" t="s">
        <v>5875</v>
      </c>
      <c r="C1318" t="s">
        <v>5876</v>
      </c>
      <c r="D1318" t="s">
        <v>6299</v>
      </c>
      <c r="E1318" t="s">
        <v>5877</v>
      </c>
      <c r="F1318" t="s">
        <v>5878</v>
      </c>
      <c r="G1318" t="s">
        <v>1546</v>
      </c>
      <c r="H1318" t="s">
        <v>320</v>
      </c>
      <c r="I1318">
        <v>11791</v>
      </c>
    </row>
    <row r="1319" spans="1:9" x14ac:dyDescent="0.3">
      <c r="A1319">
        <v>1318</v>
      </c>
      <c r="B1319" t="s">
        <v>5879</v>
      </c>
      <c r="C1319" t="s">
        <v>5880</v>
      </c>
      <c r="D1319" t="s">
        <v>5881</v>
      </c>
      <c r="E1319" t="s">
        <v>5882</v>
      </c>
      <c r="F1319" t="s">
        <v>5883</v>
      </c>
      <c r="G1319" t="s">
        <v>3937</v>
      </c>
      <c r="H1319" t="s">
        <v>326</v>
      </c>
      <c r="I1319">
        <v>78213</v>
      </c>
    </row>
    <row r="1320" spans="1:9" x14ac:dyDescent="0.3">
      <c r="A1320">
        <v>1319</v>
      </c>
      <c r="B1320" t="s">
        <v>5884</v>
      </c>
      <c r="C1320" t="s">
        <v>5885</v>
      </c>
      <c r="D1320" t="s">
        <v>6299</v>
      </c>
      <c r="E1320" t="s">
        <v>5886</v>
      </c>
      <c r="F1320" t="s">
        <v>5887</v>
      </c>
      <c r="G1320" t="s">
        <v>1651</v>
      </c>
      <c r="H1320" t="s">
        <v>320</v>
      </c>
      <c r="I1320">
        <v>12550</v>
      </c>
    </row>
    <row r="1321" spans="1:9" x14ac:dyDescent="0.3">
      <c r="A1321">
        <v>1320</v>
      </c>
      <c r="B1321" t="s">
        <v>5888</v>
      </c>
      <c r="C1321" t="s">
        <v>1928</v>
      </c>
      <c r="D1321" t="s">
        <v>6299</v>
      </c>
      <c r="E1321" t="s">
        <v>5889</v>
      </c>
      <c r="F1321" t="s">
        <v>5890</v>
      </c>
      <c r="G1321" t="s">
        <v>1651</v>
      </c>
      <c r="H1321" t="s">
        <v>320</v>
      </c>
      <c r="I1321">
        <v>12550</v>
      </c>
    </row>
    <row r="1322" spans="1:9" x14ac:dyDescent="0.3">
      <c r="A1322">
        <v>1321</v>
      </c>
      <c r="B1322" t="s">
        <v>5891</v>
      </c>
      <c r="C1322" t="s">
        <v>4132</v>
      </c>
      <c r="D1322" t="s">
        <v>6299</v>
      </c>
      <c r="E1322" t="s">
        <v>5892</v>
      </c>
      <c r="F1322" t="s">
        <v>5893</v>
      </c>
      <c r="G1322" t="s">
        <v>1786</v>
      </c>
      <c r="H1322" t="s">
        <v>320</v>
      </c>
      <c r="I1322">
        <v>11795</v>
      </c>
    </row>
    <row r="1323" spans="1:9" x14ac:dyDescent="0.3">
      <c r="A1323">
        <v>1322</v>
      </c>
      <c r="B1323" t="s">
        <v>5894</v>
      </c>
      <c r="C1323" t="s">
        <v>5895</v>
      </c>
      <c r="D1323" t="s">
        <v>6299</v>
      </c>
      <c r="E1323" t="s">
        <v>5896</v>
      </c>
      <c r="F1323" t="s">
        <v>5897</v>
      </c>
      <c r="G1323" t="s">
        <v>1485</v>
      </c>
      <c r="H1323" t="s">
        <v>320</v>
      </c>
      <c r="I1323">
        <v>11010</v>
      </c>
    </row>
    <row r="1324" spans="1:9" x14ac:dyDescent="0.3">
      <c r="A1324">
        <v>1323</v>
      </c>
      <c r="B1324" t="s">
        <v>5898</v>
      </c>
      <c r="C1324" t="s">
        <v>2400</v>
      </c>
      <c r="D1324" t="s">
        <v>6299</v>
      </c>
      <c r="E1324" t="s">
        <v>5899</v>
      </c>
      <c r="F1324" t="s">
        <v>5900</v>
      </c>
      <c r="G1324" t="s">
        <v>3786</v>
      </c>
      <c r="H1324" t="s">
        <v>320</v>
      </c>
      <c r="I1324">
        <v>11704</v>
      </c>
    </row>
    <row r="1325" spans="1:9" x14ac:dyDescent="0.3">
      <c r="A1325">
        <v>1324</v>
      </c>
      <c r="B1325" t="s">
        <v>5901</v>
      </c>
      <c r="C1325" t="s">
        <v>4636</v>
      </c>
      <c r="D1325" t="s">
        <v>6299</v>
      </c>
      <c r="E1325" t="s">
        <v>5902</v>
      </c>
      <c r="F1325" t="s">
        <v>5903</v>
      </c>
      <c r="G1325" t="s">
        <v>1321</v>
      </c>
      <c r="H1325" t="s">
        <v>320</v>
      </c>
      <c r="I1325">
        <v>13501</v>
      </c>
    </row>
    <row r="1326" spans="1:9" x14ac:dyDescent="0.3">
      <c r="A1326">
        <v>1325</v>
      </c>
      <c r="B1326" t="s">
        <v>5904</v>
      </c>
      <c r="C1326" t="s">
        <v>2055</v>
      </c>
      <c r="D1326" t="s">
        <v>6299</v>
      </c>
      <c r="E1326" t="s">
        <v>5905</v>
      </c>
      <c r="F1326" t="s">
        <v>5906</v>
      </c>
      <c r="G1326" t="s">
        <v>1466</v>
      </c>
      <c r="H1326" t="s">
        <v>320</v>
      </c>
      <c r="I1326">
        <v>13126</v>
      </c>
    </row>
    <row r="1327" spans="1:9" x14ac:dyDescent="0.3">
      <c r="A1327">
        <v>1326</v>
      </c>
      <c r="B1327" t="s">
        <v>5907</v>
      </c>
      <c r="C1327" t="s">
        <v>2786</v>
      </c>
      <c r="D1327" t="s">
        <v>6299</v>
      </c>
      <c r="E1327" t="s">
        <v>5908</v>
      </c>
      <c r="F1327" t="s">
        <v>5909</v>
      </c>
      <c r="G1327" t="s">
        <v>3415</v>
      </c>
      <c r="H1327" t="s">
        <v>320</v>
      </c>
      <c r="I1327">
        <v>13021</v>
      </c>
    </row>
    <row r="1328" spans="1:9" x14ac:dyDescent="0.3">
      <c r="A1328">
        <v>1327</v>
      </c>
      <c r="B1328" t="s">
        <v>5510</v>
      </c>
      <c r="C1328" t="s">
        <v>5910</v>
      </c>
      <c r="D1328" t="s">
        <v>6299</v>
      </c>
      <c r="E1328" t="s">
        <v>5911</v>
      </c>
      <c r="F1328" t="s">
        <v>5912</v>
      </c>
      <c r="G1328" t="s">
        <v>1105</v>
      </c>
      <c r="H1328" t="s">
        <v>320</v>
      </c>
      <c r="I1328">
        <v>10950</v>
      </c>
    </row>
    <row r="1329" spans="1:9" x14ac:dyDescent="0.3">
      <c r="A1329">
        <v>1328</v>
      </c>
      <c r="B1329" t="s">
        <v>5913</v>
      </c>
      <c r="C1329" t="s">
        <v>5914</v>
      </c>
      <c r="D1329" t="s">
        <v>6299</v>
      </c>
      <c r="E1329" t="s">
        <v>5915</v>
      </c>
      <c r="F1329" t="s">
        <v>5916</v>
      </c>
      <c r="G1329" t="s">
        <v>2076</v>
      </c>
      <c r="H1329" t="s">
        <v>314</v>
      </c>
      <c r="I1329">
        <v>90260</v>
      </c>
    </row>
    <row r="1330" spans="1:9" x14ac:dyDescent="0.3">
      <c r="A1330">
        <v>1329</v>
      </c>
      <c r="B1330" t="s">
        <v>1503</v>
      </c>
      <c r="C1330" t="s">
        <v>5917</v>
      </c>
      <c r="D1330" t="s">
        <v>6299</v>
      </c>
      <c r="E1330" t="s">
        <v>5918</v>
      </c>
      <c r="F1330" t="s">
        <v>5919</v>
      </c>
      <c r="G1330" t="s">
        <v>1171</v>
      </c>
      <c r="H1330" t="s">
        <v>320</v>
      </c>
      <c r="I1330">
        <v>11423</v>
      </c>
    </row>
    <row r="1331" spans="1:9" x14ac:dyDescent="0.3">
      <c r="A1331">
        <v>1330</v>
      </c>
      <c r="B1331" t="s">
        <v>5920</v>
      </c>
      <c r="C1331" t="s">
        <v>4715</v>
      </c>
      <c r="D1331" t="s">
        <v>6299</v>
      </c>
      <c r="E1331" t="s">
        <v>5921</v>
      </c>
      <c r="F1331" t="s">
        <v>5922</v>
      </c>
      <c r="G1331" t="s">
        <v>1348</v>
      </c>
      <c r="H1331" t="s">
        <v>314</v>
      </c>
      <c r="I1331">
        <v>94070</v>
      </c>
    </row>
    <row r="1332" spans="1:9" x14ac:dyDescent="0.3">
      <c r="A1332">
        <v>1331</v>
      </c>
      <c r="B1332" t="s">
        <v>5134</v>
      </c>
      <c r="C1332" t="s">
        <v>3512</v>
      </c>
      <c r="D1332" t="s">
        <v>6299</v>
      </c>
      <c r="E1332" t="s">
        <v>5923</v>
      </c>
      <c r="F1332" t="s">
        <v>5924</v>
      </c>
      <c r="G1332" t="s">
        <v>1651</v>
      </c>
      <c r="H1332" t="s">
        <v>320</v>
      </c>
      <c r="I1332">
        <v>12550</v>
      </c>
    </row>
    <row r="1333" spans="1:9" x14ac:dyDescent="0.3">
      <c r="A1333">
        <v>1332</v>
      </c>
      <c r="B1333" t="s">
        <v>4762</v>
      </c>
      <c r="C1333" t="s">
        <v>2027</v>
      </c>
      <c r="D1333" t="s">
        <v>6299</v>
      </c>
      <c r="E1333" t="s">
        <v>5925</v>
      </c>
      <c r="F1333" t="s">
        <v>5926</v>
      </c>
      <c r="G1333" t="s">
        <v>1316</v>
      </c>
      <c r="H1333" t="s">
        <v>314</v>
      </c>
      <c r="I1333">
        <v>91740</v>
      </c>
    </row>
    <row r="1334" spans="1:9" x14ac:dyDescent="0.3">
      <c r="A1334">
        <v>1333</v>
      </c>
      <c r="B1334" t="s">
        <v>5868</v>
      </c>
      <c r="C1334" t="s">
        <v>5114</v>
      </c>
      <c r="D1334" t="s">
        <v>6299</v>
      </c>
      <c r="E1334" t="s">
        <v>5927</v>
      </c>
      <c r="F1334" t="s">
        <v>5928</v>
      </c>
      <c r="G1334" t="s">
        <v>3255</v>
      </c>
      <c r="H1334" t="s">
        <v>314</v>
      </c>
      <c r="I1334">
        <v>90403</v>
      </c>
    </row>
    <row r="1335" spans="1:9" x14ac:dyDescent="0.3">
      <c r="A1335">
        <v>1334</v>
      </c>
      <c r="B1335" t="s">
        <v>3547</v>
      </c>
      <c r="C1335" t="s">
        <v>5929</v>
      </c>
      <c r="D1335" t="s">
        <v>6299</v>
      </c>
      <c r="E1335" t="s">
        <v>5930</v>
      </c>
      <c r="F1335" t="s">
        <v>5931</v>
      </c>
      <c r="G1335" t="s">
        <v>1651</v>
      </c>
      <c r="H1335" t="s">
        <v>320</v>
      </c>
      <c r="I1335">
        <v>12550</v>
      </c>
    </row>
    <row r="1336" spans="1:9" x14ac:dyDescent="0.3">
      <c r="A1336">
        <v>1335</v>
      </c>
      <c r="B1336" t="s">
        <v>5932</v>
      </c>
      <c r="C1336" t="s">
        <v>5606</v>
      </c>
      <c r="D1336" t="s">
        <v>6299</v>
      </c>
      <c r="E1336" t="s">
        <v>5933</v>
      </c>
      <c r="F1336" t="s">
        <v>5934</v>
      </c>
      <c r="G1336" t="s">
        <v>2656</v>
      </c>
      <c r="H1336" t="s">
        <v>320</v>
      </c>
      <c r="I1336">
        <v>11422</v>
      </c>
    </row>
    <row r="1337" spans="1:9" x14ac:dyDescent="0.3">
      <c r="A1337">
        <v>1336</v>
      </c>
      <c r="B1337" t="s">
        <v>5935</v>
      </c>
      <c r="C1337" t="s">
        <v>1379</v>
      </c>
      <c r="D1337" t="s">
        <v>6299</v>
      </c>
      <c r="E1337" t="s">
        <v>5936</v>
      </c>
      <c r="F1337" t="s">
        <v>5937</v>
      </c>
      <c r="G1337" t="s">
        <v>1964</v>
      </c>
      <c r="H1337" t="s">
        <v>320</v>
      </c>
      <c r="I1337">
        <v>12553</v>
      </c>
    </row>
    <row r="1338" spans="1:9" x14ac:dyDescent="0.3">
      <c r="A1338">
        <v>1337</v>
      </c>
      <c r="B1338" t="s">
        <v>1741</v>
      </c>
      <c r="C1338" t="s">
        <v>3034</v>
      </c>
      <c r="D1338" t="s">
        <v>6299</v>
      </c>
      <c r="E1338" t="s">
        <v>5938</v>
      </c>
      <c r="F1338" t="s">
        <v>5939</v>
      </c>
      <c r="G1338" t="s">
        <v>1121</v>
      </c>
      <c r="H1338" t="s">
        <v>326</v>
      </c>
      <c r="I1338">
        <v>75604</v>
      </c>
    </row>
    <row r="1339" spans="1:9" x14ac:dyDescent="0.3">
      <c r="A1339">
        <v>1338</v>
      </c>
      <c r="B1339" t="s">
        <v>5940</v>
      </c>
      <c r="C1339" t="s">
        <v>5941</v>
      </c>
      <c r="D1339" t="s">
        <v>6299</v>
      </c>
      <c r="E1339" t="s">
        <v>5942</v>
      </c>
      <c r="F1339" t="s">
        <v>5943</v>
      </c>
      <c r="G1339" t="s">
        <v>2288</v>
      </c>
      <c r="H1339" t="s">
        <v>320</v>
      </c>
      <c r="I1339">
        <v>11779</v>
      </c>
    </row>
    <row r="1340" spans="1:9" x14ac:dyDescent="0.3">
      <c r="A1340">
        <v>1339</v>
      </c>
      <c r="B1340" t="s">
        <v>5944</v>
      </c>
      <c r="C1340" t="s">
        <v>1985</v>
      </c>
      <c r="D1340" t="s">
        <v>5945</v>
      </c>
      <c r="E1340" t="s">
        <v>5946</v>
      </c>
      <c r="F1340" t="s">
        <v>5947</v>
      </c>
      <c r="G1340" t="s">
        <v>2053</v>
      </c>
      <c r="H1340" t="s">
        <v>320</v>
      </c>
      <c r="I1340">
        <v>11572</v>
      </c>
    </row>
    <row r="1341" spans="1:9" x14ac:dyDescent="0.3">
      <c r="A1341">
        <v>1340</v>
      </c>
      <c r="B1341" t="s">
        <v>5948</v>
      </c>
      <c r="C1341" t="s">
        <v>5949</v>
      </c>
      <c r="D1341" t="s">
        <v>6299</v>
      </c>
      <c r="E1341" t="s">
        <v>5950</v>
      </c>
      <c r="F1341" t="s">
        <v>5951</v>
      </c>
      <c r="G1341" t="s">
        <v>2035</v>
      </c>
      <c r="H1341" t="s">
        <v>320</v>
      </c>
      <c r="I1341">
        <v>11357</v>
      </c>
    </row>
    <row r="1342" spans="1:9" x14ac:dyDescent="0.3">
      <c r="A1342">
        <v>1341</v>
      </c>
      <c r="B1342" t="s">
        <v>5952</v>
      </c>
      <c r="C1342" t="s">
        <v>4221</v>
      </c>
      <c r="D1342" t="s">
        <v>6299</v>
      </c>
      <c r="E1342" t="s">
        <v>5953</v>
      </c>
      <c r="F1342" t="s">
        <v>5954</v>
      </c>
      <c r="G1342" t="s">
        <v>2237</v>
      </c>
      <c r="H1342" t="s">
        <v>320</v>
      </c>
      <c r="I1342">
        <v>11530</v>
      </c>
    </row>
    <row r="1343" spans="1:9" x14ac:dyDescent="0.3">
      <c r="A1343">
        <v>1342</v>
      </c>
      <c r="B1343" t="s">
        <v>5955</v>
      </c>
      <c r="C1343" t="s">
        <v>2073</v>
      </c>
      <c r="D1343" t="s">
        <v>6299</v>
      </c>
      <c r="E1343" t="s">
        <v>5956</v>
      </c>
      <c r="F1343" t="s">
        <v>5957</v>
      </c>
      <c r="G1343" t="s">
        <v>3037</v>
      </c>
      <c r="H1343" t="s">
        <v>320</v>
      </c>
      <c r="I1343">
        <v>11520</v>
      </c>
    </row>
    <row r="1344" spans="1:9" x14ac:dyDescent="0.3">
      <c r="A1344">
        <v>1343</v>
      </c>
      <c r="B1344" t="s">
        <v>5958</v>
      </c>
      <c r="C1344" t="s">
        <v>1788</v>
      </c>
      <c r="D1344" t="s">
        <v>6299</v>
      </c>
      <c r="E1344" t="s">
        <v>5959</v>
      </c>
      <c r="F1344" t="s">
        <v>5960</v>
      </c>
      <c r="G1344" t="s">
        <v>1480</v>
      </c>
      <c r="H1344" t="s">
        <v>314</v>
      </c>
      <c r="I1344">
        <v>91784</v>
      </c>
    </row>
    <row r="1345" spans="1:9" x14ac:dyDescent="0.3">
      <c r="A1345">
        <v>1344</v>
      </c>
      <c r="B1345" t="s">
        <v>5961</v>
      </c>
      <c r="C1345" t="s">
        <v>5962</v>
      </c>
      <c r="D1345" t="s">
        <v>6299</v>
      </c>
      <c r="E1345" t="s">
        <v>5963</v>
      </c>
      <c r="F1345" t="s">
        <v>5964</v>
      </c>
      <c r="G1345" t="s">
        <v>1632</v>
      </c>
      <c r="H1345" t="s">
        <v>320</v>
      </c>
      <c r="I1345">
        <v>11414</v>
      </c>
    </row>
    <row r="1346" spans="1:9" x14ac:dyDescent="0.3">
      <c r="A1346">
        <v>1345</v>
      </c>
      <c r="B1346" t="s">
        <v>5965</v>
      </c>
      <c r="C1346" t="s">
        <v>1355</v>
      </c>
      <c r="D1346" t="s">
        <v>6299</v>
      </c>
      <c r="E1346" t="s">
        <v>5966</v>
      </c>
      <c r="F1346" t="s">
        <v>5967</v>
      </c>
      <c r="G1346" t="s">
        <v>2703</v>
      </c>
      <c r="H1346" t="s">
        <v>320</v>
      </c>
      <c r="I1346">
        <v>11354</v>
      </c>
    </row>
    <row r="1347" spans="1:9" x14ac:dyDescent="0.3">
      <c r="A1347">
        <v>1346</v>
      </c>
      <c r="B1347" t="s">
        <v>5968</v>
      </c>
      <c r="C1347" t="s">
        <v>1900</v>
      </c>
      <c r="D1347" t="s">
        <v>5969</v>
      </c>
      <c r="E1347" t="s">
        <v>5970</v>
      </c>
      <c r="F1347" t="s">
        <v>5971</v>
      </c>
      <c r="G1347" t="s">
        <v>3444</v>
      </c>
      <c r="H1347" t="s">
        <v>314</v>
      </c>
      <c r="I1347">
        <v>90008</v>
      </c>
    </row>
    <row r="1348" spans="1:9" x14ac:dyDescent="0.3">
      <c r="A1348">
        <v>1347</v>
      </c>
      <c r="B1348" t="s">
        <v>5972</v>
      </c>
      <c r="C1348" t="s">
        <v>1928</v>
      </c>
      <c r="D1348" t="s">
        <v>6299</v>
      </c>
      <c r="E1348" t="s">
        <v>5973</v>
      </c>
      <c r="F1348" t="s">
        <v>5974</v>
      </c>
      <c r="G1348" t="s">
        <v>1511</v>
      </c>
      <c r="H1348" t="s">
        <v>320</v>
      </c>
      <c r="I1348">
        <v>12866</v>
      </c>
    </row>
    <row r="1349" spans="1:9" x14ac:dyDescent="0.3">
      <c r="A1349">
        <v>1348</v>
      </c>
      <c r="B1349" t="s">
        <v>4090</v>
      </c>
      <c r="C1349" t="s">
        <v>2786</v>
      </c>
      <c r="D1349" t="s">
        <v>6299</v>
      </c>
      <c r="E1349" t="s">
        <v>5975</v>
      </c>
      <c r="F1349" t="s">
        <v>5976</v>
      </c>
      <c r="G1349" t="s">
        <v>1306</v>
      </c>
      <c r="H1349" t="s">
        <v>320</v>
      </c>
      <c r="I1349">
        <v>11566</v>
      </c>
    </row>
    <row r="1350" spans="1:9" x14ac:dyDescent="0.3">
      <c r="A1350">
        <v>1349</v>
      </c>
      <c r="B1350" t="s">
        <v>5977</v>
      </c>
      <c r="C1350" t="s">
        <v>3004</v>
      </c>
      <c r="D1350" t="s">
        <v>6299</v>
      </c>
      <c r="E1350" t="s">
        <v>5978</v>
      </c>
      <c r="F1350" t="s">
        <v>5979</v>
      </c>
      <c r="G1350" t="s">
        <v>1257</v>
      </c>
      <c r="H1350" t="s">
        <v>314</v>
      </c>
      <c r="I1350">
        <v>91316</v>
      </c>
    </row>
    <row r="1351" spans="1:9" x14ac:dyDescent="0.3">
      <c r="A1351">
        <v>1350</v>
      </c>
      <c r="B1351" t="s">
        <v>2384</v>
      </c>
      <c r="C1351" t="s">
        <v>5980</v>
      </c>
      <c r="D1351" t="s">
        <v>6299</v>
      </c>
      <c r="E1351" t="s">
        <v>5981</v>
      </c>
      <c r="F1351" t="s">
        <v>5982</v>
      </c>
      <c r="G1351" t="s">
        <v>2656</v>
      </c>
      <c r="H1351" t="s">
        <v>320</v>
      </c>
      <c r="I1351">
        <v>11422</v>
      </c>
    </row>
    <row r="1352" spans="1:9" x14ac:dyDescent="0.3">
      <c r="A1352">
        <v>1351</v>
      </c>
      <c r="B1352" t="s">
        <v>5983</v>
      </c>
      <c r="C1352" t="s">
        <v>5984</v>
      </c>
      <c r="D1352" t="s">
        <v>6299</v>
      </c>
      <c r="E1352" t="s">
        <v>5985</v>
      </c>
      <c r="F1352" t="s">
        <v>5986</v>
      </c>
      <c r="G1352" t="s">
        <v>3697</v>
      </c>
      <c r="H1352" t="s">
        <v>320</v>
      </c>
      <c r="I1352">
        <v>14701</v>
      </c>
    </row>
    <row r="1353" spans="1:9" x14ac:dyDescent="0.3">
      <c r="A1353">
        <v>1352</v>
      </c>
      <c r="B1353" t="s">
        <v>3833</v>
      </c>
      <c r="C1353" t="s">
        <v>4037</v>
      </c>
      <c r="D1353" t="s">
        <v>6299</v>
      </c>
      <c r="E1353" t="s">
        <v>5987</v>
      </c>
      <c r="F1353" t="s">
        <v>5988</v>
      </c>
      <c r="G1353" t="s">
        <v>1480</v>
      </c>
      <c r="H1353" t="s">
        <v>314</v>
      </c>
      <c r="I1353">
        <v>91784</v>
      </c>
    </row>
    <row r="1354" spans="1:9" x14ac:dyDescent="0.3">
      <c r="A1354">
        <v>1353</v>
      </c>
      <c r="B1354" t="s">
        <v>4093</v>
      </c>
      <c r="C1354" t="s">
        <v>3373</v>
      </c>
      <c r="D1354" t="s">
        <v>6299</v>
      </c>
      <c r="E1354" t="s">
        <v>5989</v>
      </c>
      <c r="F1354" t="s">
        <v>5990</v>
      </c>
      <c r="G1354" t="s">
        <v>1404</v>
      </c>
      <c r="H1354" t="s">
        <v>314</v>
      </c>
      <c r="I1354">
        <v>91733</v>
      </c>
    </row>
    <row r="1355" spans="1:9" x14ac:dyDescent="0.3">
      <c r="A1355">
        <v>1354</v>
      </c>
      <c r="B1355" t="s">
        <v>5991</v>
      </c>
      <c r="C1355" t="s">
        <v>2395</v>
      </c>
      <c r="D1355" t="s">
        <v>6299</v>
      </c>
      <c r="E1355" t="s">
        <v>5992</v>
      </c>
      <c r="F1355" t="s">
        <v>5993</v>
      </c>
      <c r="G1355" t="s">
        <v>2468</v>
      </c>
      <c r="H1355" t="s">
        <v>320</v>
      </c>
      <c r="I1355">
        <v>12302</v>
      </c>
    </row>
    <row r="1356" spans="1:9" x14ac:dyDescent="0.3">
      <c r="A1356">
        <v>1355</v>
      </c>
      <c r="B1356" t="s">
        <v>3319</v>
      </c>
      <c r="C1356" t="s">
        <v>1804</v>
      </c>
      <c r="D1356" t="s">
        <v>6299</v>
      </c>
      <c r="E1356" t="s">
        <v>5994</v>
      </c>
      <c r="F1356" t="s">
        <v>5995</v>
      </c>
      <c r="G1356" t="s">
        <v>2328</v>
      </c>
      <c r="H1356" t="s">
        <v>320</v>
      </c>
      <c r="I1356">
        <v>11756</v>
      </c>
    </row>
    <row r="1357" spans="1:9" x14ac:dyDescent="0.3">
      <c r="A1357">
        <v>1356</v>
      </c>
      <c r="B1357" t="s">
        <v>5996</v>
      </c>
      <c r="C1357" t="s">
        <v>5997</v>
      </c>
      <c r="D1357" t="s">
        <v>6299</v>
      </c>
      <c r="E1357" t="s">
        <v>5998</v>
      </c>
      <c r="F1357" t="s">
        <v>5999</v>
      </c>
      <c r="G1357" t="s">
        <v>2071</v>
      </c>
      <c r="H1357" t="s">
        <v>320</v>
      </c>
      <c r="I1357">
        <v>11772</v>
      </c>
    </row>
    <row r="1358" spans="1:9" x14ac:dyDescent="0.3">
      <c r="A1358">
        <v>1357</v>
      </c>
      <c r="B1358" t="s">
        <v>5920</v>
      </c>
      <c r="C1358" t="s">
        <v>4191</v>
      </c>
      <c r="D1358" t="s">
        <v>6000</v>
      </c>
      <c r="E1358" t="s">
        <v>6001</v>
      </c>
      <c r="F1358" t="s">
        <v>6002</v>
      </c>
      <c r="G1358" t="s">
        <v>1624</v>
      </c>
      <c r="H1358" t="s">
        <v>314</v>
      </c>
      <c r="I1358">
        <v>93706</v>
      </c>
    </row>
    <row r="1359" spans="1:9" x14ac:dyDescent="0.3">
      <c r="A1359">
        <v>1358</v>
      </c>
      <c r="B1359" t="s">
        <v>1228</v>
      </c>
      <c r="C1359" t="s">
        <v>2486</v>
      </c>
      <c r="D1359" t="s">
        <v>6299</v>
      </c>
      <c r="E1359" t="s">
        <v>6003</v>
      </c>
      <c r="F1359" t="s">
        <v>6004</v>
      </c>
      <c r="G1359" t="s">
        <v>1059</v>
      </c>
      <c r="H1359" t="s">
        <v>320</v>
      </c>
      <c r="I1359">
        <v>14127</v>
      </c>
    </row>
    <row r="1360" spans="1:9" x14ac:dyDescent="0.3">
      <c r="A1360">
        <v>1359</v>
      </c>
      <c r="B1360" t="s">
        <v>2800</v>
      </c>
      <c r="C1360" t="s">
        <v>5641</v>
      </c>
      <c r="D1360" t="s">
        <v>6299</v>
      </c>
      <c r="E1360" t="s">
        <v>6005</v>
      </c>
      <c r="F1360" t="s">
        <v>6006</v>
      </c>
      <c r="G1360" t="s">
        <v>2328</v>
      </c>
      <c r="H1360" t="s">
        <v>320</v>
      </c>
      <c r="I1360">
        <v>11756</v>
      </c>
    </row>
    <row r="1361" spans="1:9" x14ac:dyDescent="0.3">
      <c r="A1361">
        <v>1360</v>
      </c>
      <c r="B1361" t="s">
        <v>6007</v>
      </c>
      <c r="C1361" t="s">
        <v>3121</v>
      </c>
      <c r="D1361" t="s">
        <v>6299</v>
      </c>
      <c r="E1361" t="s">
        <v>6008</v>
      </c>
      <c r="F1361" t="s">
        <v>6009</v>
      </c>
      <c r="G1361" t="s">
        <v>1480</v>
      </c>
      <c r="H1361" t="s">
        <v>314</v>
      </c>
      <c r="I1361">
        <v>91784</v>
      </c>
    </row>
    <row r="1362" spans="1:9" x14ac:dyDescent="0.3">
      <c r="A1362">
        <v>1361</v>
      </c>
      <c r="B1362" t="s">
        <v>6010</v>
      </c>
      <c r="C1362" t="s">
        <v>1539</v>
      </c>
      <c r="D1362" t="s">
        <v>6299</v>
      </c>
      <c r="E1362" t="s">
        <v>6011</v>
      </c>
      <c r="F1362" t="s">
        <v>6012</v>
      </c>
      <c r="G1362" t="s">
        <v>6013</v>
      </c>
      <c r="H1362" t="s">
        <v>320</v>
      </c>
      <c r="I1362">
        <v>11590</v>
      </c>
    </row>
    <row r="1363" spans="1:9" x14ac:dyDescent="0.3">
      <c r="A1363">
        <v>1362</v>
      </c>
      <c r="B1363" t="s">
        <v>6014</v>
      </c>
      <c r="C1363" t="s">
        <v>4905</v>
      </c>
      <c r="D1363" t="s">
        <v>6299</v>
      </c>
      <c r="E1363" t="s">
        <v>6015</v>
      </c>
      <c r="F1363" t="s">
        <v>6016</v>
      </c>
      <c r="G1363" t="s">
        <v>1059</v>
      </c>
      <c r="H1363" t="s">
        <v>320</v>
      </c>
      <c r="I1363">
        <v>14127</v>
      </c>
    </row>
    <row r="1364" spans="1:9" x14ac:dyDescent="0.3">
      <c r="A1364">
        <v>1363</v>
      </c>
      <c r="B1364" t="s">
        <v>6017</v>
      </c>
      <c r="C1364" t="s">
        <v>6018</v>
      </c>
      <c r="D1364" t="s">
        <v>6019</v>
      </c>
      <c r="E1364" t="s">
        <v>6020</v>
      </c>
      <c r="F1364" t="s">
        <v>6021</v>
      </c>
      <c r="G1364" t="s">
        <v>372</v>
      </c>
      <c r="H1364" t="s">
        <v>326</v>
      </c>
      <c r="I1364">
        <v>77016</v>
      </c>
    </row>
    <row r="1365" spans="1:9" x14ac:dyDescent="0.3">
      <c r="A1365">
        <v>1364</v>
      </c>
      <c r="B1365" t="s">
        <v>6022</v>
      </c>
      <c r="C1365" t="s">
        <v>4177</v>
      </c>
      <c r="D1365" t="s">
        <v>6299</v>
      </c>
      <c r="E1365" t="s">
        <v>6023</v>
      </c>
      <c r="F1365" t="s">
        <v>6024</v>
      </c>
      <c r="G1365" t="s">
        <v>1973</v>
      </c>
      <c r="H1365" t="s">
        <v>320</v>
      </c>
      <c r="I1365">
        <v>12020</v>
      </c>
    </row>
    <row r="1366" spans="1:9" x14ac:dyDescent="0.3">
      <c r="A1366">
        <v>1365</v>
      </c>
      <c r="B1366" t="s">
        <v>4920</v>
      </c>
      <c r="C1366" t="s">
        <v>1123</v>
      </c>
      <c r="D1366" t="s">
        <v>6299</v>
      </c>
      <c r="E1366" t="s">
        <v>6025</v>
      </c>
      <c r="F1366" t="s">
        <v>6026</v>
      </c>
      <c r="G1366" t="s">
        <v>1262</v>
      </c>
      <c r="H1366" t="s">
        <v>320</v>
      </c>
      <c r="I1366">
        <v>12804</v>
      </c>
    </row>
    <row r="1367" spans="1:9" x14ac:dyDescent="0.3">
      <c r="A1367">
        <v>1366</v>
      </c>
      <c r="B1367" t="s">
        <v>3722</v>
      </c>
      <c r="C1367" t="s">
        <v>3620</v>
      </c>
      <c r="D1367" t="s">
        <v>6299</v>
      </c>
      <c r="E1367" t="s">
        <v>6027</v>
      </c>
      <c r="F1367" t="s">
        <v>6028</v>
      </c>
      <c r="G1367" t="s">
        <v>1064</v>
      </c>
      <c r="H1367" t="s">
        <v>314</v>
      </c>
      <c r="I1367">
        <v>95008</v>
      </c>
    </row>
    <row r="1368" spans="1:9" x14ac:dyDescent="0.3">
      <c r="A1368">
        <v>1367</v>
      </c>
      <c r="B1368" t="s">
        <v>6029</v>
      </c>
      <c r="C1368" t="s">
        <v>4003</v>
      </c>
      <c r="D1368" t="s">
        <v>6299</v>
      </c>
      <c r="E1368" t="s">
        <v>6030</v>
      </c>
      <c r="F1368" t="s">
        <v>6031</v>
      </c>
      <c r="G1368" t="s">
        <v>1064</v>
      </c>
      <c r="H1368" t="s">
        <v>314</v>
      </c>
      <c r="I1368">
        <v>95008</v>
      </c>
    </row>
    <row r="1369" spans="1:9" x14ac:dyDescent="0.3">
      <c r="A1369">
        <v>1368</v>
      </c>
      <c r="B1369" t="s">
        <v>6032</v>
      </c>
      <c r="C1369" t="s">
        <v>6033</v>
      </c>
      <c r="D1369" t="s">
        <v>6299</v>
      </c>
      <c r="E1369" t="s">
        <v>6034</v>
      </c>
      <c r="F1369" t="s">
        <v>6035</v>
      </c>
      <c r="G1369" t="s">
        <v>1973</v>
      </c>
      <c r="H1369" t="s">
        <v>320</v>
      </c>
      <c r="I1369">
        <v>12020</v>
      </c>
    </row>
    <row r="1370" spans="1:9" x14ac:dyDescent="0.3">
      <c r="A1370">
        <v>1369</v>
      </c>
      <c r="B1370" t="s">
        <v>6036</v>
      </c>
      <c r="C1370" t="s">
        <v>2840</v>
      </c>
      <c r="D1370" t="s">
        <v>6299</v>
      </c>
      <c r="E1370" t="s">
        <v>6037</v>
      </c>
      <c r="F1370" t="s">
        <v>6038</v>
      </c>
      <c r="G1370" t="s">
        <v>2784</v>
      </c>
      <c r="H1370" t="s">
        <v>320</v>
      </c>
      <c r="I1370">
        <v>11967</v>
      </c>
    </row>
    <row r="1371" spans="1:9" x14ac:dyDescent="0.3">
      <c r="A1371">
        <v>1370</v>
      </c>
      <c r="B1371" t="s">
        <v>6039</v>
      </c>
      <c r="C1371" t="s">
        <v>2633</v>
      </c>
      <c r="D1371" t="s">
        <v>6040</v>
      </c>
      <c r="E1371" t="s">
        <v>6041</v>
      </c>
      <c r="F1371" t="s">
        <v>6042</v>
      </c>
      <c r="G1371" t="s">
        <v>1575</v>
      </c>
      <c r="H1371" t="s">
        <v>314</v>
      </c>
      <c r="I1371">
        <v>95127</v>
      </c>
    </row>
    <row r="1372" spans="1:9" x14ac:dyDescent="0.3">
      <c r="A1372">
        <v>1371</v>
      </c>
      <c r="B1372" t="s">
        <v>6043</v>
      </c>
      <c r="C1372" t="s">
        <v>2090</v>
      </c>
      <c r="D1372" t="s">
        <v>6299</v>
      </c>
      <c r="E1372" t="s">
        <v>6044</v>
      </c>
      <c r="F1372" t="s">
        <v>6045</v>
      </c>
      <c r="G1372" t="s">
        <v>3526</v>
      </c>
      <c r="H1372" t="s">
        <v>320</v>
      </c>
      <c r="I1372">
        <v>11040</v>
      </c>
    </row>
    <row r="1373" spans="1:9" x14ac:dyDescent="0.3">
      <c r="A1373">
        <v>1372</v>
      </c>
      <c r="B1373" t="s">
        <v>6046</v>
      </c>
      <c r="C1373" t="s">
        <v>4501</v>
      </c>
      <c r="D1373" t="s">
        <v>6299</v>
      </c>
      <c r="E1373" t="s">
        <v>6047</v>
      </c>
      <c r="F1373" t="s">
        <v>6048</v>
      </c>
      <c r="G1373" t="s">
        <v>1836</v>
      </c>
      <c r="H1373" t="s">
        <v>320</v>
      </c>
      <c r="I1373">
        <v>11420</v>
      </c>
    </row>
    <row r="1374" spans="1:9" x14ac:dyDescent="0.3">
      <c r="A1374">
        <v>1373</v>
      </c>
      <c r="B1374" t="s">
        <v>6049</v>
      </c>
      <c r="C1374" t="s">
        <v>1769</v>
      </c>
      <c r="D1374" t="s">
        <v>6299</v>
      </c>
      <c r="E1374" t="s">
        <v>6050</v>
      </c>
      <c r="F1374" t="s">
        <v>6051</v>
      </c>
      <c r="G1374" t="s">
        <v>3786</v>
      </c>
      <c r="H1374" t="s">
        <v>320</v>
      </c>
      <c r="I1374">
        <v>11704</v>
      </c>
    </row>
    <row r="1375" spans="1:9" x14ac:dyDescent="0.3">
      <c r="A1375">
        <v>1374</v>
      </c>
      <c r="B1375" t="s">
        <v>6052</v>
      </c>
      <c r="C1375" t="s">
        <v>1616</v>
      </c>
      <c r="D1375" t="s">
        <v>6299</v>
      </c>
      <c r="E1375" t="s">
        <v>6053</v>
      </c>
      <c r="F1375" t="s">
        <v>6054</v>
      </c>
      <c r="G1375" t="s">
        <v>1316</v>
      </c>
      <c r="H1375" t="s">
        <v>314</v>
      </c>
      <c r="I1375">
        <v>91740</v>
      </c>
    </row>
    <row r="1376" spans="1:9" x14ac:dyDescent="0.3">
      <c r="A1376">
        <v>1375</v>
      </c>
      <c r="B1376" t="s">
        <v>6055</v>
      </c>
      <c r="C1376" t="s">
        <v>2202</v>
      </c>
      <c r="D1376" t="s">
        <v>6299</v>
      </c>
      <c r="E1376" t="s">
        <v>6056</v>
      </c>
      <c r="F1376" t="s">
        <v>6057</v>
      </c>
      <c r="G1376" t="s">
        <v>1992</v>
      </c>
      <c r="H1376" t="s">
        <v>320</v>
      </c>
      <c r="I1376">
        <v>11432</v>
      </c>
    </row>
    <row r="1377" spans="1:9" x14ac:dyDescent="0.3">
      <c r="A1377">
        <v>1376</v>
      </c>
      <c r="B1377" t="s">
        <v>6058</v>
      </c>
      <c r="C1377" t="s">
        <v>1868</v>
      </c>
      <c r="D1377" t="s">
        <v>6299</v>
      </c>
      <c r="E1377" t="s">
        <v>6059</v>
      </c>
      <c r="F1377" t="s">
        <v>6060</v>
      </c>
      <c r="G1377" t="s">
        <v>1100</v>
      </c>
      <c r="H1377" t="s">
        <v>320</v>
      </c>
      <c r="I1377">
        <v>11050</v>
      </c>
    </row>
    <row r="1378" spans="1:9" x14ac:dyDescent="0.3">
      <c r="A1378">
        <v>1377</v>
      </c>
      <c r="B1378" t="s">
        <v>6061</v>
      </c>
      <c r="C1378" t="s">
        <v>4145</v>
      </c>
      <c r="D1378" t="s">
        <v>6062</v>
      </c>
      <c r="E1378" t="s">
        <v>6063</v>
      </c>
      <c r="F1378" t="s">
        <v>6064</v>
      </c>
      <c r="G1378" t="s">
        <v>2951</v>
      </c>
      <c r="H1378" t="s">
        <v>320</v>
      </c>
      <c r="I1378">
        <v>14606</v>
      </c>
    </row>
    <row r="1379" spans="1:9" x14ac:dyDescent="0.3">
      <c r="A1379">
        <v>1378</v>
      </c>
      <c r="B1379" t="s">
        <v>6065</v>
      </c>
      <c r="C1379" t="s">
        <v>2593</v>
      </c>
      <c r="D1379" t="s">
        <v>6066</v>
      </c>
      <c r="E1379" t="s">
        <v>6067</v>
      </c>
      <c r="F1379" t="s">
        <v>6068</v>
      </c>
      <c r="G1379" t="s">
        <v>1624</v>
      </c>
      <c r="H1379" t="s">
        <v>314</v>
      </c>
      <c r="I1379">
        <v>93706</v>
      </c>
    </row>
    <row r="1380" spans="1:9" x14ac:dyDescent="0.3">
      <c r="A1380">
        <v>1379</v>
      </c>
      <c r="B1380" t="s">
        <v>1940</v>
      </c>
      <c r="C1380" t="s">
        <v>3368</v>
      </c>
      <c r="D1380" t="s">
        <v>6299</v>
      </c>
      <c r="E1380" t="s">
        <v>6069</v>
      </c>
      <c r="F1380" t="s">
        <v>6070</v>
      </c>
      <c r="G1380" t="s">
        <v>1192</v>
      </c>
      <c r="H1380" t="s">
        <v>320</v>
      </c>
      <c r="I1380">
        <v>11104</v>
      </c>
    </row>
    <row r="1381" spans="1:9" x14ac:dyDescent="0.3">
      <c r="A1381">
        <v>1380</v>
      </c>
      <c r="B1381" t="s">
        <v>2448</v>
      </c>
      <c r="C1381" t="s">
        <v>5606</v>
      </c>
      <c r="D1381" t="s">
        <v>6299</v>
      </c>
      <c r="E1381" t="s">
        <v>6071</v>
      </c>
      <c r="F1381" t="s">
        <v>6072</v>
      </c>
      <c r="G1381" t="s">
        <v>1074</v>
      </c>
      <c r="H1381" t="s">
        <v>320</v>
      </c>
      <c r="I1381">
        <v>11553</v>
      </c>
    </row>
    <row r="1382" spans="1:9" x14ac:dyDescent="0.3">
      <c r="A1382">
        <v>1381</v>
      </c>
      <c r="B1382" t="s">
        <v>6073</v>
      </c>
      <c r="C1382" t="s">
        <v>6074</v>
      </c>
      <c r="D1382" t="s">
        <v>6299</v>
      </c>
      <c r="E1382" t="s">
        <v>6075</v>
      </c>
      <c r="F1382" t="s">
        <v>6076</v>
      </c>
      <c r="G1382" t="s">
        <v>1471</v>
      </c>
      <c r="H1382" t="s">
        <v>314</v>
      </c>
      <c r="I1382">
        <v>91010</v>
      </c>
    </row>
    <row r="1383" spans="1:9" x14ac:dyDescent="0.3">
      <c r="A1383">
        <v>1382</v>
      </c>
      <c r="B1383" t="s">
        <v>6077</v>
      </c>
      <c r="C1383" t="s">
        <v>4214</v>
      </c>
      <c r="D1383" t="s">
        <v>6299</v>
      </c>
      <c r="E1383" t="s">
        <v>6078</v>
      </c>
      <c r="F1383" t="s">
        <v>6079</v>
      </c>
      <c r="G1383" t="s">
        <v>2821</v>
      </c>
      <c r="H1383" t="s">
        <v>326</v>
      </c>
      <c r="I1383">
        <v>78552</v>
      </c>
    </row>
    <row r="1384" spans="1:9" x14ac:dyDescent="0.3">
      <c r="A1384">
        <v>1383</v>
      </c>
      <c r="B1384" t="s">
        <v>6080</v>
      </c>
      <c r="C1384" t="s">
        <v>1468</v>
      </c>
      <c r="D1384" t="s">
        <v>6081</v>
      </c>
      <c r="E1384" t="s">
        <v>6082</v>
      </c>
      <c r="F1384" t="s">
        <v>6083</v>
      </c>
      <c r="G1384" t="s">
        <v>2989</v>
      </c>
      <c r="H1384" t="s">
        <v>314</v>
      </c>
      <c r="I1384">
        <v>93306</v>
      </c>
    </row>
    <row r="1385" spans="1:9" x14ac:dyDescent="0.3">
      <c r="A1385">
        <v>1384</v>
      </c>
      <c r="B1385" t="s">
        <v>3330</v>
      </c>
      <c r="C1385" t="s">
        <v>6084</v>
      </c>
      <c r="D1385" t="s">
        <v>6299</v>
      </c>
      <c r="E1385" t="s">
        <v>6085</v>
      </c>
      <c r="F1385" t="s">
        <v>6086</v>
      </c>
      <c r="G1385" t="s">
        <v>1348</v>
      </c>
      <c r="H1385" t="s">
        <v>314</v>
      </c>
      <c r="I1385">
        <v>94070</v>
      </c>
    </row>
    <row r="1386" spans="1:9" x14ac:dyDescent="0.3">
      <c r="A1386">
        <v>1385</v>
      </c>
      <c r="B1386" t="s">
        <v>6087</v>
      </c>
      <c r="C1386" t="s">
        <v>3376</v>
      </c>
      <c r="D1386" t="s">
        <v>6299</v>
      </c>
      <c r="E1386" t="s">
        <v>6088</v>
      </c>
      <c r="F1386" t="s">
        <v>6089</v>
      </c>
      <c r="G1386" t="s">
        <v>1147</v>
      </c>
      <c r="H1386" t="s">
        <v>320</v>
      </c>
      <c r="I1386">
        <v>14424</v>
      </c>
    </row>
    <row r="1387" spans="1:9" x14ac:dyDescent="0.3">
      <c r="A1387">
        <v>1386</v>
      </c>
      <c r="B1387" t="s">
        <v>1292</v>
      </c>
      <c r="C1387" t="s">
        <v>1679</v>
      </c>
      <c r="D1387" t="s">
        <v>6090</v>
      </c>
      <c r="E1387" t="s">
        <v>6091</v>
      </c>
      <c r="F1387" t="s">
        <v>6092</v>
      </c>
      <c r="G1387" t="s">
        <v>1491</v>
      </c>
      <c r="H1387" t="s">
        <v>314</v>
      </c>
      <c r="I1387">
        <v>92111</v>
      </c>
    </row>
    <row r="1388" spans="1:9" x14ac:dyDescent="0.3">
      <c r="A1388">
        <v>1387</v>
      </c>
      <c r="B1388" t="s">
        <v>6093</v>
      </c>
      <c r="C1388" t="s">
        <v>6094</v>
      </c>
      <c r="D1388" t="s">
        <v>6299</v>
      </c>
      <c r="E1388" t="s">
        <v>6095</v>
      </c>
      <c r="F1388" t="s">
        <v>6096</v>
      </c>
      <c r="G1388" t="s">
        <v>1147</v>
      </c>
      <c r="H1388" t="s">
        <v>320</v>
      </c>
      <c r="I1388">
        <v>14424</v>
      </c>
    </row>
    <row r="1389" spans="1:9" x14ac:dyDescent="0.3">
      <c r="A1389">
        <v>1388</v>
      </c>
      <c r="B1389" t="s">
        <v>5670</v>
      </c>
      <c r="C1389" t="s">
        <v>1988</v>
      </c>
      <c r="D1389" t="s">
        <v>6299</v>
      </c>
      <c r="E1389" t="s">
        <v>6097</v>
      </c>
      <c r="F1389" t="s">
        <v>6098</v>
      </c>
      <c r="G1389" t="s">
        <v>2120</v>
      </c>
      <c r="H1389" t="s">
        <v>320</v>
      </c>
      <c r="I1389">
        <v>11554</v>
      </c>
    </row>
    <row r="1390" spans="1:9" x14ac:dyDescent="0.3">
      <c r="A1390">
        <v>1389</v>
      </c>
      <c r="B1390" t="s">
        <v>6099</v>
      </c>
      <c r="C1390" t="s">
        <v>3887</v>
      </c>
      <c r="D1390" t="s">
        <v>6299</v>
      </c>
      <c r="E1390" t="s">
        <v>6100</v>
      </c>
      <c r="F1390" t="s">
        <v>6101</v>
      </c>
      <c r="G1390" t="s">
        <v>1731</v>
      </c>
      <c r="H1390" t="s">
        <v>320</v>
      </c>
      <c r="I1390">
        <v>10573</v>
      </c>
    </row>
    <row r="1391" spans="1:9" x14ac:dyDescent="0.3">
      <c r="A1391">
        <v>1390</v>
      </c>
      <c r="B1391" t="s">
        <v>1097</v>
      </c>
      <c r="C1391" t="s">
        <v>2247</v>
      </c>
      <c r="D1391" t="s">
        <v>6299</v>
      </c>
      <c r="E1391" t="s">
        <v>6102</v>
      </c>
      <c r="F1391" t="s">
        <v>6103</v>
      </c>
      <c r="G1391" t="s">
        <v>1516</v>
      </c>
      <c r="H1391" t="s">
        <v>320</v>
      </c>
      <c r="I1391">
        <v>11361</v>
      </c>
    </row>
    <row r="1392" spans="1:9" x14ac:dyDescent="0.3">
      <c r="A1392">
        <v>1391</v>
      </c>
      <c r="B1392" t="s">
        <v>6104</v>
      </c>
      <c r="C1392" t="s">
        <v>2309</v>
      </c>
      <c r="D1392" t="s">
        <v>6299</v>
      </c>
      <c r="E1392" t="s">
        <v>6105</v>
      </c>
      <c r="F1392" t="s">
        <v>6106</v>
      </c>
      <c r="G1392" t="s">
        <v>1569</v>
      </c>
      <c r="H1392" t="s">
        <v>320</v>
      </c>
      <c r="I1392">
        <v>11001</v>
      </c>
    </row>
    <row r="1393" spans="1:9" x14ac:dyDescent="0.3">
      <c r="A1393">
        <v>1392</v>
      </c>
      <c r="B1393" t="s">
        <v>6107</v>
      </c>
      <c r="C1393" t="s">
        <v>6108</v>
      </c>
      <c r="D1393" t="s">
        <v>6299</v>
      </c>
      <c r="E1393" t="s">
        <v>6109</v>
      </c>
      <c r="F1393" t="s">
        <v>6110</v>
      </c>
      <c r="G1393" t="s">
        <v>1085</v>
      </c>
      <c r="H1393" t="s">
        <v>320</v>
      </c>
      <c r="I1393">
        <v>14450</v>
      </c>
    </row>
    <row r="1394" spans="1:9" x14ac:dyDescent="0.3">
      <c r="A1394">
        <v>1393</v>
      </c>
      <c r="B1394" t="s">
        <v>6111</v>
      </c>
      <c r="C1394" t="s">
        <v>2139</v>
      </c>
      <c r="D1394" t="s">
        <v>6299</v>
      </c>
      <c r="E1394" t="s">
        <v>6112</v>
      </c>
      <c r="F1394" t="s">
        <v>6113</v>
      </c>
      <c r="G1394" t="s">
        <v>1992</v>
      </c>
      <c r="H1394" t="s">
        <v>320</v>
      </c>
      <c r="I1394">
        <v>11432</v>
      </c>
    </row>
    <row r="1395" spans="1:9" x14ac:dyDescent="0.3">
      <c r="A1395">
        <v>1394</v>
      </c>
      <c r="B1395" t="s">
        <v>3982</v>
      </c>
      <c r="C1395" t="s">
        <v>2545</v>
      </c>
      <c r="D1395" t="s">
        <v>6299</v>
      </c>
      <c r="E1395" t="s">
        <v>6114</v>
      </c>
      <c r="F1395" t="s">
        <v>6115</v>
      </c>
      <c r="G1395" t="s">
        <v>1362</v>
      </c>
      <c r="H1395" t="s">
        <v>320</v>
      </c>
      <c r="I1395">
        <v>11701</v>
      </c>
    </row>
    <row r="1396" spans="1:9" x14ac:dyDescent="0.3">
      <c r="A1396">
        <v>1395</v>
      </c>
      <c r="B1396" t="s">
        <v>6116</v>
      </c>
      <c r="C1396" t="s">
        <v>6117</v>
      </c>
      <c r="D1396" t="s">
        <v>6299</v>
      </c>
      <c r="E1396" t="s">
        <v>6118</v>
      </c>
      <c r="F1396" t="s">
        <v>6119</v>
      </c>
      <c r="G1396" t="s">
        <v>1555</v>
      </c>
      <c r="H1396" t="s">
        <v>320</v>
      </c>
      <c r="I1396">
        <v>11421</v>
      </c>
    </row>
    <row r="1397" spans="1:9" x14ac:dyDescent="0.3">
      <c r="A1397">
        <v>1396</v>
      </c>
      <c r="B1397" t="s">
        <v>6120</v>
      </c>
      <c r="C1397" t="s">
        <v>3684</v>
      </c>
      <c r="D1397" t="s">
        <v>6121</v>
      </c>
      <c r="E1397" t="s">
        <v>6122</v>
      </c>
      <c r="F1397" t="s">
        <v>6123</v>
      </c>
      <c r="G1397" t="s">
        <v>1581</v>
      </c>
      <c r="H1397" t="s">
        <v>314</v>
      </c>
      <c r="I1397">
        <v>92806</v>
      </c>
    </row>
    <row r="1398" spans="1:9" x14ac:dyDescent="0.3">
      <c r="A1398">
        <v>1397</v>
      </c>
      <c r="B1398" t="s">
        <v>6124</v>
      </c>
      <c r="C1398" t="s">
        <v>5660</v>
      </c>
      <c r="D1398" t="s">
        <v>6299</v>
      </c>
      <c r="E1398" t="s">
        <v>6125</v>
      </c>
      <c r="F1398" t="s">
        <v>6126</v>
      </c>
      <c r="G1398" t="s">
        <v>1900</v>
      </c>
      <c r="H1398" t="s">
        <v>320</v>
      </c>
      <c r="I1398">
        <v>14580</v>
      </c>
    </row>
    <row r="1399" spans="1:9" x14ac:dyDescent="0.3">
      <c r="A1399">
        <v>1398</v>
      </c>
      <c r="B1399" t="s">
        <v>6127</v>
      </c>
      <c r="C1399" t="s">
        <v>3729</v>
      </c>
      <c r="D1399" t="s">
        <v>6299</v>
      </c>
      <c r="E1399" t="s">
        <v>6128</v>
      </c>
      <c r="F1399" t="s">
        <v>6129</v>
      </c>
      <c r="G1399" t="s">
        <v>2280</v>
      </c>
      <c r="H1399" t="s">
        <v>320</v>
      </c>
      <c r="I1399">
        <v>12533</v>
      </c>
    </row>
    <row r="1400" spans="1:9" x14ac:dyDescent="0.3">
      <c r="A1400">
        <v>1399</v>
      </c>
      <c r="B1400" t="s">
        <v>6130</v>
      </c>
      <c r="C1400" t="s">
        <v>2305</v>
      </c>
      <c r="D1400" t="s">
        <v>6299</v>
      </c>
      <c r="E1400" t="s">
        <v>6131</v>
      </c>
      <c r="F1400" t="s">
        <v>6132</v>
      </c>
      <c r="G1400" t="s">
        <v>1147</v>
      </c>
      <c r="H1400" t="s">
        <v>320</v>
      </c>
      <c r="I1400">
        <v>14424</v>
      </c>
    </row>
    <row r="1401" spans="1:9" x14ac:dyDescent="0.3">
      <c r="A1401">
        <v>1400</v>
      </c>
      <c r="B1401" t="s">
        <v>6133</v>
      </c>
      <c r="C1401" t="s">
        <v>3911</v>
      </c>
      <c r="D1401" t="s">
        <v>6299</v>
      </c>
      <c r="E1401" t="s">
        <v>6134</v>
      </c>
      <c r="F1401" t="s">
        <v>6135</v>
      </c>
      <c r="G1401" t="s">
        <v>1555</v>
      </c>
      <c r="H1401" t="s">
        <v>320</v>
      </c>
      <c r="I1401">
        <v>11421</v>
      </c>
    </row>
    <row r="1402" spans="1:9" x14ac:dyDescent="0.3">
      <c r="A1402">
        <v>1401</v>
      </c>
      <c r="B1402" t="s">
        <v>6136</v>
      </c>
      <c r="C1402" t="s">
        <v>6137</v>
      </c>
      <c r="D1402" t="s">
        <v>6299</v>
      </c>
      <c r="E1402" t="s">
        <v>6138</v>
      </c>
      <c r="F1402" t="s">
        <v>6139</v>
      </c>
      <c r="G1402" t="s">
        <v>1311</v>
      </c>
      <c r="H1402" t="s">
        <v>320</v>
      </c>
      <c r="I1402">
        <v>11369</v>
      </c>
    </row>
    <row r="1403" spans="1:9" x14ac:dyDescent="0.3">
      <c r="A1403">
        <v>1402</v>
      </c>
      <c r="B1403" t="s">
        <v>6140</v>
      </c>
      <c r="C1403" t="s">
        <v>3114</v>
      </c>
      <c r="D1403" t="s">
        <v>6299</v>
      </c>
      <c r="E1403" t="s">
        <v>6141</v>
      </c>
      <c r="F1403" t="s">
        <v>6142</v>
      </c>
      <c r="G1403" t="s">
        <v>2765</v>
      </c>
      <c r="H1403" t="s">
        <v>320</v>
      </c>
      <c r="I1403">
        <v>14043</v>
      </c>
    </row>
    <row r="1404" spans="1:9" x14ac:dyDescent="0.3">
      <c r="A1404">
        <v>1403</v>
      </c>
      <c r="B1404" t="s">
        <v>4450</v>
      </c>
      <c r="C1404" t="s">
        <v>3184</v>
      </c>
      <c r="D1404" t="s">
        <v>6143</v>
      </c>
      <c r="E1404" t="s">
        <v>6144</v>
      </c>
      <c r="F1404" t="s">
        <v>6145</v>
      </c>
      <c r="G1404" t="s">
        <v>1502</v>
      </c>
      <c r="H1404" t="s">
        <v>320</v>
      </c>
      <c r="I1404">
        <v>12180</v>
      </c>
    </row>
    <row r="1405" spans="1:9" x14ac:dyDescent="0.3">
      <c r="A1405">
        <v>1404</v>
      </c>
      <c r="B1405" t="s">
        <v>6146</v>
      </c>
      <c r="C1405" t="s">
        <v>6147</v>
      </c>
      <c r="D1405" t="s">
        <v>6299</v>
      </c>
      <c r="E1405" t="s">
        <v>6148</v>
      </c>
      <c r="F1405" t="s">
        <v>6149</v>
      </c>
      <c r="G1405" t="s">
        <v>1339</v>
      </c>
      <c r="H1405" t="s">
        <v>320</v>
      </c>
      <c r="I1405">
        <v>11722</v>
      </c>
    </row>
    <row r="1406" spans="1:9" x14ac:dyDescent="0.3">
      <c r="A1406">
        <v>1405</v>
      </c>
      <c r="B1406" t="s">
        <v>6150</v>
      </c>
      <c r="C1406" t="s">
        <v>4406</v>
      </c>
      <c r="D1406" t="s">
        <v>6299</v>
      </c>
      <c r="E1406" t="s">
        <v>6151</v>
      </c>
      <c r="F1406" t="s">
        <v>6152</v>
      </c>
      <c r="G1406" t="s">
        <v>2539</v>
      </c>
      <c r="H1406" t="s">
        <v>320</v>
      </c>
      <c r="I1406">
        <v>10550</v>
      </c>
    </row>
    <row r="1407" spans="1:9" x14ac:dyDescent="0.3">
      <c r="A1407">
        <v>1406</v>
      </c>
      <c r="B1407" t="s">
        <v>6153</v>
      </c>
      <c r="C1407" t="s">
        <v>3046</v>
      </c>
      <c r="D1407" t="s">
        <v>6299</v>
      </c>
      <c r="E1407" t="s">
        <v>6154</v>
      </c>
      <c r="F1407" t="s">
        <v>6155</v>
      </c>
      <c r="G1407" t="s">
        <v>3526</v>
      </c>
      <c r="H1407" t="s">
        <v>320</v>
      </c>
      <c r="I1407">
        <v>11040</v>
      </c>
    </row>
    <row r="1408" spans="1:9" x14ac:dyDescent="0.3">
      <c r="A1408">
        <v>1407</v>
      </c>
      <c r="B1408" t="s">
        <v>6156</v>
      </c>
      <c r="C1408" t="s">
        <v>3808</v>
      </c>
      <c r="D1408" t="s">
        <v>6299</v>
      </c>
      <c r="E1408" t="s">
        <v>6157</v>
      </c>
      <c r="F1408" t="s">
        <v>6158</v>
      </c>
      <c r="G1408" t="s">
        <v>2345</v>
      </c>
      <c r="H1408" t="s">
        <v>320</v>
      </c>
      <c r="I1408">
        <v>11720</v>
      </c>
    </row>
    <row r="1409" spans="1:9" x14ac:dyDescent="0.3">
      <c r="A1409">
        <v>1408</v>
      </c>
      <c r="B1409" t="s">
        <v>6159</v>
      </c>
      <c r="C1409" t="s">
        <v>3313</v>
      </c>
      <c r="D1409" t="s">
        <v>6299</v>
      </c>
      <c r="E1409" t="s">
        <v>6160</v>
      </c>
      <c r="F1409" t="s">
        <v>6161</v>
      </c>
      <c r="G1409" t="s">
        <v>1731</v>
      </c>
      <c r="H1409" t="s">
        <v>320</v>
      </c>
      <c r="I1409">
        <v>10573</v>
      </c>
    </row>
    <row r="1410" spans="1:9" x14ac:dyDescent="0.3">
      <c r="A1410">
        <v>1409</v>
      </c>
      <c r="B1410" t="s">
        <v>4052</v>
      </c>
      <c r="C1410" t="s">
        <v>2731</v>
      </c>
      <c r="D1410" t="s">
        <v>6162</v>
      </c>
      <c r="E1410" t="s">
        <v>6163</v>
      </c>
      <c r="F1410" t="s">
        <v>6164</v>
      </c>
      <c r="G1410" t="s">
        <v>1091</v>
      </c>
      <c r="H1410" t="s">
        <v>320</v>
      </c>
      <c r="I1410">
        <v>14215</v>
      </c>
    </row>
    <row r="1411" spans="1:9" x14ac:dyDescent="0.3">
      <c r="A1411">
        <v>1410</v>
      </c>
      <c r="B1411" t="s">
        <v>6165</v>
      </c>
      <c r="C1411" t="s">
        <v>5929</v>
      </c>
      <c r="D1411" t="s">
        <v>6166</v>
      </c>
      <c r="E1411" t="s">
        <v>6167</v>
      </c>
      <c r="F1411" t="s">
        <v>6168</v>
      </c>
      <c r="G1411" t="s">
        <v>2922</v>
      </c>
      <c r="H1411" t="s">
        <v>320</v>
      </c>
      <c r="I1411">
        <v>10701</v>
      </c>
    </row>
    <row r="1412" spans="1:9" x14ac:dyDescent="0.3">
      <c r="A1412">
        <v>1411</v>
      </c>
      <c r="B1412" t="s">
        <v>6169</v>
      </c>
      <c r="C1412" t="s">
        <v>4715</v>
      </c>
      <c r="D1412" t="s">
        <v>6299</v>
      </c>
      <c r="E1412" t="s">
        <v>6170</v>
      </c>
      <c r="F1412" t="s">
        <v>6171</v>
      </c>
      <c r="G1412" t="s">
        <v>3037</v>
      </c>
      <c r="H1412" t="s">
        <v>320</v>
      </c>
      <c r="I1412">
        <v>11520</v>
      </c>
    </row>
    <row r="1413" spans="1:9" x14ac:dyDescent="0.3">
      <c r="A1413">
        <v>1412</v>
      </c>
      <c r="B1413" t="s">
        <v>6172</v>
      </c>
      <c r="C1413" t="s">
        <v>1355</v>
      </c>
      <c r="D1413" t="s">
        <v>6299</v>
      </c>
      <c r="E1413" t="s">
        <v>6173</v>
      </c>
      <c r="F1413" t="s">
        <v>6174</v>
      </c>
      <c r="G1413" t="s">
        <v>1955</v>
      </c>
      <c r="H1413" t="s">
        <v>320</v>
      </c>
      <c r="I1413">
        <v>11374</v>
      </c>
    </row>
    <row r="1414" spans="1:9" x14ac:dyDescent="0.3">
      <c r="A1414">
        <v>1413</v>
      </c>
      <c r="B1414" t="s">
        <v>4203</v>
      </c>
      <c r="C1414" t="s">
        <v>1980</v>
      </c>
      <c r="D1414" t="s">
        <v>6299</v>
      </c>
      <c r="E1414" t="s">
        <v>6175</v>
      </c>
      <c r="F1414" t="s">
        <v>6176</v>
      </c>
      <c r="G1414" t="s">
        <v>1964</v>
      </c>
      <c r="H1414" t="s">
        <v>320</v>
      </c>
      <c r="I1414">
        <v>12553</v>
      </c>
    </row>
    <row r="1415" spans="1:9" x14ac:dyDescent="0.3">
      <c r="A1415">
        <v>1414</v>
      </c>
      <c r="B1415" t="s">
        <v>6177</v>
      </c>
      <c r="C1415" t="s">
        <v>6178</v>
      </c>
      <c r="D1415" t="s">
        <v>6299</v>
      </c>
      <c r="E1415" t="s">
        <v>6179</v>
      </c>
      <c r="F1415" t="s">
        <v>6180</v>
      </c>
      <c r="G1415" t="s">
        <v>1262</v>
      </c>
      <c r="H1415" t="s">
        <v>320</v>
      </c>
      <c r="I1415">
        <v>12804</v>
      </c>
    </row>
    <row r="1416" spans="1:9" x14ac:dyDescent="0.3">
      <c r="A1416">
        <v>1415</v>
      </c>
      <c r="B1416" t="s">
        <v>6181</v>
      </c>
      <c r="C1416" t="s">
        <v>4663</v>
      </c>
      <c r="D1416" t="s">
        <v>6299</v>
      </c>
      <c r="E1416" t="s">
        <v>6182</v>
      </c>
      <c r="F1416" t="s">
        <v>6183</v>
      </c>
      <c r="G1416" t="s">
        <v>313</v>
      </c>
      <c r="H1416" t="s">
        <v>314</v>
      </c>
      <c r="I1416">
        <v>95060</v>
      </c>
    </row>
    <row r="1417" spans="1:9" x14ac:dyDescent="0.3">
      <c r="A1417">
        <v>1416</v>
      </c>
      <c r="B1417" t="s">
        <v>4037</v>
      </c>
      <c r="C1417" t="s">
        <v>1388</v>
      </c>
      <c r="D1417" t="s">
        <v>6299</v>
      </c>
      <c r="E1417" t="s">
        <v>6184</v>
      </c>
      <c r="F1417" t="s">
        <v>6185</v>
      </c>
      <c r="G1417" t="s">
        <v>1246</v>
      </c>
      <c r="H1417" t="s">
        <v>320</v>
      </c>
      <c r="I1417">
        <v>11102</v>
      </c>
    </row>
    <row r="1418" spans="1:9" x14ac:dyDescent="0.3">
      <c r="A1418">
        <v>1417</v>
      </c>
      <c r="B1418" t="s">
        <v>6186</v>
      </c>
      <c r="C1418" t="s">
        <v>3320</v>
      </c>
      <c r="D1418" t="s">
        <v>6299</v>
      </c>
      <c r="E1418" t="s">
        <v>6187</v>
      </c>
      <c r="F1418" t="s">
        <v>6188</v>
      </c>
      <c r="G1418" t="s">
        <v>1126</v>
      </c>
      <c r="H1418" t="s">
        <v>326</v>
      </c>
      <c r="I1418">
        <v>75126</v>
      </c>
    </row>
    <row r="1419" spans="1:9" x14ac:dyDescent="0.3">
      <c r="A1419">
        <v>1418</v>
      </c>
      <c r="B1419" t="s">
        <v>6189</v>
      </c>
      <c r="C1419" t="s">
        <v>5306</v>
      </c>
      <c r="D1419" t="s">
        <v>6190</v>
      </c>
      <c r="E1419" t="s">
        <v>6191</v>
      </c>
      <c r="F1419" t="s">
        <v>6192</v>
      </c>
      <c r="G1419" t="s">
        <v>1581</v>
      </c>
      <c r="H1419" t="s">
        <v>314</v>
      </c>
      <c r="I1419">
        <v>92806</v>
      </c>
    </row>
    <row r="1420" spans="1:9" x14ac:dyDescent="0.3">
      <c r="A1420">
        <v>1419</v>
      </c>
      <c r="B1420" t="s">
        <v>6165</v>
      </c>
      <c r="C1420" t="s">
        <v>2400</v>
      </c>
      <c r="D1420" t="s">
        <v>6299</v>
      </c>
      <c r="E1420" t="s">
        <v>6193</v>
      </c>
      <c r="F1420" t="s">
        <v>6194</v>
      </c>
      <c r="G1420" t="s">
        <v>2215</v>
      </c>
      <c r="H1420" t="s">
        <v>314</v>
      </c>
      <c r="I1420">
        <v>94566</v>
      </c>
    </row>
    <row r="1421" spans="1:9" x14ac:dyDescent="0.3">
      <c r="A1421">
        <v>1420</v>
      </c>
      <c r="B1421" t="s">
        <v>6195</v>
      </c>
      <c r="C1421" t="s">
        <v>1228</v>
      </c>
      <c r="D1421" t="s">
        <v>6299</v>
      </c>
      <c r="E1421" t="s">
        <v>6196</v>
      </c>
      <c r="F1421" t="s">
        <v>6197</v>
      </c>
      <c r="G1421" t="s">
        <v>2539</v>
      </c>
      <c r="H1421" t="s">
        <v>320</v>
      </c>
      <c r="I1421">
        <v>10550</v>
      </c>
    </row>
    <row r="1422" spans="1:9" x14ac:dyDescent="0.3">
      <c r="A1422">
        <v>1421</v>
      </c>
      <c r="B1422" t="s">
        <v>6198</v>
      </c>
      <c r="C1422" t="s">
        <v>4207</v>
      </c>
      <c r="D1422" t="s">
        <v>6299</v>
      </c>
      <c r="E1422" t="s">
        <v>6199</v>
      </c>
      <c r="F1422" t="s">
        <v>6200</v>
      </c>
      <c r="G1422" t="s">
        <v>1131</v>
      </c>
      <c r="H1422" t="s">
        <v>320</v>
      </c>
      <c r="I1422">
        <v>12901</v>
      </c>
    </row>
    <row r="1423" spans="1:9" x14ac:dyDescent="0.3">
      <c r="A1423">
        <v>1422</v>
      </c>
      <c r="B1423" t="s">
        <v>6201</v>
      </c>
      <c r="C1423" t="s">
        <v>4145</v>
      </c>
      <c r="D1423" t="s">
        <v>6299</v>
      </c>
      <c r="E1423" t="s">
        <v>6202</v>
      </c>
      <c r="F1423" t="s">
        <v>6203</v>
      </c>
      <c r="G1423" t="s">
        <v>1745</v>
      </c>
      <c r="H1423" t="s">
        <v>320</v>
      </c>
      <c r="I1423">
        <v>11787</v>
      </c>
    </row>
    <row r="1424" spans="1:9" x14ac:dyDescent="0.3">
      <c r="A1424">
        <v>1423</v>
      </c>
      <c r="B1424" t="s">
        <v>6204</v>
      </c>
      <c r="C1424" t="s">
        <v>6205</v>
      </c>
      <c r="D1424" t="s">
        <v>6206</v>
      </c>
      <c r="E1424" t="s">
        <v>6207</v>
      </c>
      <c r="F1424" t="s">
        <v>6208</v>
      </c>
      <c r="G1424" t="s">
        <v>3188</v>
      </c>
      <c r="H1424" t="s">
        <v>326</v>
      </c>
      <c r="I1424">
        <v>76110</v>
      </c>
    </row>
    <row r="1425" spans="1:9" x14ac:dyDescent="0.3">
      <c r="A1425">
        <v>1424</v>
      </c>
      <c r="B1425" t="s">
        <v>6209</v>
      </c>
      <c r="C1425" t="s">
        <v>2597</v>
      </c>
      <c r="D1425" t="s">
        <v>6299</v>
      </c>
      <c r="E1425" t="s">
        <v>6210</v>
      </c>
      <c r="F1425" t="s">
        <v>6211</v>
      </c>
      <c r="G1425" t="s">
        <v>1110</v>
      </c>
      <c r="H1425" t="s">
        <v>320</v>
      </c>
      <c r="I1425">
        <v>10952</v>
      </c>
    </row>
    <row r="1426" spans="1:9" x14ac:dyDescent="0.3">
      <c r="A1426">
        <v>1425</v>
      </c>
      <c r="B1426" t="s">
        <v>2297</v>
      </c>
      <c r="C1426" t="s">
        <v>2439</v>
      </c>
      <c r="D1426" t="s">
        <v>6299</v>
      </c>
      <c r="E1426" t="s">
        <v>6212</v>
      </c>
      <c r="F1426" t="s">
        <v>6213</v>
      </c>
      <c r="G1426" t="s">
        <v>2784</v>
      </c>
      <c r="H1426" t="s">
        <v>320</v>
      </c>
      <c r="I1426">
        <v>11967</v>
      </c>
    </row>
    <row r="1427" spans="1:9" x14ac:dyDescent="0.3">
      <c r="A1427">
        <v>1426</v>
      </c>
      <c r="B1427" t="s">
        <v>6214</v>
      </c>
      <c r="C1427" t="s">
        <v>2322</v>
      </c>
      <c r="D1427" t="s">
        <v>6215</v>
      </c>
      <c r="E1427" t="s">
        <v>6216</v>
      </c>
      <c r="F1427" t="s">
        <v>6217</v>
      </c>
      <c r="G1427" t="s">
        <v>1638</v>
      </c>
      <c r="H1427" t="s">
        <v>326</v>
      </c>
      <c r="I1427">
        <v>78418</v>
      </c>
    </row>
    <row r="1428" spans="1:9" x14ac:dyDescent="0.3">
      <c r="A1428">
        <v>1427</v>
      </c>
      <c r="B1428" t="s">
        <v>6218</v>
      </c>
      <c r="C1428" t="s">
        <v>1543</v>
      </c>
      <c r="D1428" t="s">
        <v>6299</v>
      </c>
      <c r="E1428" t="s">
        <v>6219</v>
      </c>
      <c r="F1428" t="s">
        <v>6220</v>
      </c>
      <c r="G1428" t="s">
        <v>1176</v>
      </c>
      <c r="H1428" t="s">
        <v>314</v>
      </c>
      <c r="I1428">
        <v>95301</v>
      </c>
    </row>
    <row r="1429" spans="1:9" x14ac:dyDescent="0.3">
      <c r="A1429">
        <v>1428</v>
      </c>
      <c r="B1429" t="s">
        <v>1787</v>
      </c>
      <c r="C1429" t="s">
        <v>1274</v>
      </c>
      <c r="D1429" t="s">
        <v>6299</v>
      </c>
      <c r="E1429" t="s">
        <v>6221</v>
      </c>
      <c r="F1429" t="s">
        <v>6222</v>
      </c>
      <c r="G1429" t="s">
        <v>313</v>
      </c>
      <c r="H1429" t="s">
        <v>314</v>
      </c>
      <c r="I1429">
        <v>95060</v>
      </c>
    </row>
    <row r="1430" spans="1:9" x14ac:dyDescent="0.3">
      <c r="A1430">
        <v>1429</v>
      </c>
      <c r="B1430" t="s">
        <v>1373</v>
      </c>
      <c r="C1430" t="s">
        <v>6223</v>
      </c>
      <c r="D1430" t="s">
        <v>6299</v>
      </c>
      <c r="E1430" t="s">
        <v>6224</v>
      </c>
      <c r="F1430" t="s">
        <v>6225</v>
      </c>
      <c r="G1430" t="s">
        <v>2610</v>
      </c>
      <c r="H1430" t="s">
        <v>314</v>
      </c>
      <c r="I1430">
        <v>91768</v>
      </c>
    </row>
    <row r="1431" spans="1:9" x14ac:dyDescent="0.3">
      <c r="A1431">
        <v>1430</v>
      </c>
      <c r="B1431" t="s">
        <v>6226</v>
      </c>
      <c r="C1431" t="s">
        <v>4109</v>
      </c>
      <c r="D1431" t="s">
        <v>6227</v>
      </c>
      <c r="E1431" t="s">
        <v>6228</v>
      </c>
      <c r="F1431" t="s">
        <v>6229</v>
      </c>
      <c r="G1431" t="s">
        <v>2989</v>
      </c>
      <c r="H1431" t="s">
        <v>314</v>
      </c>
      <c r="I1431">
        <v>93306</v>
      </c>
    </row>
    <row r="1432" spans="1:9" x14ac:dyDescent="0.3">
      <c r="A1432">
        <v>1431</v>
      </c>
      <c r="B1432" t="s">
        <v>2289</v>
      </c>
      <c r="C1432" t="s">
        <v>4921</v>
      </c>
      <c r="D1432" t="s">
        <v>6299</v>
      </c>
      <c r="E1432" t="s">
        <v>6230</v>
      </c>
      <c r="F1432" t="s">
        <v>6231</v>
      </c>
      <c r="G1432" t="s">
        <v>1311</v>
      </c>
      <c r="H1432" t="s">
        <v>320</v>
      </c>
      <c r="I1432">
        <v>11369</v>
      </c>
    </row>
    <row r="1433" spans="1:9" x14ac:dyDescent="0.3">
      <c r="A1433">
        <v>1432</v>
      </c>
      <c r="B1433" t="s">
        <v>6232</v>
      </c>
      <c r="C1433" t="s">
        <v>2428</v>
      </c>
      <c r="D1433" t="s">
        <v>6299</v>
      </c>
      <c r="E1433" t="s">
        <v>6233</v>
      </c>
      <c r="F1433" t="s">
        <v>6234</v>
      </c>
      <c r="G1433" t="s">
        <v>1166</v>
      </c>
      <c r="H1433" t="s">
        <v>320</v>
      </c>
      <c r="I1433">
        <v>11731</v>
      </c>
    </row>
    <row r="1434" spans="1:9" x14ac:dyDescent="0.3">
      <c r="A1434">
        <v>1433</v>
      </c>
      <c r="B1434" t="s">
        <v>6235</v>
      </c>
      <c r="C1434" t="s">
        <v>6117</v>
      </c>
      <c r="D1434" t="s">
        <v>6299</v>
      </c>
      <c r="E1434" t="s">
        <v>6236</v>
      </c>
      <c r="F1434" t="s">
        <v>6237</v>
      </c>
      <c r="G1434" t="s">
        <v>1142</v>
      </c>
      <c r="H1434" t="s">
        <v>320</v>
      </c>
      <c r="I1434">
        <v>10583</v>
      </c>
    </row>
    <row r="1435" spans="1:9" x14ac:dyDescent="0.3">
      <c r="A1435">
        <v>1434</v>
      </c>
      <c r="B1435" t="s">
        <v>6238</v>
      </c>
      <c r="C1435" t="s">
        <v>3082</v>
      </c>
      <c r="D1435" t="s">
        <v>6299</v>
      </c>
      <c r="E1435" t="s">
        <v>6239</v>
      </c>
      <c r="F1435" t="s">
        <v>6240</v>
      </c>
      <c r="G1435" t="s">
        <v>1236</v>
      </c>
      <c r="H1435" t="s">
        <v>320</v>
      </c>
      <c r="I1435">
        <v>13090</v>
      </c>
    </row>
    <row r="1436" spans="1:9" x14ac:dyDescent="0.3">
      <c r="A1436">
        <v>1435</v>
      </c>
      <c r="B1436" t="s">
        <v>6241</v>
      </c>
      <c r="C1436" t="s">
        <v>3129</v>
      </c>
      <c r="D1436" t="s">
        <v>6299</v>
      </c>
      <c r="E1436" t="s">
        <v>6242</v>
      </c>
      <c r="F1436" t="s">
        <v>6243</v>
      </c>
      <c r="G1436" t="s">
        <v>1142</v>
      </c>
      <c r="H1436" t="s">
        <v>320</v>
      </c>
      <c r="I1436">
        <v>10583</v>
      </c>
    </row>
    <row r="1437" spans="1:9" x14ac:dyDescent="0.3">
      <c r="A1437">
        <v>1436</v>
      </c>
      <c r="B1437" t="s">
        <v>6244</v>
      </c>
      <c r="C1437" t="s">
        <v>5343</v>
      </c>
      <c r="D1437" t="s">
        <v>6299</v>
      </c>
      <c r="E1437" t="s">
        <v>6245</v>
      </c>
      <c r="F1437" t="s">
        <v>6246</v>
      </c>
      <c r="G1437" t="s">
        <v>2257</v>
      </c>
      <c r="H1437" t="s">
        <v>320</v>
      </c>
      <c r="I1437">
        <v>11710</v>
      </c>
    </row>
    <row r="1438" spans="1:9" x14ac:dyDescent="0.3">
      <c r="A1438">
        <v>1437</v>
      </c>
      <c r="B1438" t="s">
        <v>6247</v>
      </c>
      <c r="C1438" t="s">
        <v>4781</v>
      </c>
      <c r="D1438" t="s">
        <v>6299</v>
      </c>
      <c r="E1438" t="s">
        <v>6248</v>
      </c>
      <c r="F1438" t="s">
        <v>6249</v>
      </c>
      <c r="G1438" t="s">
        <v>1343</v>
      </c>
      <c r="H1438" t="s">
        <v>320</v>
      </c>
      <c r="I1438">
        <v>11570</v>
      </c>
    </row>
    <row r="1439" spans="1:9" x14ac:dyDescent="0.3">
      <c r="A1439">
        <v>1438</v>
      </c>
      <c r="B1439" t="s">
        <v>1902</v>
      </c>
      <c r="C1439" t="s">
        <v>3841</v>
      </c>
      <c r="D1439" t="s">
        <v>6250</v>
      </c>
      <c r="E1439" t="s">
        <v>6251</v>
      </c>
      <c r="F1439" t="s">
        <v>6252</v>
      </c>
      <c r="G1439" t="s">
        <v>1575</v>
      </c>
      <c r="H1439" t="s">
        <v>314</v>
      </c>
      <c r="I1439">
        <v>95127</v>
      </c>
    </row>
    <row r="1440" spans="1:9" x14ac:dyDescent="0.3">
      <c r="A1440">
        <v>1439</v>
      </c>
      <c r="B1440" t="s">
        <v>6253</v>
      </c>
      <c r="C1440" t="s">
        <v>1158</v>
      </c>
      <c r="D1440" t="s">
        <v>6299</v>
      </c>
      <c r="E1440" t="s">
        <v>6254</v>
      </c>
      <c r="F1440" t="s">
        <v>6255</v>
      </c>
      <c r="G1440" t="s">
        <v>2871</v>
      </c>
      <c r="H1440" t="s">
        <v>320</v>
      </c>
      <c r="I1440">
        <v>10801</v>
      </c>
    </row>
    <row r="1441" spans="1:9" x14ac:dyDescent="0.3">
      <c r="A1441">
        <v>1440</v>
      </c>
      <c r="B1441" t="s">
        <v>6256</v>
      </c>
      <c r="C1441" t="s">
        <v>2549</v>
      </c>
      <c r="D1441" t="s">
        <v>6299</v>
      </c>
      <c r="E1441" t="s">
        <v>6257</v>
      </c>
      <c r="F1441" t="s">
        <v>6258</v>
      </c>
      <c r="G1441" t="s">
        <v>5100</v>
      </c>
      <c r="H1441" t="s">
        <v>320</v>
      </c>
      <c r="I1441">
        <v>11364</v>
      </c>
    </row>
    <row r="1442" spans="1:9" x14ac:dyDescent="0.3">
      <c r="A1442">
        <v>1441</v>
      </c>
      <c r="B1442" t="s">
        <v>1202</v>
      </c>
      <c r="C1442" t="s">
        <v>6259</v>
      </c>
      <c r="D1442" t="s">
        <v>6299</v>
      </c>
      <c r="E1442" t="s">
        <v>6260</v>
      </c>
      <c r="F1442" t="s">
        <v>6261</v>
      </c>
      <c r="G1442" t="s">
        <v>1736</v>
      </c>
      <c r="H1442" t="s">
        <v>320</v>
      </c>
      <c r="I1442">
        <v>10301</v>
      </c>
    </row>
    <row r="1443" spans="1:9" x14ac:dyDescent="0.3">
      <c r="A1443">
        <v>1442</v>
      </c>
      <c r="B1443" t="s">
        <v>6262</v>
      </c>
      <c r="C1443" t="s">
        <v>5849</v>
      </c>
      <c r="D1443" t="s">
        <v>6299</v>
      </c>
      <c r="E1443" t="s">
        <v>6263</v>
      </c>
      <c r="F1443" t="s">
        <v>6264</v>
      </c>
      <c r="G1443" t="s">
        <v>1997</v>
      </c>
      <c r="H1443" t="s">
        <v>320</v>
      </c>
      <c r="I1443">
        <v>11201</v>
      </c>
    </row>
    <row r="1444" spans="1:9" x14ac:dyDescent="0.3">
      <c r="A1444">
        <v>1443</v>
      </c>
      <c r="B1444" t="s">
        <v>4374</v>
      </c>
      <c r="C1444" t="s">
        <v>4191</v>
      </c>
      <c r="D1444" t="s">
        <v>6299</v>
      </c>
      <c r="E1444" t="s">
        <v>6265</v>
      </c>
      <c r="F1444" t="s">
        <v>6266</v>
      </c>
      <c r="G1444" t="s">
        <v>1339</v>
      </c>
      <c r="H1444" t="s">
        <v>320</v>
      </c>
      <c r="I1444">
        <v>11722</v>
      </c>
    </row>
    <row r="1445" spans="1:9" x14ac:dyDescent="0.3">
      <c r="A1445">
        <v>1444</v>
      </c>
      <c r="B1445" t="s">
        <v>4819</v>
      </c>
      <c r="C1445" t="s">
        <v>2090</v>
      </c>
      <c r="D1445" t="s">
        <v>6299</v>
      </c>
      <c r="E1445" t="s">
        <v>6267</v>
      </c>
      <c r="F1445" t="s">
        <v>6268</v>
      </c>
      <c r="G1445" t="s">
        <v>1147</v>
      </c>
      <c r="H1445" t="s">
        <v>320</v>
      </c>
      <c r="I1445">
        <v>14424</v>
      </c>
    </row>
    <row r="1446" spans="1:9" x14ac:dyDescent="0.3">
      <c r="A1446">
        <v>1445</v>
      </c>
      <c r="B1446" t="s">
        <v>6269</v>
      </c>
      <c r="C1446" t="s">
        <v>3295</v>
      </c>
      <c r="D1446" t="s">
        <v>6299</v>
      </c>
      <c r="E1446" t="s">
        <v>6270</v>
      </c>
      <c r="F1446" t="s">
        <v>6271</v>
      </c>
      <c r="G1446" t="s">
        <v>1291</v>
      </c>
      <c r="H1446" t="s">
        <v>314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B55E-2A19-4D32-98F0-B01AE6054BFA}">
  <dimension ref="A1:K1616"/>
  <sheetViews>
    <sheetView tabSelected="1" topLeftCell="A1598" workbookViewId="0">
      <selection activeCell="J1615" sqref="J1615"/>
    </sheetView>
  </sheetViews>
  <sheetFormatPr defaultRowHeight="14.4" x14ac:dyDescent="0.3"/>
  <cols>
    <col min="1" max="1" width="10.109375" bestFit="1" customWidth="1"/>
    <col min="2" max="3" width="13.5546875" bestFit="1" customWidth="1"/>
    <col min="4" max="4" width="12.21875" bestFit="1" customWidth="1"/>
    <col min="5" max="5" width="14.88671875" bestFit="1" customWidth="1"/>
    <col min="6" max="6" width="27.21875" style="1" bestFit="1" customWidth="1"/>
    <col min="7" max="7" width="9.88671875" bestFit="1" customWidth="1"/>
    <col min="8" max="8" width="9.33203125" bestFit="1" customWidth="1"/>
  </cols>
  <sheetData>
    <row r="1" spans="1:8" x14ac:dyDescent="0.3">
      <c r="A1" t="s">
        <v>299</v>
      </c>
      <c r="B1" t="s">
        <v>375</v>
      </c>
      <c r="C1" t="s">
        <v>376</v>
      </c>
      <c r="D1" t="s">
        <v>377</v>
      </c>
      <c r="E1" t="s">
        <v>378</v>
      </c>
      <c r="F1" s="1" t="s">
        <v>379</v>
      </c>
      <c r="G1" t="s">
        <v>0</v>
      </c>
      <c r="H1" t="s">
        <v>327</v>
      </c>
    </row>
    <row r="2" spans="1:8" x14ac:dyDescent="0.3">
      <c r="A2">
        <v>1</v>
      </c>
      <c r="B2">
        <v>259</v>
      </c>
      <c r="C2" t="s">
        <v>6290</v>
      </c>
      <c r="D2" s="1">
        <v>42370</v>
      </c>
      <c r="E2" s="1">
        <v>42372</v>
      </c>
      <c r="F2" s="3" t="s">
        <v>380</v>
      </c>
      <c r="G2">
        <v>1</v>
      </c>
      <c r="H2">
        <v>2</v>
      </c>
    </row>
    <row r="3" spans="1:8" x14ac:dyDescent="0.3">
      <c r="A3">
        <v>2</v>
      </c>
      <c r="B3">
        <v>1212</v>
      </c>
      <c r="C3" t="s">
        <v>6290</v>
      </c>
      <c r="D3" s="1">
        <v>42370</v>
      </c>
      <c r="E3" s="1">
        <v>42373</v>
      </c>
      <c r="F3" s="3" t="s">
        <v>380</v>
      </c>
      <c r="G3">
        <v>2</v>
      </c>
      <c r="H3">
        <v>6</v>
      </c>
    </row>
    <row r="4" spans="1:8" x14ac:dyDescent="0.3">
      <c r="A4">
        <v>3</v>
      </c>
      <c r="B4">
        <v>523</v>
      </c>
      <c r="C4" t="s">
        <v>6290</v>
      </c>
      <c r="D4" s="1">
        <v>42371</v>
      </c>
      <c r="E4" s="1">
        <v>42374</v>
      </c>
      <c r="F4" s="3" t="s">
        <v>380</v>
      </c>
      <c r="G4">
        <v>2</v>
      </c>
      <c r="H4">
        <v>7</v>
      </c>
    </row>
    <row r="5" spans="1:8" x14ac:dyDescent="0.3">
      <c r="A5">
        <v>4</v>
      </c>
      <c r="B5">
        <v>175</v>
      </c>
      <c r="C5" t="s">
        <v>6290</v>
      </c>
      <c r="D5" s="1">
        <v>42372</v>
      </c>
      <c r="E5" s="1">
        <v>42373</v>
      </c>
      <c r="F5" s="3" t="s">
        <v>381</v>
      </c>
      <c r="G5">
        <v>1</v>
      </c>
      <c r="H5">
        <v>3</v>
      </c>
    </row>
    <row r="6" spans="1:8" x14ac:dyDescent="0.3">
      <c r="A6">
        <v>5</v>
      </c>
      <c r="B6">
        <v>1324</v>
      </c>
      <c r="C6" t="s">
        <v>6290</v>
      </c>
      <c r="D6" s="1">
        <v>42372</v>
      </c>
      <c r="E6" s="1">
        <v>42375</v>
      </c>
      <c r="F6" s="3" t="s">
        <v>382</v>
      </c>
      <c r="G6">
        <v>2</v>
      </c>
      <c r="H6">
        <v>6</v>
      </c>
    </row>
    <row r="7" spans="1:8" x14ac:dyDescent="0.3">
      <c r="A7">
        <v>6</v>
      </c>
      <c r="B7">
        <v>94</v>
      </c>
      <c r="C7" t="s">
        <v>6290</v>
      </c>
      <c r="D7" s="1">
        <v>42373</v>
      </c>
      <c r="E7" s="1">
        <v>42376</v>
      </c>
      <c r="F7" s="3" t="s">
        <v>381</v>
      </c>
      <c r="G7">
        <v>2</v>
      </c>
      <c r="H7">
        <v>6</v>
      </c>
    </row>
    <row r="8" spans="1:8" x14ac:dyDescent="0.3">
      <c r="A8">
        <v>7</v>
      </c>
      <c r="B8">
        <v>324</v>
      </c>
      <c r="C8" t="s">
        <v>6290</v>
      </c>
      <c r="D8" s="1">
        <v>42373</v>
      </c>
      <c r="E8" s="1">
        <v>42376</v>
      </c>
      <c r="F8" s="3" t="s">
        <v>381</v>
      </c>
      <c r="G8">
        <v>2</v>
      </c>
      <c r="H8">
        <v>6</v>
      </c>
    </row>
    <row r="9" spans="1:8" x14ac:dyDescent="0.3">
      <c r="A9">
        <v>8</v>
      </c>
      <c r="B9">
        <v>1204</v>
      </c>
      <c r="C9" t="s">
        <v>6290</v>
      </c>
      <c r="D9" s="1">
        <v>42373</v>
      </c>
      <c r="E9" s="1">
        <v>42374</v>
      </c>
      <c r="F9" s="3" t="s">
        <v>381</v>
      </c>
      <c r="G9">
        <v>2</v>
      </c>
      <c r="H9">
        <v>7</v>
      </c>
    </row>
    <row r="10" spans="1:8" x14ac:dyDescent="0.3">
      <c r="A10">
        <v>9</v>
      </c>
      <c r="B10">
        <v>60</v>
      </c>
      <c r="C10" t="s">
        <v>6290</v>
      </c>
      <c r="D10" s="1">
        <v>42374</v>
      </c>
      <c r="E10" s="1">
        <v>42377</v>
      </c>
      <c r="F10" s="3" t="s">
        <v>383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 t="s">
        <v>6290</v>
      </c>
      <c r="D11" s="1">
        <v>42374</v>
      </c>
      <c r="E11" s="1">
        <v>42375</v>
      </c>
      <c r="F11" s="3" t="s">
        <v>382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 t="s">
        <v>6290</v>
      </c>
      <c r="D12" s="1">
        <v>42374</v>
      </c>
      <c r="E12" s="1">
        <v>42377</v>
      </c>
      <c r="F12" s="3" t="s">
        <v>384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 t="s">
        <v>6290</v>
      </c>
      <c r="D13" s="1">
        <v>42375</v>
      </c>
      <c r="E13" s="1">
        <v>42377</v>
      </c>
      <c r="F13" s="3" t="s">
        <v>385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 t="s">
        <v>6290</v>
      </c>
      <c r="D14" s="1">
        <v>42377</v>
      </c>
      <c r="E14" s="1">
        <v>42380</v>
      </c>
      <c r="F14" s="3" t="s">
        <v>386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 t="s">
        <v>6290</v>
      </c>
      <c r="D15" s="1">
        <v>42378</v>
      </c>
      <c r="E15" s="1">
        <v>42380</v>
      </c>
      <c r="F15" s="3" t="s">
        <v>387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 t="s">
        <v>6290</v>
      </c>
      <c r="D16" s="1">
        <v>42378</v>
      </c>
      <c r="E16" s="1">
        <v>42379</v>
      </c>
      <c r="F16" s="3" t="s">
        <v>387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 t="s">
        <v>6290</v>
      </c>
      <c r="D17" s="1">
        <v>42381</v>
      </c>
      <c r="E17" s="1">
        <v>42384</v>
      </c>
      <c r="F17" s="3" t="s">
        <v>388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 t="s">
        <v>6290</v>
      </c>
      <c r="D18" s="1">
        <v>42381</v>
      </c>
      <c r="E18" s="1">
        <v>42383</v>
      </c>
      <c r="F18" s="3" t="s">
        <v>389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 t="s">
        <v>6290</v>
      </c>
      <c r="D19" s="1">
        <v>42383</v>
      </c>
      <c r="E19" s="1">
        <v>42386</v>
      </c>
      <c r="F19" s="3" t="s">
        <v>388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 t="s">
        <v>6290</v>
      </c>
      <c r="D20" s="1">
        <v>42383</v>
      </c>
      <c r="E20" s="1">
        <v>42386</v>
      </c>
      <c r="F20" s="3" t="s">
        <v>390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 t="s">
        <v>6290</v>
      </c>
      <c r="D21" s="1">
        <v>42383</v>
      </c>
      <c r="E21" s="1">
        <v>42385</v>
      </c>
      <c r="F21" s="3" t="s">
        <v>391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 t="s">
        <v>6290</v>
      </c>
      <c r="D22" s="1">
        <v>42384</v>
      </c>
      <c r="E22" s="1">
        <v>42385</v>
      </c>
      <c r="F22" s="3" t="s">
        <v>392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 t="s">
        <v>6290</v>
      </c>
      <c r="D23" s="1">
        <v>42385</v>
      </c>
      <c r="E23" s="1">
        <v>42387</v>
      </c>
      <c r="F23" s="3" t="s">
        <v>391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 t="s">
        <v>6290</v>
      </c>
      <c r="D24" s="1">
        <v>42385</v>
      </c>
      <c r="E24" s="1">
        <v>42388</v>
      </c>
      <c r="F24" s="3" t="s">
        <v>393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 t="s">
        <v>6290</v>
      </c>
      <c r="D25" s="1">
        <v>42387</v>
      </c>
      <c r="E25" s="1">
        <v>42389</v>
      </c>
      <c r="F25" s="3" t="s">
        <v>393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 t="s">
        <v>6290</v>
      </c>
      <c r="D26" s="1">
        <v>42387</v>
      </c>
      <c r="E26" s="1">
        <v>42390</v>
      </c>
      <c r="F26" s="3" t="s">
        <v>394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 t="s">
        <v>6290</v>
      </c>
      <c r="D27" s="1">
        <v>42387</v>
      </c>
      <c r="E27" s="1">
        <v>42390</v>
      </c>
      <c r="F27" s="3" t="s">
        <v>393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 t="s">
        <v>6290</v>
      </c>
      <c r="D28" s="1">
        <v>42388</v>
      </c>
      <c r="E28" s="1">
        <v>42390</v>
      </c>
      <c r="F28" s="3" t="s">
        <v>395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 t="s">
        <v>6290</v>
      </c>
      <c r="D29" s="1">
        <v>42388</v>
      </c>
      <c r="E29" s="1">
        <v>42389</v>
      </c>
      <c r="F29" s="3" t="s">
        <v>394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 t="s">
        <v>6290</v>
      </c>
      <c r="D30" s="1">
        <v>42389</v>
      </c>
      <c r="E30" s="1">
        <v>42391</v>
      </c>
      <c r="F30" s="3" t="s">
        <v>394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 t="s">
        <v>6290</v>
      </c>
      <c r="D31" s="1">
        <v>42389</v>
      </c>
      <c r="E31" s="1">
        <v>42390</v>
      </c>
      <c r="F31" s="3" t="s">
        <v>394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 t="s">
        <v>6290</v>
      </c>
      <c r="D32" s="1">
        <v>42389</v>
      </c>
      <c r="E32" s="1">
        <v>42391</v>
      </c>
      <c r="F32" s="3" t="s">
        <v>396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 t="s">
        <v>6290</v>
      </c>
      <c r="D33" s="1">
        <v>42390</v>
      </c>
      <c r="E33" s="1">
        <v>42393</v>
      </c>
      <c r="F33" s="3" t="s">
        <v>396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 t="s">
        <v>6290</v>
      </c>
      <c r="D34" s="1">
        <v>42390</v>
      </c>
      <c r="E34" s="1">
        <v>42391</v>
      </c>
      <c r="F34" s="3" t="s">
        <v>396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 t="s">
        <v>6290</v>
      </c>
      <c r="D35" s="1">
        <v>42391</v>
      </c>
      <c r="E35" s="1">
        <v>42394</v>
      </c>
      <c r="F35" s="3" t="s">
        <v>397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 t="s">
        <v>6290</v>
      </c>
      <c r="D36" s="1">
        <v>42391</v>
      </c>
      <c r="E36" s="1">
        <v>42394</v>
      </c>
      <c r="F36" s="3" t="s">
        <v>398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 t="s">
        <v>6290</v>
      </c>
      <c r="D37" s="1">
        <v>42392</v>
      </c>
      <c r="E37" s="1">
        <v>42393</v>
      </c>
      <c r="F37" s="3" t="s">
        <v>398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 t="s">
        <v>6290</v>
      </c>
      <c r="D38" s="1">
        <v>42394</v>
      </c>
      <c r="E38" s="1">
        <v>42397</v>
      </c>
      <c r="F38" s="3" t="s">
        <v>399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 t="s">
        <v>6290</v>
      </c>
      <c r="D39" s="1">
        <v>42394</v>
      </c>
      <c r="E39" s="1">
        <v>42396</v>
      </c>
      <c r="F39" s="3" t="s">
        <v>399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 t="s">
        <v>6290</v>
      </c>
      <c r="D40" s="1">
        <v>42394</v>
      </c>
      <c r="E40" s="1">
        <v>42395</v>
      </c>
      <c r="F40" s="3" t="s">
        <v>399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 t="s">
        <v>6290</v>
      </c>
      <c r="D41" s="1">
        <v>42396</v>
      </c>
      <c r="E41" s="1">
        <v>42397</v>
      </c>
      <c r="F41" s="3" t="s">
        <v>400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 t="s">
        <v>6290</v>
      </c>
      <c r="D42" s="1">
        <v>42396</v>
      </c>
      <c r="E42" s="1">
        <v>42399</v>
      </c>
      <c r="F42" s="3" t="s">
        <v>400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 t="s">
        <v>6290</v>
      </c>
      <c r="D43" s="1">
        <v>42396</v>
      </c>
      <c r="E43" s="1">
        <v>42397</v>
      </c>
      <c r="F43" s="3" t="s">
        <v>401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 t="s">
        <v>6290</v>
      </c>
      <c r="D44" s="1">
        <v>42396</v>
      </c>
      <c r="E44" s="1">
        <v>42397</v>
      </c>
      <c r="F44" s="3" t="s">
        <v>401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 t="s">
        <v>6290</v>
      </c>
      <c r="D45" s="1">
        <v>42397</v>
      </c>
      <c r="E45" s="1">
        <v>42400</v>
      </c>
      <c r="F45" s="3" t="s">
        <v>401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 t="s">
        <v>6290</v>
      </c>
      <c r="D46" s="1">
        <v>42397</v>
      </c>
      <c r="E46" s="1">
        <v>42400</v>
      </c>
      <c r="F46" s="3" t="s">
        <v>402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 t="s">
        <v>6290</v>
      </c>
      <c r="D47" s="1">
        <v>42398</v>
      </c>
      <c r="E47" s="1">
        <v>42400</v>
      </c>
      <c r="F47" s="3" t="s">
        <v>402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 t="s">
        <v>6290</v>
      </c>
      <c r="D48" s="1">
        <v>42398</v>
      </c>
      <c r="E48" s="1">
        <v>42399</v>
      </c>
      <c r="F48" s="3" t="s">
        <v>402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 t="s">
        <v>6290</v>
      </c>
      <c r="D49" s="1">
        <v>42399</v>
      </c>
      <c r="E49" s="1">
        <v>42401</v>
      </c>
      <c r="F49" s="3" t="s">
        <v>403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 t="s">
        <v>6290</v>
      </c>
      <c r="D50" s="1">
        <v>42400</v>
      </c>
      <c r="E50" s="1">
        <v>42401</v>
      </c>
      <c r="F50" s="3" t="s">
        <v>403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 t="s">
        <v>6290</v>
      </c>
      <c r="D51" s="1">
        <v>42400</v>
      </c>
      <c r="E51" s="1">
        <v>42403</v>
      </c>
      <c r="F51" s="3" t="s">
        <v>403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 t="s">
        <v>6290</v>
      </c>
      <c r="D52" s="1">
        <v>42401</v>
      </c>
      <c r="E52" s="1">
        <v>42402</v>
      </c>
      <c r="F52" s="3" t="s">
        <v>404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 t="s">
        <v>6290</v>
      </c>
      <c r="D53" s="1">
        <v>42403</v>
      </c>
      <c r="E53" s="1">
        <v>42404</v>
      </c>
      <c r="F53" s="3" t="s">
        <v>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 t="s">
        <v>6290</v>
      </c>
      <c r="D54" s="1">
        <v>42403</v>
      </c>
      <c r="E54" s="1">
        <v>42404</v>
      </c>
      <c r="F54" s="3" t="s">
        <v>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 t="s">
        <v>6290</v>
      </c>
      <c r="D55" s="1">
        <v>42404</v>
      </c>
      <c r="E55" s="1">
        <v>42407</v>
      </c>
      <c r="F55" s="3" t="s">
        <v>406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 t="s">
        <v>6290</v>
      </c>
      <c r="D56" s="1">
        <v>42404</v>
      </c>
      <c r="E56" s="1">
        <v>42407</v>
      </c>
      <c r="F56" s="3" t="s">
        <v>407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 t="s">
        <v>6290</v>
      </c>
      <c r="D57" s="1">
        <v>42404</v>
      </c>
      <c r="E57" s="1">
        <v>42406</v>
      </c>
      <c r="F57" s="3" t="s">
        <v>406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 t="s">
        <v>6290</v>
      </c>
      <c r="D58" s="1">
        <v>42404</v>
      </c>
      <c r="E58" s="1">
        <v>42406</v>
      </c>
      <c r="F58" s="3" t="s">
        <v>407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 t="s">
        <v>6290</v>
      </c>
      <c r="D59" s="1">
        <v>42405</v>
      </c>
      <c r="E59" s="1">
        <v>42407</v>
      </c>
      <c r="F59" s="3" t="s">
        <v>406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 t="s">
        <v>6290</v>
      </c>
      <c r="D60" s="1">
        <v>42405</v>
      </c>
      <c r="E60" s="1">
        <v>42407</v>
      </c>
      <c r="F60" s="3" t="s">
        <v>407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 t="s">
        <v>6290</v>
      </c>
      <c r="D61" s="1">
        <v>42406</v>
      </c>
      <c r="E61" s="1">
        <v>42408</v>
      </c>
      <c r="F61" s="3" t="s">
        <v>406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 t="s">
        <v>6290</v>
      </c>
      <c r="D62" s="1">
        <v>42406</v>
      </c>
      <c r="E62" s="1">
        <v>42409</v>
      </c>
      <c r="F62" s="3" t="s">
        <v>408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 t="s">
        <v>6290</v>
      </c>
      <c r="D63" s="1">
        <v>42407</v>
      </c>
      <c r="E63" s="1">
        <v>42410</v>
      </c>
      <c r="F63" s="3" t="s">
        <v>409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 t="s">
        <v>6290</v>
      </c>
      <c r="D64" s="1">
        <v>42407</v>
      </c>
      <c r="E64" s="1">
        <v>42409</v>
      </c>
      <c r="F64" s="3" t="s">
        <v>408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 t="s">
        <v>6290</v>
      </c>
      <c r="D65" s="1">
        <v>42407</v>
      </c>
      <c r="E65" s="1">
        <v>42408</v>
      </c>
      <c r="F65" s="3" t="s">
        <v>408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 t="s">
        <v>6290</v>
      </c>
      <c r="D66" s="1">
        <v>42408</v>
      </c>
      <c r="E66" s="1">
        <v>42409</v>
      </c>
      <c r="F66" s="3" t="s">
        <v>410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 t="s">
        <v>6290</v>
      </c>
      <c r="D67" s="1">
        <v>42409</v>
      </c>
      <c r="E67" s="1">
        <v>42412</v>
      </c>
      <c r="F67" s="3" t="s">
        <v>411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 t="s">
        <v>6290</v>
      </c>
      <c r="D68" s="1">
        <v>42409</v>
      </c>
      <c r="E68" s="1">
        <v>42411</v>
      </c>
      <c r="F68" s="3" t="s">
        <v>409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 t="s">
        <v>6290</v>
      </c>
      <c r="D69" s="1">
        <v>42410</v>
      </c>
      <c r="E69" s="1">
        <v>42411</v>
      </c>
      <c r="F69" s="3" t="s">
        <v>412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 t="s">
        <v>6290</v>
      </c>
      <c r="D70" s="1">
        <v>42410</v>
      </c>
      <c r="E70" s="1">
        <v>42412</v>
      </c>
      <c r="F70" s="3" t="s">
        <v>410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 t="s">
        <v>6291</v>
      </c>
      <c r="D71" s="1">
        <v>42411</v>
      </c>
      <c r="E71" s="1">
        <v>42411</v>
      </c>
      <c r="F71" s="3">
        <f>orders___orders[[#This Row],[order_date]]+3</f>
        <v>42414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 t="s">
        <v>6290</v>
      </c>
      <c r="D72" s="1">
        <v>42411</v>
      </c>
      <c r="E72" s="1">
        <v>42414</v>
      </c>
      <c r="F72" s="3" t="s">
        <v>411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 t="s">
        <v>6290</v>
      </c>
      <c r="D73" s="1">
        <v>42412</v>
      </c>
      <c r="E73" s="1">
        <v>42415</v>
      </c>
      <c r="F73" s="3" t="s">
        <v>412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 t="s">
        <v>6290</v>
      </c>
      <c r="D74" s="1">
        <v>42412</v>
      </c>
      <c r="E74" s="1">
        <v>42415</v>
      </c>
      <c r="F74" s="3" t="s">
        <v>413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 t="s">
        <v>6290</v>
      </c>
      <c r="D75" s="1">
        <v>42413</v>
      </c>
      <c r="E75" s="1">
        <v>42415</v>
      </c>
      <c r="F75" s="3" t="s">
        <v>414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 t="s">
        <v>6290</v>
      </c>
      <c r="D76" s="1">
        <v>42414</v>
      </c>
      <c r="E76" s="1">
        <v>42415</v>
      </c>
      <c r="F76" s="3" t="s">
        <v>415</v>
      </c>
      <c r="G76">
        <v>2</v>
      </c>
      <c r="H76">
        <v>6</v>
      </c>
    </row>
    <row r="77" spans="1:8" x14ac:dyDescent="0.3">
      <c r="A77">
        <v>76</v>
      </c>
      <c r="B77">
        <v>9</v>
      </c>
      <c r="C77" t="s">
        <v>6291</v>
      </c>
      <c r="D77" s="1">
        <v>42416</v>
      </c>
      <c r="E77" s="1">
        <v>42416</v>
      </c>
      <c r="F77" s="3">
        <f>orders___orders[[#This Row],[order_date]]+3</f>
        <v>42419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 t="s">
        <v>6290</v>
      </c>
      <c r="D78" s="1">
        <v>42416</v>
      </c>
      <c r="E78" s="1">
        <v>42419</v>
      </c>
      <c r="F78" s="3" t="s">
        <v>416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 t="s">
        <v>6290</v>
      </c>
      <c r="D79" s="1">
        <v>42416</v>
      </c>
      <c r="E79" s="1">
        <v>42418</v>
      </c>
      <c r="F79" s="3" t="s">
        <v>416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 t="s">
        <v>6290</v>
      </c>
      <c r="D80" s="1">
        <v>42417</v>
      </c>
      <c r="E80" s="1">
        <v>42420</v>
      </c>
      <c r="F80" s="3" t="s">
        <v>417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 t="s">
        <v>6290</v>
      </c>
      <c r="D81" s="1">
        <v>42417</v>
      </c>
      <c r="E81" s="1">
        <v>42420</v>
      </c>
      <c r="F81" s="3" t="s">
        <v>416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 t="s">
        <v>6290</v>
      </c>
      <c r="D82" s="1">
        <v>42417</v>
      </c>
      <c r="E82" s="1">
        <v>42419</v>
      </c>
      <c r="F82" s="3" t="s">
        <v>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 t="s">
        <v>6290</v>
      </c>
      <c r="D83" s="1">
        <v>42418</v>
      </c>
      <c r="E83" s="1">
        <v>42421</v>
      </c>
      <c r="F83" s="3" t="s">
        <v>417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 t="s">
        <v>6290</v>
      </c>
      <c r="D84" s="1">
        <v>42419</v>
      </c>
      <c r="E84" s="1">
        <v>42420</v>
      </c>
      <c r="F84" s="3" t="s">
        <v>417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 t="s">
        <v>6290</v>
      </c>
      <c r="D85" s="1">
        <v>42420</v>
      </c>
      <c r="E85" s="1">
        <v>42422</v>
      </c>
      <c r="F85" s="3" t="s">
        <v>419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 t="s">
        <v>6290</v>
      </c>
      <c r="D86" s="1">
        <v>42420</v>
      </c>
      <c r="E86" s="1">
        <v>42423</v>
      </c>
      <c r="F86" s="3" t="s">
        <v>419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 t="s">
        <v>6290</v>
      </c>
      <c r="D87" s="1">
        <v>42421</v>
      </c>
      <c r="E87" s="1">
        <v>42422</v>
      </c>
      <c r="F87" s="3" t="s">
        <v>420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 t="s">
        <v>6290</v>
      </c>
      <c r="D88" s="1">
        <v>42421</v>
      </c>
      <c r="E88" s="1">
        <v>42422</v>
      </c>
      <c r="F88" s="3" t="s">
        <v>420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 t="s">
        <v>6290</v>
      </c>
      <c r="D89" s="1">
        <v>42421</v>
      </c>
      <c r="E89" s="1">
        <v>42422</v>
      </c>
      <c r="F89" s="3" t="s">
        <v>420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 t="s">
        <v>6290</v>
      </c>
      <c r="D90" s="1">
        <v>42421</v>
      </c>
      <c r="E90" s="1">
        <v>42424</v>
      </c>
      <c r="F90" s="3" t="s">
        <v>421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 t="s">
        <v>6290</v>
      </c>
      <c r="D91" s="1">
        <v>42423</v>
      </c>
      <c r="E91" s="1">
        <v>42425</v>
      </c>
      <c r="F91" s="3" t="s">
        <v>421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 t="s">
        <v>6290</v>
      </c>
      <c r="D92" s="1">
        <v>42425</v>
      </c>
      <c r="E92" s="1">
        <v>42427</v>
      </c>
      <c r="F92" s="3" t="s">
        <v>422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 t="s">
        <v>6290</v>
      </c>
      <c r="D93" s="1">
        <v>42425</v>
      </c>
      <c r="E93" s="1">
        <v>42428</v>
      </c>
      <c r="F93" s="3" t="s">
        <v>422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 t="s">
        <v>6290</v>
      </c>
      <c r="D94" s="1">
        <v>42426</v>
      </c>
      <c r="E94" s="1">
        <v>42428</v>
      </c>
      <c r="F94" s="3" t="s">
        <v>423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 t="s">
        <v>6290</v>
      </c>
      <c r="D95" s="1">
        <v>42427</v>
      </c>
      <c r="E95" s="1">
        <v>42428</v>
      </c>
      <c r="F95" s="3" t="s">
        <v>424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 t="s">
        <v>6290</v>
      </c>
      <c r="D96" s="1">
        <v>42427</v>
      </c>
      <c r="E96" s="1">
        <v>42429</v>
      </c>
      <c r="F96" s="3" t="s">
        <v>422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 t="s">
        <v>6290</v>
      </c>
      <c r="D97" s="1">
        <v>42427</v>
      </c>
      <c r="E97" s="1">
        <v>42429</v>
      </c>
      <c r="F97" s="3" t="s">
        <v>422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 t="s">
        <v>6290</v>
      </c>
      <c r="D98" s="1">
        <v>42428</v>
      </c>
      <c r="E98" s="1">
        <v>42429</v>
      </c>
      <c r="F98" s="3" t="s">
        <v>425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 t="s">
        <v>6290</v>
      </c>
      <c r="D99" s="1">
        <v>42428</v>
      </c>
      <c r="E99" s="1">
        <v>42429</v>
      </c>
      <c r="F99" s="3" t="s">
        <v>424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 t="s">
        <v>6290</v>
      </c>
      <c r="D100" s="1">
        <v>42429</v>
      </c>
      <c r="E100" s="1">
        <v>42430</v>
      </c>
      <c r="F100" s="3" t="s">
        <v>426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 t="s">
        <v>6290</v>
      </c>
      <c r="D101" s="1">
        <v>42430</v>
      </c>
      <c r="E101" s="1">
        <v>42433</v>
      </c>
      <c r="F101" s="3" t="s">
        <v>426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 t="s">
        <v>6290</v>
      </c>
      <c r="D102" s="1">
        <v>42430</v>
      </c>
      <c r="E102" s="1">
        <v>42433</v>
      </c>
      <c r="F102" s="3" t="s">
        <v>427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 t="s">
        <v>6290</v>
      </c>
      <c r="D103" s="1">
        <v>42431</v>
      </c>
      <c r="E103" s="1">
        <v>42434</v>
      </c>
      <c r="F103" s="3" t="s">
        <v>426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 t="s">
        <v>6290</v>
      </c>
      <c r="D104" s="1">
        <v>42432</v>
      </c>
      <c r="E104" s="1">
        <v>42435</v>
      </c>
      <c r="F104" s="3" t="s">
        <v>428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 t="s">
        <v>6290</v>
      </c>
      <c r="D105" s="1">
        <v>42432</v>
      </c>
      <c r="E105" s="1">
        <v>42434</v>
      </c>
      <c r="F105" s="3" t="s">
        <v>428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 t="s">
        <v>6290</v>
      </c>
      <c r="D106" s="1">
        <v>42432</v>
      </c>
      <c r="E106" s="1">
        <v>42434</v>
      </c>
      <c r="F106" s="3" t="s">
        <v>427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 t="s">
        <v>6290</v>
      </c>
      <c r="D107" s="1">
        <v>42433</v>
      </c>
      <c r="E107" s="1">
        <v>42434</v>
      </c>
      <c r="F107" s="3" t="s">
        <v>428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 t="s">
        <v>6290</v>
      </c>
      <c r="D108" s="1">
        <v>42435</v>
      </c>
      <c r="E108" s="1">
        <v>42438</v>
      </c>
      <c r="F108" s="3" t="s">
        <v>429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 t="s">
        <v>6290</v>
      </c>
      <c r="D109" s="1">
        <v>42435</v>
      </c>
      <c r="E109" s="1">
        <v>42438</v>
      </c>
      <c r="F109" s="3" t="s">
        <v>430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 t="s">
        <v>6290</v>
      </c>
      <c r="D110" s="1">
        <v>42435</v>
      </c>
      <c r="E110" s="1">
        <v>42438</v>
      </c>
      <c r="F110" s="3" t="s">
        <v>429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 t="s">
        <v>6290</v>
      </c>
      <c r="D111" s="1">
        <v>42435</v>
      </c>
      <c r="E111" s="1">
        <v>42437</v>
      </c>
      <c r="F111" s="3" t="s">
        <v>429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 t="s">
        <v>6290</v>
      </c>
      <c r="D112" s="1">
        <v>42436</v>
      </c>
      <c r="E112" s="1">
        <v>42439</v>
      </c>
      <c r="F112" s="3" t="s">
        <v>431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 t="s">
        <v>6290</v>
      </c>
      <c r="D113" s="1">
        <v>42437</v>
      </c>
      <c r="E113" s="1">
        <v>42440</v>
      </c>
      <c r="F113" s="3" t="s">
        <v>431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 t="s">
        <v>6290</v>
      </c>
      <c r="D114" s="1">
        <v>42437</v>
      </c>
      <c r="E114" s="1">
        <v>42440</v>
      </c>
      <c r="F114" s="3" t="s">
        <v>432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 t="s">
        <v>6290</v>
      </c>
      <c r="D115" s="1">
        <v>42437</v>
      </c>
      <c r="E115" s="1">
        <v>42439</v>
      </c>
      <c r="F115" s="3" t="s">
        <v>432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 t="s">
        <v>6290</v>
      </c>
      <c r="D116" s="1">
        <v>42438</v>
      </c>
      <c r="E116" s="1">
        <v>42440</v>
      </c>
      <c r="F116" s="3" t="s">
        <v>432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 t="s">
        <v>6290</v>
      </c>
      <c r="D117" s="1">
        <v>42439</v>
      </c>
      <c r="E117" s="1">
        <v>42440</v>
      </c>
      <c r="F117" s="3" t="s">
        <v>432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 t="s">
        <v>6290</v>
      </c>
      <c r="D118" s="1">
        <v>42439</v>
      </c>
      <c r="E118" s="1">
        <v>42442</v>
      </c>
      <c r="F118" s="3" t="s">
        <v>432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 t="s">
        <v>6290</v>
      </c>
      <c r="D119" s="1">
        <v>42441</v>
      </c>
      <c r="E119" s="1">
        <v>42443</v>
      </c>
      <c r="F119" s="3" t="s">
        <v>433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 t="s">
        <v>6290</v>
      </c>
      <c r="D120" s="1">
        <v>42441</v>
      </c>
      <c r="E120" s="1">
        <v>42443</v>
      </c>
      <c r="F120" s="3" t="s">
        <v>434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 t="s">
        <v>6290</v>
      </c>
      <c r="D121" s="1">
        <v>42443</v>
      </c>
      <c r="E121" s="1">
        <v>42444</v>
      </c>
      <c r="F121" s="3" t="s">
        <v>435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 t="s">
        <v>6290</v>
      </c>
      <c r="D122" s="1">
        <v>42443</v>
      </c>
      <c r="E122" s="1">
        <v>42444</v>
      </c>
      <c r="F122" s="3" t="s">
        <v>436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 t="s">
        <v>6290</v>
      </c>
      <c r="D123" s="1">
        <v>42443</v>
      </c>
      <c r="E123" s="1">
        <v>42445</v>
      </c>
      <c r="F123" s="3" t="s">
        <v>437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 t="s">
        <v>6290</v>
      </c>
      <c r="D124" s="1">
        <v>42444</v>
      </c>
      <c r="E124" s="1">
        <v>42447</v>
      </c>
      <c r="F124" s="3" t="s">
        <v>435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 t="s">
        <v>6290</v>
      </c>
      <c r="D125" s="1">
        <v>42445</v>
      </c>
      <c r="E125" s="1">
        <v>42447</v>
      </c>
      <c r="F125" s="3" t="s">
        <v>435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 t="s">
        <v>6290</v>
      </c>
      <c r="D126" s="1">
        <v>42445</v>
      </c>
      <c r="E126" s="1">
        <v>42448</v>
      </c>
      <c r="F126" s="3" t="s">
        <v>435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 t="s">
        <v>6290</v>
      </c>
      <c r="D127" s="1">
        <v>42445</v>
      </c>
      <c r="E127" s="1">
        <v>42447</v>
      </c>
      <c r="F127" s="3" t="s">
        <v>438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 t="s">
        <v>6290</v>
      </c>
      <c r="D128" s="1">
        <v>42446</v>
      </c>
      <c r="E128" s="1">
        <v>42447</v>
      </c>
      <c r="F128" s="3" t="s">
        <v>439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 t="s">
        <v>6290</v>
      </c>
      <c r="D129" s="1">
        <v>42447</v>
      </c>
      <c r="E129" s="1">
        <v>42449</v>
      </c>
      <c r="F129" s="3" t="s">
        <v>440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 t="s">
        <v>6290</v>
      </c>
      <c r="D130" s="1">
        <v>42448</v>
      </c>
      <c r="E130" s="1">
        <v>42450</v>
      </c>
      <c r="F130" s="3" t="s">
        <v>440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 t="s">
        <v>6290</v>
      </c>
      <c r="D131" s="1">
        <v>42448</v>
      </c>
      <c r="E131" s="1">
        <v>42451</v>
      </c>
      <c r="F131" s="3" t="s">
        <v>441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 t="s">
        <v>6290</v>
      </c>
      <c r="D132" s="1">
        <v>42448</v>
      </c>
      <c r="E132" s="1">
        <v>42451</v>
      </c>
      <c r="F132" s="3" t="s">
        <v>441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 t="s">
        <v>6290</v>
      </c>
      <c r="D133" s="1">
        <v>42449</v>
      </c>
      <c r="E133" s="1">
        <v>42451</v>
      </c>
      <c r="F133" s="3" t="s">
        <v>442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 t="s">
        <v>6290</v>
      </c>
      <c r="D134" s="1">
        <v>42449</v>
      </c>
      <c r="E134" s="1">
        <v>42451</v>
      </c>
      <c r="F134" s="3" t="s">
        <v>440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 t="s">
        <v>6290</v>
      </c>
      <c r="D135" s="1">
        <v>42449</v>
      </c>
      <c r="E135" s="1">
        <v>42450</v>
      </c>
      <c r="F135" s="3" t="s">
        <v>440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 t="s">
        <v>6290</v>
      </c>
      <c r="D136" s="1">
        <v>42450</v>
      </c>
      <c r="E136" s="1">
        <v>42452</v>
      </c>
      <c r="F136" s="3" t="s">
        <v>442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 t="s">
        <v>6290</v>
      </c>
      <c r="D137" s="1">
        <v>42450</v>
      </c>
      <c r="E137" s="1">
        <v>42453</v>
      </c>
      <c r="F137" s="3" t="s">
        <v>442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 t="s">
        <v>6290</v>
      </c>
      <c r="D138" s="1">
        <v>42452</v>
      </c>
      <c r="E138" s="1">
        <v>42455</v>
      </c>
      <c r="F138" s="3" t="s">
        <v>443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 t="s">
        <v>6290</v>
      </c>
      <c r="D139" s="1">
        <v>42452</v>
      </c>
      <c r="E139" s="1">
        <v>42453</v>
      </c>
      <c r="F139" s="3" t="s">
        <v>443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 t="s">
        <v>6290</v>
      </c>
      <c r="D140" s="1">
        <v>42452</v>
      </c>
      <c r="E140" s="1">
        <v>42453</v>
      </c>
      <c r="F140" s="3" t="s">
        <v>444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 t="s">
        <v>6290</v>
      </c>
      <c r="D141" s="1">
        <v>42452</v>
      </c>
      <c r="E141" s="1">
        <v>42455</v>
      </c>
      <c r="F141" s="3" t="s">
        <v>444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 t="s">
        <v>6290</v>
      </c>
      <c r="D142" s="1">
        <v>42454</v>
      </c>
      <c r="E142" s="1">
        <v>42456</v>
      </c>
      <c r="F142" s="3" t="s">
        <v>444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 t="s">
        <v>6290</v>
      </c>
      <c r="D143" s="1">
        <v>42455</v>
      </c>
      <c r="E143" s="1">
        <v>42456</v>
      </c>
      <c r="F143" s="3" t="s">
        <v>445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 t="s">
        <v>6290</v>
      </c>
      <c r="D144" s="1">
        <v>42455</v>
      </c>
      <c r="E144" s="1">
        <v>42457</v>
      </c>
      <c r="F144" s="3" t="s">
        <v>446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 t="s">
        <v>6290</v>
      </c>
      <c r="D145" s="1">
        <v>42455</v>
      </c>
      <c r="E145" s="1">
        <v>42458</v>
      </c>
      <c r="F145" s="3" t="s">
        <v>447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 t="s">
        <v>6290</v>
      </c>
      <c r="D146" s="1">
        <v>42456</v>
      </c>
      <c r="E146" s="1">
        <v>42458</v>
      </c>
      <c r="F146" s="3" t="s">
        <v>448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 t="s">
        <v>6290</v>
      </c>
      <c r="D147" s="1">
        <v>42457</v>
      </c>
      <c r="E147" s="1">
        <v>42459</v>
      </c>
      <c r="F147" s="3" t="s">
        <v>448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 t="s">
        <v>6290</v>
      </c>
      <c r="D148" s="1">
        <v>42457</v>
      </c>
      <c r="E148" s="1">
        <v>42460</v>
      </c>
      <c r="F148" s="3" t="s">
        <v>449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 t="s">
        <v>6290</v>
      </c>
      <c r="D149" s="1">
        <v>42457</v>
      </c>
      <c r="E149" s="1">
        <v>42459</v>
      </c>
      <c r="F149" s="3" t="s">
        <v>448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 t="s">
        <v>6290</v>
      </c>
      <c r="D150" s="1">
        <v>42457</v>
      </c>
      <c r="E150" s="1">
        <v>42459</v>
      </c>
      <c r="F150" s="3" t="s">
        <v>447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 t="s">
        <v>6290</v>
      </c>
      <c r="D151" s="1">
        <v>42458</v>
      </c>
      <c r="E151" s="1">
        <v>42460</v>
      </c>
      <c r="F151" s="3" t="s">
        <v>450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 t="s">
        <v>6290</v>
      </c>
      <c r="D152" s="1">
        <v>42458</v>
      </c>
      <c r="E152" s="1">
        <v>42461</v>
      </c>
      <c r="F152" s="3" t="s">
        <v>449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 t="s">
        <v>6290</v>
      </c>
      <c r="D153" s="1">
        <v>42458</v>
      </c>
      <c r="E153" s="1">
        <v>42459</v>
      </c>
      <c r="F153" s="3" t="s">
        <v>448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 t="s">
        <v>6290</v>
      </c>
      <c r="D154" s="1">
        <v>42459</v>
      </c>
      <c r="E154" s="1">
        <v>42462</v>
      </c>
      <c r="F154" s="3" t="s">
        <v>450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 t="s">
        <v>6290</v>
      </c>
      <c r="D155" s="1">
        <v>42460</v>
      </c>
      <c r="E155" s="1">
        <v>42461</v>
      </c>
      <c r="F155" s="3" t="s">
        <v>450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 t="s">
        <v>6290</v>
      </c>
      <c r="D156" s="1">
        <v>42462</v>
      </c>
      <c r="E156" s="1">
        <v>42463</v>
      </c>
      <c r="F156" s="3" t="s">
        <v>451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 t="s">
        <v>6290</v>
      </c>
      <c r="D157" s="1">
        <v>42463</v>
      </c>
      <c r="E157" s="1">
        <v>42466</v>
      </c>
      <c r="F157" s="3" t="s">
        <v>452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 t="s">
        <v>6290</v>
      </c>
      <c r="D158" s="1">
        <v>42463</v>
      </c>
      <c r="E158" s="1">
        <v>42466</v>
      </c>
      <c r="F158" s="3" t="s">
        <v>453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 t="s">
        <v>6291</v>
      </c>
      <c r="D159" s="1">
        <v>42464</v>
      </c>
      <c r="E159" s="1">
        <v>42464</v>
      </c>
      <c r="F159" s="3">
        <f>orders___orders[[#This Row],[order_date]]+3</f>
        <v>42467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 t="s">
        <v>6290</v>
      </c>
      <c r="D160" s="1">
        <v>42464</v>
      </c>
      <c r="E160" s="1">
        <v>42466</v>
      </c>
      <c r="F160" s="3" t="s">
        <v>453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 t="s">
        <v>6290</v>
      </c>
      <c r="D161" s="1">
        <v>42464</v>
      </c>
      <c r="E161" s="1">
        <v>42466</v>
      </c>
      <c r="F161" s="3" t="s">
        <v>453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 t="s">
        <v>6290</v>
      </c>
      <c r="D162" s="1">
        <v>42464</v>
      </c>
      <c r="E162" s="1">
        <v>42467</v>
      </c>
      <c r="F162" s="3" t="s">
        <v>452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 t="s">
        <v>6290</v>
      </c>
      <c r="D163" s="1">
        <v>42466</v>
      </c>
      <c r="E163" s="1">
        <v>42468</v>
      </c>
      <c r="F163" s="3" t="s">
        <v>454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 t="s">
        <v>6290</v>
      </c>
      <c r="D164" s="1">
        <v>42466</v>
      </c>
      <c r="E164" s="1">
        <v>42467</v>
      </c>
      <c r="F164" s="3" t="s">
        <v>454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 t="s">
        <v>6290</v>
      </c>
      <c r="D165" s="1">
        <v>42467</v>
      </c>
      <c r="E165" s="1">
        <v>42468</v>
      </c>
      <c r="F165" s="3" t="s">
        <v>455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 t="s">
        <v>6290</v>
      </c>
      <c r="D166" s="1">
        <v>42468</v>
      </c>
      <c r="E166" s="1">
        <v>42470</v>
      </c>
      <c r="F166" s="3" t="s">
        <v>456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 t="s">
        <v>6290</v>
      </c>
      <c r="D167" s="1">
        <v>42468</v>
      </c>
      <c r="E167" s="1">
        <v>42471</v>
      </c>
      <c r="F167" s="3" t="s">
        <v>457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 t="s">
        <v>6290</v>
      </c>
      <c r="D168" s="1">
        <v>42468</v>
      </c>
      <c r="E168" s="1">
        <v>42469</v>
      </c>
      <c r="F168" s="3" t="s">
        <v>457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 t="s">
        <v>6290</v>
      </c>
      <c r="D169" s="1">
        <v>42469</v>
      </c>
      <c r="E169" s="1">
        <v>42472</v>
      </c>
      <c r="F169" s="3" t="s">
        <v>457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 t="s">
        <v>6290</v>
      </c>
      <c r="D170" s="1">
        <v>42470</v>
      </c>
      <c r="E170" s="1">
        <v>42471</v>
      </c>
      <c r="F170" s="3" t="s">
        <v>457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 t="s">
        <v>6290</v>
      </c>
      <c r="D171" s="1">
        <v>42470</v>
      </c>
      <c r="E171" s="1">
        <v>42471</v>
      </c>
      <c r="F171" s="3" t="s">
        <v>458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 t="s">
        <v>6290</v>
      </c>
      <c r="D172" s="1">
        <v>42471</v>
      </c>
      <c r="E172" s="1">
        <v>42474</v>
      </c>
      <c r="F172" s="3" t="s">
        <v>459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 t="s">
        <v>6290</v>
      </c>
      <c r="D173" s="1">
        <v>42471</v>
      </c>
      <c r="E173" s="1">
        <v>42472</v>
      </c>
      <c r="F173" s="3" t="s">
        <v>459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 t="s">
        <v>6290</v>
      </c>
      <c r="D174" s="1">
        <v>42471</v>
      </c>
      <c r="E174" s="1">
        <v>42474</v>
      </c>
      <c r="F174" s="3" t="s">
        <v>458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 t="s">
        <v>6290</v>
      </c>
      <c r="D175" s="1">
        <v>42472</v>
      </c>
      <c r="E175" s="1">
        <v>42473</v>
      </c>
      <c r="F175" s="3" t="s">
        <v>460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 t="s">
        <v>6290</v>
      </c>
      <c r="D176" s="1">
        <v>42473</v>
      </c>
      <c r="E176" s="1">
        <v>42474</v>
      </c>
      <c r="F176" s="3" t="s">
        <v>459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 t="s">
        <v>6290</v>
      </c>
      <c r="D177" s="1">
        <v>42475</v>
      </c>
      <c r="E177" s="1">
        <v>42476</v>
      </c>
      <c r="F177" s="3" t="s">
        <v>461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 t="s">
        <v>6290</v>
      </c>
      <c r="D178" s="1">
        <v>42476</v>
      </c>
      <c r="E178" s="1">
        <v>42479</v>
      </c>
      <c r="F178" s="3" t="s">
        <v>462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 t="s">
        <v>6290</v>
      </c>
      <c r="D179" s="1">
        <v>42476</v>
      </c>
      <c r="E179" s="1">
        <v>42477</v>
      </c>
      <c r="F179" s="3" t="s">
        <v>463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 t="s">
        <v>6290</v>
      </c>
      <c r="D180" s="1">
        <v>42477</v>
      </c>
      <c r="E180" s="1">
        <v>42479</v>
      </c>
      <c r="F180" s="3" t="s">
        <v>462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 t="s">
        <v>6290</v>
      </c>
      <c r="D181" s="1">
        <v>42477</v>
      </c>
      <c r="E181" s="1">
        <v>42480</v>
      </c>
      <c r="F181" s="3" t="s">
        <v>462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 t="s">
        <v>6290</v>
      </c>
      <c r="D182" s="1">
        <v>42478</v>
      </c>
      <c r="E182" s="1">
        <v>42480</v>
      </c>
      <c r="F182" s="3" t="s">
        <v>464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 t="s">
        <v>6290</v>
      </c>
      <c r="D183" s="1">
        <v>42478</v>
      </c>
      <c r="E183" s="1">
        <v>42479</v>
      </c>
      <c r="F183" s="3" t="s">
        <v>464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 t="s">
        <v>6290</v>
      </c>
      <c r="D184" s="1">
        <v>42479</v>
      </c>
      <c r="E184" s="1">
        <v>42480</v>
      </c>
      <c r="F184" s="3" t="s">
        <v>464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 t="s">
        <v>6290</v>
      </c>
      <c r="D185" s="1">
        <v>42479</v>
      </c>
      <c r="E185" s="1">
        <v>42481</v>
      </c>
      <c r="F185" s="3" t="s">
        <v>465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 t="s">
        <v>6291</v>
      </c>
      <c r="D186" s="1">
        <v>42480</v>
      </c>
      <c r="E186" s="1">
        <v>42480</v>
      </c>
      <c r="F186" s="3">
        <f>orders___orders[[#This Row],[order_date]]+3</f>
        <v>42483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 t="s">
        <v>6290</v>
      </c>
      <c r="D187" s="1">
        <v>42481</v>
      </c>
      <c r="E187" s="1">
        <v>42482</v>
      </c>
      <c r="F187" s="3" t="s">
        <v>466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 t="s">
        <v>6290</v>
      </c>
      <c r="D188" s="1">
        <v>42482</v>
      </c>
      <c r="E188" s="1">
        <v>42483</v>
      </c>
      <c r="F188" s="3" t="s">
        <v>466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 t="s">
        <v>6290</v>
      </c>
      <c r="D189" s="1">
        <v>42482</v>
      </c>
      <c r="E189" s="1">
        <v>42483</v>
      </c>
      <c r="F189" s="3" t="s">
        <v>467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 t="s">
        <v>6290</v>
      </c>
      <c r="D190" s="1">
        <v>42483</v>
      </c>
      <c r="E190" s="1">
        <v>42484</v>
      </c>
      <c r="F190" s="3" t="s">
        <v>468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 t="s">
        <v>6290</v>
      </c>
      <c r="D191" s="1">
        <v>42483</v>
      </c>
      <c r="E191" s="1">
        <v>42485</v>
      </c>
      <c r="F191" s="3" t="s">
        <v>467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 t="s">
        <v>6290</v>
      </c>
      <c r="D192" s="1">
        <v>42487</v>
      </c>
      <c r="E192" s="1">
        <v>42488</v>
      </c>
      <c r="F192" s="3" t="s">
        <v>469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 t="s">
        <v>6290</v>
      </c>
      <c r="D193" s="1">
        <v>42487</v>
      </c>
      <c r="E193" s="1">
        <v>42488</v>
      </c>
      <c r="F193" s="3" t="s">
        <v>470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 t="s">
        <v>6290</v>
      </c>
      <c r="D194" s="1">
        <v>42488</v>
      </c>
      <c r="E194" s="1">
        <v>42490</v>
      </c>
      <c r="F194" s="3" t="s">
        <v>471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 t="s">
        <v>6290</v>
      </c>
      <c r="D195" s="1">
        <v>42488</v>
      </c>
      <c r="E195" s="1">
        <v>42490</v>
      </c>
      <c r="F195" s="3" t="s">
        <v>472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 t="s">
        <v>6290</v>
      </c>
      <c r="D196" s="1">
        <v>42488</v>
      </c>
      <c r="E196" s="1">
        <v>42491</v>
      </c>
      <c r="F196" s="3" t="s">
        <v>472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 t="s">
        <v>6290</v>
      </c>
      <c r="D197" s="1">
        <v>42488</v>
      </c>
      <c r="E197" s="1">
        <v>42490</v>
      </c>
      <c r="F197" s="3" t="s">
        <v>472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 t="s">
        <v>6290</v>
      </c>
      <c r="D198" s="1">
        <v>42490</v>
      </c>
      <c r="E198" s="1">
        <v>42493</v>
      </c>
      <c r="F198" s="3" t="s">
        <v>473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 t="s">
        <v>6290</v>
      </c>
      <c r="D199" s="1">
        <v>42491</v>
      </c>
      <c r="E199" s="1">
        <v>42494</v>
      </c>
      <c r="F199" s="3" t="s">
        <v>473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 t="s">
        <v>6290</v>
      </c>
      <c r="D200" s="1">
        <v>42491</v>
      </c>
      <c r="E200" s="1">
        <v>42494</v>
      </c>
      <c r="F200" s="3" t="s">
        <v>474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 t="s">
        <v>6290</v>
      </c>
      <c r="D201" s="1">
        <v>42491</v>
      </c>
      <c r="E201" s="1">
        <v>42493</v>
      </c>
      <c r="F201" s="3" t="s">
        <v>473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 t="s">
        <v>6290</v>
      </c>
      <c r="D202" s="1">
        <v>42491</v>
      </c>
      <c r="E202" s="1">
        <v>42494</v>
      </c>
      <c r="F202" s="3" t="s">
        <v>475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 t="s">
        <v>6290</v>
      </c>
      <c r="D203" s="1">
        <v>42493</v>
      </c>
      <c r="E203" s="1">
        <v>42495</v>
      </c>
      <c r="F203" s="3" t="s">
        <v>474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 t="s">
        <v>6290</v>
      </c>
      <c r="D204" s="1">
        <v>42493</v>
      </c>
      <c r="E204" s="1">
        <v>42495</v>
      </c>
      <c r="F204" s="3" t="s">
        <v>476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 t="s">
        <v>6290</v>
      </c>
      <c r="D205" s="1">
        <v>42494</v>
      </c>
      <c r="E205" s="1">
        <v>42497</v>
      </c>
      <c r="F205" s="3" t="s">
        <v>476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 t="s">
        <v>6290</v>
      </c>
      <c r="D206" s="1">
        <v>42494</v>
      </c>
      <c r="E206" s="1">
        <v>42495</v>
      </c>
      <c r="F206" s="3" t="s">
        <v>476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 t="s">
        <v>6290</v>
      </c>
      <c r="D207" s="1">
        <v>42494</v>
      </c>
      <c r="E207" s="1">
        <v>42496</v>
      </c>
      <c r="F207" s="3" t="s">
        <v>477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 t="s">
        <v>6290</v>
      </c>
      <c r="D208" s="1">
        <v>42495</v>
      </c>
      <c r="E208" s="1">
        <v>42497</v>
      </c>
      <c r="F208" s="3" t="s">
        <v>478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 t="s">
        <v>6290</v>
      </c>
      <c r="D209" s="1">
        <v>42496</v>
      </c>
      <c r="E209" s="1">
        <v>42497</v>
      </c>
      <c r="F209" s="3" t="s">
        <v>479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 t="s">
        <v>6290</v>
      </c>
      <c r="D210" s="1">
        <v>42497</v>
      </c>
      <c r="E210" s="1">
        <v>42498</v>
      </c>
      <c r="F210" s="3" t="s">
        <v>480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 t="s">
        <v>6290</v>
      </c>
      <c r="D211" s="1">
        <v>42497</v>
      </c>
      <c r="E211" s="1">
        <v>42498</v>
      </c>
      <c r="F211" s="3" t="s">
        <v>479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 t="s">
        <v>6290</v>
      </c>
      <c r="D212" s="1">
        <v>42497</v>
      </c>
      <c r="E212" s="1">
        <v>42499</v>
      </c>
      <c r="F212" s="3" t="s">
        <v>480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 t="s">
        <v>6290</v>
      </c>
      <c r="D213" s="1">
        <v>42498</v>
      </c>
      <c r="E213" s="1">
        <v>42499</v>
      </c>
      <c r="F213" s="3" t="s">
        <v>481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 t="s">
        <v>6290</v>
      </c>
      <c r="D214" s="1">
        <v>42498</v>
      </c>
      <c r="E214" s="1">
        <v>42499</v>
      </c>
      <c r="F214" s="3" t="s">
        <v>479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 t="s">
        <v>6290</v>
      </c>
      <c r="D215" s="1">
        <v>42500</v>
      </c>
      <c r="E215" s="1">
        <v>42502</v>
      </c>
      <c r="F215" s="3" t="s">
        <v>481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 t="s">
        <v>6290</v>
      </c>
      <c r="D216" s="1">
        <v>42500</v>
      </c>
      <c r="E216" s="1">
        <v>42503</v>
      </c>
      <c r="F216" s="3" t="s">
        <v>482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 t="s">
        <v>6290</v>
      </c>
      <c r="D217" s="1">
        <v>42501</v>
      </c>
      <c r="E217" s="1">
        <v>42504</v>
      </c>
      <c r="F217" s="3" t="s">
        <v>483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 t="s">
        <v>6290</v>
      </c>
      <c r="D218" s="1">
        <v>42501</v>
      </c>
      <c r="E218" s="1">
        <v>42502</v>
      </c>
      <c r="F218" s="3" t="s">
        <v>484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 t="s">
        <v>6290</v>
      </c>
      <c r="D219" s="1">
        <v>42502</v>
      </c>
      <c r="E219" s="1">
        <v>42504</v>
      </c>
      <c r="F219" s="3" t="s">
        <v>484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 t="s">
        <v>6290</v>
      </c>
      <c r="D220" s="1">
        <v>42502</v>
      </c>
      <c r="E220" s="1">
        <v>42505</v>
      </c>
      <c r="F220" s="3" t="s">
        <v>485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 t="s">
        <v>6290</v>
      </c>
      <c r="D221" s="1">
        <v>42502</v>
      </c>
      <c r="E221" s="1">
        <v>42504</v>
      </c>
      <c r="F221" s="3" t="s">
        <v>485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 t="s">
        <v>6290</v>
      </c>
      <c r="D222" s="1">
        <v>42503</v>
      </c>
      <c r="E222" s="1">
        <v>42506</v>
      </c>
      <c r="F222" s="3" t="s">
        <v>484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 t="s">
        <v>6290</v>
      </c>
      <c r="D223" s="1">
        <v>42503</v>
      </c>
      <c r="E223" s="1">
        <v>42506</v>
      </c>
      <c r="F223" s="3" t="s">
        <v>484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 t="s">
        <v>6290</v>
      </c>
      <c r="D224" s="1">
        <v>42505</v>
      </c>
      <c r="E224" s="1">
        <v>42506</v>
      </c>
      <c r="F224" s="3" t="s">
        <v>486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 t="s">
        <v>6290</v>
      </c>
      <c r="D225" s="1">
        <v>42507</v>
      </c>
      <c r="E225" s="1">
        <v>42508</v>
      </c>
      <c r="F225" s="3" t="s">
        <v>487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 t="s">
        <v>6290</v>
      </c>
      <c r="D226" s="1">
        <v>42507</v>
      </c>
      <c r="E226" s="1">
        <v>42510</v>
      </c>
      <c r="F226" s="3" t="s">
        <v>487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 t="s">
        <v>6290</v>
      </c>
      <c r="D227" s="1">
        <v>42507</v>
      </c>
      <c r="E227" s="1">
        <v>42509</v>
      </c>
      <c r="F227" s="3" t="s">
        <v>488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 t="s">
        <v>6290</v>
      </c>
      <c r="D228" s="1">
        <v>42507</v>
      </c>
      <c r="E228" s="1">
        <v>42508</v>
      </c>
      <c r="F228" s="3" t="s">
        <v>488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 t="s">
        <v>6290</v>
      </c>
      <c r="D229" s="1">
        <v>42507</v>
      </c>
      <c r="E229" s="1">
        <v>42510</v>
      </c>
      <c r="F229" s="3" t="s">
        <v>488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 t="s">
        <v>6290</v>
      </c>
      <c r="D230" s="1">
        <v>42509</v>
      </c>
      <c r="E230" s="1">
        <v>42511</v>
      </c>
      <c r="F230" s="3" t="s">
        <v>488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 t="s">
        <v>6290</v>
      </c>
      <c r="D231" s="1">
        <v>42509</v>
      </c>
      <c r="E231" s="1">
        <v>42510</v>
      </c>
      <c r="F231" s="3" t="s">
        <v>489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 t="s">
        <v>6290</v>
      </c>
      <c r="D232" s="1">
        <v>42509</v>
      </c>
      <c r="E232" s="1">
        <v>42512</v>
      </c>
      <c r="F232" s="3" t="s">
        <v>489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 t="s">
        <v>6290</v>
      </c>
      <c r="D233" s="1">
        <v>42510</v>
      </c>
      <c r="E233" s="1">
        <v>42513</v>
      </c>
      <c r="F233" s="3" t="s">
        <v>490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 t="s">
        <v>6290</v>
      </c>
      <c r="D234" s="1">
        <v>42511</v>
      </c>
      <c r="E234" s="1">
        <v>42512</v>
      </c>
      <c r="F234" s="3" t="s">
        <v>491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 t="s">
        <v>6290</v>
      </c>
      <c r="D235" s="1">
        <v>42512</v>
      </c>
      <c r="E235" s="1">
        <v>42514</v>
      </c>
      <c r="F235" s="3" t="s">
        <v>491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 t="s">
        <v>6290</v>
      </c>
      <c r="D236" s="1">
        <v>42514</v>
      </c>
      <c r="E236" s="1">
        <v>42515</v>
      </c>
      <c r="F236" s="3" t="s">
        <v>492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 t="s">
        <v>6290</v>
      </c>
      <c r="D237" s="1">
        <v>42515</v>
      </c>
      <c r="E237" s="1">
        <v>42517</v>
      </c>
      <c r="F237" s="3" t="s">
        <v>493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 t="s">
        <v>6290</v>
      </c>
      <c r="D238" s="1">
        <v>42515</v>
      </c>
      <c r="E238" s="1">
        <v>42516</v>
      </c>
      <c r="F238" s="3" t="s">
        <v>494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 t="s">
        <v>6290</v>
      </c>
      <c r="D239" s="1">
        <v>42516</v>
      </c>
      <c r="E239" s="1">
        <v>42519</v>
      </c>
      <c r="F239" s="3" t="s">
        <v>495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 t="s">
        <v>6291</v>
      </c>
      <c r="D240" s="1">
        <v>42517</v>
      </c>
      <c r="E240" s="1">
        <v>42517</v>
      </c>
      <c r="F240" s="3">
        <f>orders___orders[[#This Row],[order_date]]+3</f>
        <v>42520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 t="s">
        <v>6290</v>
      </c>
      <c r="D241" s="1">
        <v>42517</v>
      </c>
      <c r="E241" s="1">
        <v>42519</v>
      </c>
      <c r="F241" s="3" t="s">
        <v>496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 t="s">
        <v>6290</v>
      </c>
      <c r="D242" s="1">
        <v>42517</v>
      </c>
      <c r="E242" s="1">
        <v>42519</v>
      </c>
      <c r="F242" s="3" t="s">
        <v>495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 t="s">
        <v>6290</v>
      </c>
      <c r="D243" s="1">
        <v>42517</v>
      </c>
      <c r="E243" s="1">
        <v>42520</v>
      </c>
      <c r="F243" s="3" t="s">
        <v>496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 t="s">
        <v>6290</v>
      </c>
      <c r="D244" s="1">
        <v>42517</v>
      </c>
      <c r="E244" s="1">
        <v>42520</v>
      </c>
      <c r="F244" s="3" t="s">
        <v>497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 t="s">
        <v>6290</v>
      </c>
      <c r="D245" s="1">
        <v>42518</v>
      </c>
      <c r="E245" s="1">
        <v>42519</v>
      </c>
      <c r="F245" s="3" t="s">
        <v>495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 t="s">
        <v>6290</v>
      </c>
      <c r="D246" s="1">
        <v>42519</v>
      </c>
      <c r="E246" s="1">
        <v>42521</v>
      </c>
      <c r="F246" s="3" t="s">
        <v>496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 t="s">
        <v>6291</v>
      </c>
      <c r="D247" s="1">
        <v>42520</v>
      </c>
      <c r="E247" s="1">
        <v>42520</v>
      </c>
      <c r="F247" s="3">
        <f>orders___orders[[#This Row],[order_date]]+3</f>
        <v>42523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 t="s">
        <v>6290</v>
      </c>
      <c r="D248" s="1">
        <v>42520</v>
      </c>
      <c r="E248" s="1">
        <v>42522</v>
      </c>
      <c r="F248" s="3" t="s">
        <v>498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 t="s">
        <v>6290</v>
      </c>
      <c r="D249" s="1">
        <v>42520</v>
      </c>
      <c r="E249" s="1">
        <v>42522</v>
      </c>
      <c r="F249" s="3" t="s">
        <v>499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 t="s">
        <v>6290</v>
      </c>
      <c r="D250" s="1">
        <v>42522</v>
      </c>
      <c r="E250" s="1">
        <v>42525</v>
      </c>
      <c r="F250" s="3" t="s">
        <v>500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 t="s">
        <v>6290</v>
      </c>
      <c r="D251" s="1">
        <v>42522</v>
      </c>
      <c r="E251" s="1">
        <v>42523</v>
      </c>
      <c r="F251" s="3" t="s">
        <v>500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 t="s">
        <v>6290</v>
      </c>
      <c r="D252" s="1">
        <v>42522</v>
      </c>
      <c r="E252" s="1">
        <v>42525</v>
      </c>
      <c r="F252" s="3" t="s">
        <v>500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 t="s">
        <v>6290</v>
      </c>
      <c r="D253" s="1">
        <v>42522</v>
      </c>
      <c r="E253" s="1">
        <v>42525</v>
      </c>
      <c r="F253" s="3" t="s">
        <v>501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 t="s">
        <v>6290</v>
      </c>
      <c r="D254" s="1">
        <v>42523</v>
      </c>
      <c r="E254" s="1">
        <v>42526</v>
      </c>
      <c r="F254" s="3" t="s">
        <v>502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 t="s">
        <v>6290</v>
      </c>
      <c r="D255" s="1">
        <v>42524</v>
      </c>
      <c r="E255" s="1">
        <v>42527</v>
      </c>
      <c r="F255" s="3" t="s">
        <v>502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 t="s">
        <v>6290</v>
      </c>
      <c r="D256" s="1">
        <v>42524</v>
      </c>
      <c r="E256" s="1">
        <v>42527</v>
      </c>
      <c r="F256" s="3" t="s">
        <v>502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 t="s">
        <v>6290</v>
      </c>
      <c r="D257" s="1">
        <v>42525</v>
      </c>
      <c r="E257" s="1">
        <v>42526</v>
      </c>
      <c r="F257" s="3" t="s">
        <v>503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 t="s">
        <v>6290</v>
      </c>
      <c r="D258" s="1">
        <v>42526</v>
      </c>
      <c r="E258" s="1">
        <v>42527</v>
      </c>
      <c r="F258" s="3" t="s">
        <v>504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 t="s">
        <v>6290</v>
      </c>
      <c r="D259" s="1">
        <v>42527</v>
      </c>
      <c r="E259" s="1">
        <v>42528</v>
      </c>
      <c r="F259" s="3" t="s">
        <v>503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 t="s">
        <v>6290</v>
      </c>
      <c r="D260" s="1">
        <v>42527</v>
      </c>
      <c r="E260" s="1">
        <v>42530</v>
      </c>
      <c r="F260" s="3" t="s">
        <v>505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 t="s">
        <v>6290</v>
      </c>
      <c r="D261" s="1">
        <v>42527</v>
      </c>
      <c r="E261" s="1">
        <v>42529</v>
      </c>
      <c r="F261" s="3" t="s">
        <v>504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 t="s">
        <v>6290</v>
      </c>
      <c r="D262" s="1">
        <v>42529</v>
      </c>
      <c r="E262" s="1">
        <v>42531</v>
      </c>
      <c r="F262" s="3" t="s">
        <v>505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 t="s">
        <v>6290</v>
      </c>
      <c r="D263" s="1">
        <v>42529</v>
      </c>
      <c r="E263" s="1">
        <v>42532</v>
      </c>
      <c r="F263" s="3" t="s">
        <v>506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 t="s">
        <v>6290</v>
      </c>
      <c r="D264" s="1">
        <v>42530</v>
      </c>
      <c r="E264" s="1">
        <v>42531</v>
      </c>
      <c r="F264" s="3" t="s">
        <v>507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 t="s">
        <v>6291</v>
      </c>
      <c r="D265" s="1">
        <v>42531</v>
      </c>
      <c r="E265" s="1">
        <v>42531</v>
      </c>
      <c r="F265" s="3">
        <f>orders___orders[[#This Row],[order_date]]+3</f>
        <v>42534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 t="s">
        <v>6290</v>
      </c>
      <c r="D266" s="1">
        <v>42531</v>
      </c>
      <c r="E266" s="1">
        <v>42533</v>
      </c>
      <c r="F266" s="3" t="s">
        <v>508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 t="s">
        <v>6290</v>
      </c>
      <c r="D267" s="1">
        <v>42531</v>
      </c>
      <c r="E267" s="1">
        <v>42534</v>
      </c>
      <c r="F267" s="3" t="s">
        <v>509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 t="s">
        <v>6290</v>
      </c>
      <c r="D268" s="1">
        <v>42532</v>
      </c>
      <c r="E268" s="1">
        <v>42535</v>
      </c>
      <c r="F268" s="3" t="s">
        <v>510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 t="s">
        <v>6290</v>
      </c>
      <c r="D269" s="1">
        <v>42532</v>
      </c>
      <c r="E269" s="1">
        <v>42535</v>
      </c>
      <c r="F269" s="3" t="s">
        <v>507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 t="s">
        <v>6290</v>
      </c>
      <c r="D270" s="1">
        <v>42533</v>
      </c>
      <c r="E270" s="1">
        <v>42534</v>
      </c>
      <c r="F270" s="3" t="s">
        <v>511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 t="s">
        <v>6290</v>
      </c>
      <c r="D271" s="1">
        <v>42533</v>
      </c>
      <c r="E271" s="1">
        <v>42536</v>
      </c>
      <c r="F271" s="3" t="s">
        <v>509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 t="s">
        <v>6290</v>
      </c>
      <c r="D272" s="1">
        <v>42534</v>
      </c>
      <c r="E272" s="1">
        <v>42537</v>
      </c>
      <c r="F272" s="3" t="s">
        <v>510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 t="s">
        <v>6290</v>
      </c>
      <c r="D273" s="1">
        <v>42536</v>
      </c>
      <c r="E273" s="1">
        <v>42539</v>
      </c>
      <c r="F273" s="3" t="s">
        <v>512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 t="s">
        <v>6290</v>
      </c>
      <c r="D274" s="1">
        <v>42537</v>
      </c>
      <c r="E274" s="1">
        <v>42540</v>
      </c>
      <c r="F274" s="3" t="s">
        <v>513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 t="s">
        <v>6290</v>
      </c>
      <c r="D275" s="1">
        <v>42538</v>
      </c>
      <c r="E275" s="1">
        <v>42541</v>
      </c>
      <c r="F275" s="3" t="s">
        <v>514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 t="s">
        <v>6290</v>
      </c>
      <c r="D276" s="1">
        <v>42538</v>
      </c>
      <c r="E276" s="1">
        <v>42540</v>
      </c>
      <c r="F276" s="3" t="s">
        <v>514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 t="s">
        <v>6290</v>
      </c>
      <c r="D277" s="1">
        <v>42539</v>
      </c>
      <c r="E277" s="1">
        <v>42540</v>
      </c>
      <c r="F277" s="3" t="s">
        <v>515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 t="s">
        <v>6290</v>
      </c>
      <c r="D278" s="1">
        <v>42540</v>
      </c>
      <c r="E278" s="1">
        <v>42541</v>
      </c>
      <c r="F278" s="3" t="s">
        <v>516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 t="s">
        <v>6290</v>
      </c>
      <c r="D279" s="1">
        <v>42541</v>
      </c>
      <c r="E279" s="1">
        <v>42544</v>
      </c>
      <c r="F279" s="3" t="s">
        <v>517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 t="s">
        <v>6290</v>
      </c>
      <c r="D280" s="1">
        <v>42542</v>
      </c>
      <c r="E280" s="1">
        <v>42543</v>
      </c>
      <c r="F280" s="3" t="s">
        <v>518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 t="s">
        <v>6290</v>
      </c>
      <c r="D281" s="1">
        <v>42542</v>
      </c>
      <c r="E281" s="1">
        <v>42543</v>
      </c>
      <c r="F281" s="3" t="s">
        <v>519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 t="s">
        <v>6290</v>
      </c>
      <c r="D282" s="1">
        <v>42542</v>
      </c>
      <c r="E282" s="1">
        <v>42543</v>
      </c>
      <c r="F282" s="3" t="s">
        <v>519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 t="s">
        <v>6290</v>
      </c>
      <c r="D283" s="1">
        <v>42543</v>
      </c>
      <c r="E283" s="1">
        <v>42546</v>
      </c>
      <c r="F283" s="3" t="s">
        <v>520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 t="s">
        <v>6290</v>
      </c>
      <c r="D284" s="1">
        <v>42544</v>
      </c>
      <c r="E284" s="1">
        <v>42547</v>
      </c>
      <c r="F284" s="3" t="s">
        <v>521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 t="s">
        <v>6290</v>
      </c>
      <c r="D285" s="1">
        <v>42544</v>
      </c>
      <c r="E285" s="1">
        <v>42546</v>
      </c>
      <c r="F285" s="3" t="s">
        <v>520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 t="s">
        <v>6290</v>
      </c>
      <c r="D286" s="1">
        <v>42546</v>
      </c>
      <c r="E286" s="1">
        <v>42547</v>
      </c>
      <c r="F286" s="3" t="s">
        <v>522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 t="s">
        <v>6290</v>
      </c>
      <c r="D287" s="1">
        <v>42546</v>
      </c>
      <c r="E287" s="1">
        <v>42547</v>
      </c>
      <c r="F287" s="3" t="s">
        <v>521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 t="s">
        <v>6290</v>
      </c>
      <c r="D288" s="1">
        <v>42546</v>
      </c>
      <c r="E288" s="1">
        <v>42547</v>
      </c>
      <c r="F288" s="3" t="s">
        <v>522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 t="s">
        <v>6290</v>
      </c>
      <c r="D289" s="1">
        <v>42546</v>
      </c>
      <c r="E289" s="1">
        <v>42549</v>
      </c>
      <c r="F289" s="3" t="s">
        <v>523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 t="s">
        <v>6290</v>
      </c>
      <c r="D290" s="1">
        <v>42548</v>
      </c>
      <c r="E290" s="1">
        <v>42549</v>
      </c>
      <c r="F290" s="3" t="s">
        <v>524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 t="s">
        <v>6290</v>
      </c>
      <c r="D291" s="1">
        <v>42549</v>
      </c>
      <c r="E291" s="1">
        <v>42550</v>
      </c>
      <c r="F291" s="3" t="s">
        <v>524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 t="s">
        <v>6290</v>
      </c>
      <c r="D292" s="1">
        <v>42550</v>
      </c>
      <c r="E292" s="1">
        <v>42551</v>
      </c>
      <c r="F292" s="3" t="s">
        <v>525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 t="s">
        <v>6290</v>
      </c>
      <c r="D293" s="1">
        <v>42550</v>
      </c>
      <c r="E293" s="1">
        <v>42551</v>
      </c>
      <c r="F293" s="3" t="s">
        <v>526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 t="s">
        <v>6290</v>
      </c>
      <c r="D294" s="1">
        <v>42551</v>
      </c>
      <c r="E294" s="1">
        <v>42554</v>
      </c>
      <c r="F294" s="3" t="s">
        <v>526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 t="s">
        <v>6290</v>
      </c>
      <c r="D295" s="1">
        <v>42552</v>
      </c>
      <c r="E295" s="1">
        <v>42553</v>
      </c>
      <c r="F295" s="3" t="s">
        <v>526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 t="s">
        <v>6290</v>
      </c>
      <c r="D296" s="1">
        <v>42552</v>
      </c>
      <c r="E296" s="1">
        <v>42555</v>
      </c>
      <c r="F296" s="3" t="s">
        <v>527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 t="s">
        <v>6290</v>
      </c>
      <c r="D297" s="1">
        <v>42555</v>
      </c>
      <c r="E297" s="1">
        <v>42558</v>
      </c>
      <c r="F297" s="3" t="s">
        <v>528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 t="s">
        <v>6290</v>
      </c>
      <c r="D298" s="1">
        <v>42555</v>
      </c>
      <c r="E298" s="1">
        <v>42556</v>
      </c>
      <c r="F298" s="3" t="s">
        <v>528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 t="s">
        <v>6290</v>
      </c>
      <c r="D299" s="1">
        <v>42555</v>
      </c>
      <c r="E299" s="1">
        <v>42558</v>
      </c>
      <c r="F299" s="3" t="s">
        <v>529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 t="s">
        <v>6290</v>
      </c>
      <c r="D300" s="1">
        <v>42556</v>
      </c>
      <c r="E300" s="1">
        <v>42557</v>
      </c>
      <c r="F300" s="3" t="s">
        <v>529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 t="s">
        <v>6290</v>
      </c>
      <c r="D301" s="1">
        <v>42556</v>
      </c>
      <c r="E301" s="1">
        <v>42559</v>
      </c>
      <c r="F301" s="3" t="s">
        <v>530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 t="s">
        <v>6290</v>
      </c>
      <c r="D302" s="1">
        <v>42557</v>
      </c>
      <c r="E302" s="1">
        <v>42560</v>
      </c>
      <c r="F302" s="3" t="s">
        <v>530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 t="s">
        <v>6290</v>
      </c>
      <c r="D303" s="1">
        <v>42557</v>
      </c>
      <c r="E303" s="1">
        <v>42558</v>
      </c>
      <c r="F303" s="3" t="s">
        <v>531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 t="s">
        <v>6290</v>
      </c>
      <c r="D304" s="1">
        <v>42558</v>
      </c>
      <c r="E304" s="1">
        <v>42559</v>
      </c>
      <c r="F304" s="3" t="s">
        <v>531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 t="s">
        <v>6290</v>
      </c>
      <c r="D305" s="1">
        <v>42558</v>
      </c>
      <c r="E305" s="1">
        <v>42559</v>
      </c>
      <c r="F305" s="3" t="s">
        <v>530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 t="s">
        <v>6290</v>
      </c>
      <c r="D306" s="1">
        <v>42558</v>
      </c>
      <c r="E306" s="1">
        <v>42559</v>
      </c>
      <c r="F306" s="3" t="s">
        <v>530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 t="s">
        <v>6290</v>
      </c>
      <c r="D307" s="1">
        <v>42560</v>
      </c>
      <c r="E307" s="1">
        <v>42561</v>
      </c>
      <c r="F307" s="3" t="s">
        <v>532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 t="s">
        <v>6290</v>
      </c>
      <c r="D308" s="1">
        <v>42560</v>
      </c>
      <c r="E308" s="1">
        <v>42562</v>
      </c>
      <c r="F308" s="3" t="s">
        <v>533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 t="s">
        <v>6290</v>
      </c>
      <c r="D309" s="1">
        <v>42562</v>
      </c>
      <c r="E309" s="1">
        <v>42563</v>
      </c>
      <c r="F309" s="3" t="s">
        <v>534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 t="s">
        <v>6290</v>
      </c>
      <c r="D310" s="1">
        <v>42562</v>
      </c>
      <c r="E310" s="1">
        <v>42564</v>
      </c>
      <c r="F310" s="3" t="s">
        <v>535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 t="s">
        <v>6290</v>
      </c>
      <c r="D311" s="1">
        <v>42563</v>
      </c>
      <c r="E311" s="1">
        <v>42564</v>
      </c>
      <c r="F311" s="3" t="s">
        <v>535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 t="s">
        <v>6290</v>
      </c>
      <c r="D312" s="1">
        <v>42563</v>
      </c>
      <c r="E312" s="1">
        <v>42565</v>
      </c>
      <c r="F312" s="3" t="s">
        <v>535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 t="s">
        <v>6290</v>
      </c>
      <c r="D313" s="1">
        <v>42564</v>
      </c>
      <c r="E313" s="1">
        <v>42566</v>
      </c>
      <c r="F313" s="3" t="s">
        <v>536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 t="s">
        <v>6290</v>
      </c>
      <c r="D314" s="1">
        <v>42565</v>
      </c>
      <c r="E314" s="1">
        <v>42566</v>
      </c>
      <c r="F314" s="3" t="s">
        <v>537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 t="s">
        <v>6290</v>
      </c>
      <c r="D315" s="1">
        <v>42566</v>
      </c>
      <c r="E315" s="1">
        <v>42568</v>
      </c>
      <c r="F315" s="3" t="s">
        <v>538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 t="s">
        <v>6290</v>
      </c>
      <c r="D316" s="1">
        <v>42567</v>
      </c>
      <c r="E316" s="1">
        <v>42570</v>
      </c>
      <c r="F316" s="3" t="s">
        <v>538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 t="s">
        <v>6290</v>
      </c>
      <c r="D317" s="1">
        <v>42568</v>
      </c>
      <c r="E317" s="1">
        <v>42571</v>
      </c>
      <c r="F317" s="3" t="s">
        <v>539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 t="s">
        <v>6290</v>
      </c>
      <c r="D318" s="1">
        <v>42568</v>
      </c>
      <c r="E318" s="1">
        <v>42571</v>
      </c>
      <c r="F318" s="3" t="s">
        <v>539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 t="s">
        <v>6290</v>
      </c>
      <c r="D319" s="1">
        <v>42568</v>
      </c>
      <c r="E319" s="1">
        <v>42570</v>
      </c>
      <c r="F319" s="3" t="s">
        <v>540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 t="s">
        <v>6290</v>
      </c>
      <c r="D320" s="1">
        <v>42569</v>
      </c>
      <c r="E320" s="1">
        <v>42572</v>
      </c>
      <c r="F320" s="3" t="s">
        <v>541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 t="s">
        <v>6290</v>
      </c>
      <c r="D321" s="1">
        <v>42570</v>
      </c>
      <c r="E321" s="1">
        <v>42571</v>
      </c>
      <c r="F321" s="3" t="s">
        <v>541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 t="s">
        <v>6290</v>
      </c>
      <c r="D322" s="1">
        <v>42570</v>
      </c>
      <c r="E322" s="1">
        <v>42573</v>
      </c>
      <c r="F322" s="3" t="s">
        <v>541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 t="s">
        <v>6290</v>
      </c>
      <c r="D323" s="1">
        <v>42570</v>
      </c>
      <c r="E323" s="1">
        <v>42573</v>
      </c>
      <c r="F323" s="3" t="s">
        <v>540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 t="s">
        <v>6290</v>
      </c>
      <c r="D324" s="1">
        <v>42570</v>
      </c>
      <c r="E324" s="1">
        <v>42573</v>
      </c>
      <c r="F324" s="3" t="s">
        <v>541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 t="s">
        <v>6290</v>
      </c>
      <c r="D325" s="1">
        <v>42571</v>
      </c>
      <c r="E325" s="1">
        <v>42573</v>
      </c>
      <c r="F325" s="3" t="s">
        <v>542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 t="s">
        <v>6290</v>
      </c>
      <c r="D326" s="1">
        <v>42571</v>
      </c>
      <c r="E326" s="1">
        <v>42572</v>
      </c>
      <c r="F326" s="3" t="s">
        <v>541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 t="s">
        <v>6290</v>
      </c>
      <c r="D327" s="1">
        <v>42571</v>
      </c>
      <c r="E327" s="1">
        <v>42572</v>
      </c>
      <c r="F327" s="3" t="s">
        <v>543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 t="s">
        <v>6290</v>
      </c>
      <c r="D328" s="1">
        <v>42572</v>
      </c>
      <c r="E328" s="1">
        <v>42575</v>
      </c>
      <c r="F328" s="3" t="s">
        <v>543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 t="s">
        <v>6290</v>
      </c>
      <c r="D329" s="1">
        <v>42574</v>
      </c>
      <c r="E329" s="1">
        <v>42577</v>
      </c>
      <c r="F329" s="3" t="s">
        <v>544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 t="s">
        <v>6290</v>
      </c>
      <c r="D330" s="1">
        <v>42575</v>
      </c>
      <c r="E330" s="1">
        <v>42578</v>
      </c>
      <c r="F330" s="3" t="s">
        <v>545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 t="s">
        <v>6290</v>
      </c>
      <c r="D331" s="1">
        <v>42575</v>
      </c>
      <c r="E331" s="1">
        <v>42578</v>
      </c>
      <c r="F331" s="3" t="s">
        <v>546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 t="s">
        <v>6290</v>
      </c>
      <c r="D332" s="1">
        <v>42575</v>
      </c>
      <c r="E332" s="1">
        <v>42577</v>
      </c>
      <c r="F332" s="3" t="s">
        <v>544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 t="s">
        <v>6290</v>
      </c>
      <c r="D333" s="1">
        <v>42575</v>
      </c>
      <c r="E333" s="1">
        <v>42577</v>
      </c>
      <c r="F333" s="3" t="s">
        <v>545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 t="s">
        <v>6290</v>
      </c>
      <c r="D334" s="1">
        <v>42576</v>
      </c>
      <c r="E334" s="1">
        <v>42578</v>
      </c>
      <c r="F334" s="3" t="s">
        <v>545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 t="s">
        <v>6290</v>
      </c>
      <c r="D335" s="1">
        <v>42576</v>
      </c>
      <c r="E335" s="1">
        <v>42579</v>
      </c>
      <c r="F335" s="3" t="s">
        <v>546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 t="s">
        <v>6290</v>
      </c>
      <c r="D336" s="1">
        <v>42576</v>
      </c>
      <c r="E336" s="1">
        <v>42578</v>
      </c>
      <c r="F336" s="3" t="s">
        <v>545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 t="s">
        <v>6290</v>
      </c>
      <c r="D337" s="1">
        <v>42577</v>
      </c>
      <c r="E337" s="1">
        <v>42580</v>
      </c>
      <c r="F337" s="3" t="s">
        <v>546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 t="s">
        <v>6290</v>
      </c>
      <c r="D338" s="1">
        <v>42577</v>
      </c>
      <c r="E338" s="1">
        <v>42578</v>
      </c>
      <c r="F338" s="3" t="s">
        <v>547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 t="s">
        <v>6290</v>
      </c>
      <c r="D339" s="1">
        <v>42579</v>
      </c>
      <c r="E339" s="1">
        <v>42580</v>
      </c>
      <c r="F339" s="3" t="s">
        <v>548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 t="s">
        <v>6290</v>
      </c>
      <c r="D340" s="1">
        <v>42579</v>
      </c>
      <c r="E340" s="1">
        <v>42582</v>
      </c>
      <c r="F340" s="3" t="s">
        <v>549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 t="s">
        <v>6290</v>
      </c>
      <c r="D341" s="1">
        <v>42580</v>
      </c>
      <c r="E341" s="1">
        <v>42581</v>
      </c>
      <c r="F341" s="3" t="s">
        <v>550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 t="s">
        <v>6290</v>
      </c>
      <c r="D342" s="1">
        <v>42582</v>
      </c>
      <c r="E342" s="1">
        <v>42585</v>
      </c>
      <c r="F342" s="3" t="s">
        <v>551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 t="s">
        <v>6290</v>
      </c>
      <c r="D343" s="1">
        <v>42582</v>
      </c>
      <c r="E343" s="1">
        <v>42583</v>
      </c>
      <c r="F343" s="3" t="s">
        <v>552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 t="s">
        <v>6290</v>
      </c>
      <c r="D344" s="1">
        <v>42582</v>
      </c>
      <c r="E344" s="1">
        <v>42584</v>
      </c>
      <c r="F344" s="3" t="s">
        <v>551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 t="s">
        <v>6290</v>
      </c>
      <c r="D345" s="1">
        <v>42583</v>
      </c>
      <c r="E345" s="1">
        <v>42585</v>
      </c>
      <c r="F345" s="3" t="s">
        <v>553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 t="s">
        <v>6290</v>
      </c>
      <c r="D346" s="1">
        <v>42583</v>
      </c>
      <c r="E346" s="1">
        <v>42586</v>
      </c>
      <c r="F346" s="3" t="s">
        <v>552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 t="s">
        <v>6290</v>
      </c>
      <c r="D347" s="1">
        <v>42583</v>
      </c>
      <c r="E347" s="1">
        <v>42585</v>
      </c>
      <c r="F347" s="3" t="s">
        <v>553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 t="s">
        <v>6290</v>
      </c>
      <c r="D348" s="1">
        <v>42584</v>
      </c>
      <c r="E348" s="1">
        <v>42585</v>
      </c>
      <c r="F348" s="3" t="s">
        <v>554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 t="s">
        <v>6290</v>
      </c>
      <c r="D349" s="1">
        <v>42584</v>
      </c>
      <c r="E349" s="1">
        <v>42587</v>
      </c>
      <c r="F349" s="3" t="s">
        <v>555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 t="s">
        <v>6291</v>
      </c>
      <c r="D350" s="1">
        <v>42585</v>
      </c>
      <c r="E350" s="1">
        <v>42585</v>
      </c>
      <c r="F350" s="3">
        <f>orders___orders[[#This Row],[order_date]]+3</f>
        <v>42588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 t="s">
        <v>6291</v>
      </c>
      <c r="D351" s="1">
        <v>42585</v>
      </c>
      <c r="E351" s="1">
        <v>42585</v>
      </c>
      <c r="F351" s="3">
        <f>orders___orders[[#This Row],[order_date]]+3</f>
        <v>42588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 t="s">
        <v>6290</v>
      </c>
      <c r="D352" s="1">
        <v>42585</v>
      </c>
      <c r="E352" s="1">
        <v>42588</v>
      </c>
      <c r="F352" s="3" t="s">
        <v>555</v>
      </c>
      <c r="G352">
        <v>1</v>
      </c>
      <c r="H352">
        <v>2</v>
      </c>
    </row>
    <row r="353" spans="1:11" x14ac:dyDescent="0.3">
      <c r="A353">
        <v>352</v>
      </c>
      <c r="B353">
        <v>16</v>
      </c>
      <c r="C353" t="s">
        <v>6290</v>
      </c>
      <c r="D353" s="1">
        <v>42585</v>
      </c>
      <c r="E353" s="1">
        <v>42586</v>
      </c>
      <c r="F353" s="3" t="s">
        <v>556</v>
      </c>
      <c r="G353">
        <v>2</v>
      </c>
      <c r="H353">
        <v>7</v>
      </c>
    </row>
    <row r="354" spans="1:11" x14ac:dyDescent="0.3">
      <c r="A354">
        <v>353</v>
      </c>
      <c r="B354">
        <v>1387</v>
      </c>
      <c r="C354" t="s">
        <v>6290</v>
      </c>
      <c r="D354" s="1">
        <v>42585</v>
      </c>
      <c r="E354" s="1">
        <v>42588</v>
      </c>
      <c r="F354" s="3" t="s">
        <v>556</v>
      </c>
      <c r="G354">
        <v>2</v>
      </c>
      <c r="H354">
        <v>7</v>
      </c>
    </row>
    <row r="355" spans="1:11" x14ac:dyDescent="0.3">
      <c r="A355">
        <v>354</v>
      </c>
      <c r="B355">
        <v>551</v>
      </c>
      <c r="C355" t="s">
        <v>6290</v>
      </c>
      <c r="D355" s="1">
        <v>42585</v>
      </c>
      <c r="E355" s="1">
        <v>42587</v>
      </c>
      <c r="F355" s="3" t="s">
        <v>556</v>
      </c>
      <c r="G355">
        <v>3</v>
      </c>
      <c r="H355">
        <v>8</v>
      </c>
    </row>
    <row r="356" spans="1:11" x14ac:dyDescent="0.3">
      <c r="A356">
        <v>355</v>
      </c>
      <c r="B356">
        <v>1011</v>
      </c>
      <c r="C356" t="s">
        <v>6290</v>
      </c>
      <c r="D356" s="1">
        <v>42585</v>
      </c>
      <c r="E356" s="1">
        <v>42587</v>
      </c>
      <c r="F356" s="3" t="s">
        <v>554</v>
      </c>
      <c r="G356">
        <v>3</v>
      </c>
      <c r="H356">
        <v>8</v>
      </c>
    </row>
    <row r="357" spans="1:11" x14ac:dyDescent="0.3">
      <c r="A357">
        <v>356</v>
      </c>
      <c r="B357">
        <v>1189</v>
      </c>
      <c r="C357" t="s">
        <v>6290</v>
      </c>
      <c r="D357" s="1">
        <v>42586</v>
      </c>
      <c r="E357" s="1">
        <v>42589</v>
      </c>
      <c r="F357" s="3" t="s">
        <v>556</v>
      </c>
      <c r="G357">
        <v>2</v>
      </c>
      <c r="H357">
        <v>6</v>
      </c>
    </row>
    <row r="358" spans="1:11" x14ac:dyDescent="0.3">
      <c r="A358">
        <v>357</v>
      </c>
      <c r="B358">
        <v>14</v>
      </c>
      <c r="C358" t="s">
        <v>6291</v>
      </c>
      <c r="D358" s="1">
        <v>42587</v>
      </c>
      <c r="E358" s="1">
        <v>42587</v>
      </c>
      <c r="F358" s="3">
        <f>orders___orders[[#This Row],[order_date]]+3</f>
        <v>42590</v>
      </c>
      <c r="G358">
        <v>3</v>
      </c>
      <c r="H358">
        <v>8</v>
      </c>
      <c r="K358" t="s">
        <v>6292</v>
      </c>
    </row>
    <row r="359" spans="1:11" x14ac:dyDescent="0.3">
      <c r="A359">
        <v>358</v>
      </c>
      <c r="B359">
        <v>1042</v>
      </c>
      <c r="C359" t="s">
        <v>6290</v>
      </c>
      <c r="D359" s="1">
        <v>42587</v>
      </c>
      <c r="E359" s="1">
        <v>42589</v>
      </c>
      <c r="F359" s="3" t="s">
        <v>557</v>
      </c>
      <c r="G359">
        <v>2</v>
      </c>
      <c r="H359">
        <v>7</v>
      </c>
    </row>
    <row r="360" spans="1:11" x14ac:dyDescent="0.3">
      <c r="A360">
        <v>359</v>
      </c>
      <c r="B360">
        <v>441</v>
      </c>
      <c r="C360" t="s">
        <v>6290</v>
      </c>
      <c r="D360" s="1">
        <v>42589</v>
      </c>
      <c r="E360" s="1">
        <v>42592</v>
      </c>
      <c r="F360" s="3" t="s">
        <v>558</v>
      </c>
      <c r="G360">
        <v>2</v>
      </c>
      <c r="H360">
        <v>7</v>
      </c>
    </row>
    <row r="361" spans="1:11" x14ac:dyDescent="0.3">
      <c r="A361">
        <v>360</v>
      </c>
      <c r="B361">
        <v>1300</v>
      </c>
      <c r="C361" t="s">
        <v>6290</v>
      </c>
      <c r="D361" s="1">
        <v>42589</v>
      </c>
      <c r="E361" s="1">
        <v>42591</v>
      </c>
      <c r="F361" s="3" t="s">
        <v>558</v>
      </c>
      <c r="G361">
        <v>2</v>
      </c>
      <c r="H361">
        <v>6</v>
      </c>
    </row>
    <row r="362" spans="1:11" x14ac:dyDescent="0.3">
      <c r="A362">
        <v>361</v>
      </c>
      <c r="B362">
        <v>994</v>
      </c>
      <c r="C362" t="s">
        <v>6290</v>
      </c>
      <c r="D362" s="1">
        <v>42590</v>
      </c>
      <c r="E362" s="1">
        <v>42591</v>
      </c>
      <c r="F362" s="3" t="s">
        <v>559</v>
      </c>
      <c r="G362">
        <v>2</v>
      </c>
      <c r="H362">
        <v>6</v>
      </c>
    </row>
    <row r="363" spans="1:11" x14ac:dyDescent="0.3">
      <c r="A363">
        <v>362</v>
      </c>
      <c r="B363">
        <v>187</v>
      </c>
      <c r="C363" t="s">
        <v>6290</v>
      </c>
      <c r="D363" s="1">
        <v>42591</v>
      </c>
      <c r="E363" s="1">
        <v>42593</v>
      </c>
      <c r="F363" s="3" t="s">
        <v>559</v>
      </c>
      <c r="G363">
        <v>1</v>
      </c>
      <c r="H363">
        <v>2</v>
      </c>
    </row>
    <row r="364" spans="1:11" x14ac:dyDescent="0.3">
      <c r="A364">
        <v>363</v>
      </c>
      <c r="B364">
        <v>834</v>
      </c>
      <c r="C364" t="s">
        <v>6290</v>
      </c>
      <c r="D364" s="1">
        <v>42593</v>
      </c>
      <c r="E364" s="1">
        <v>42594</v>
      </c>
      <c r="F364" s="3" t="s">
        <v>560</v>
      </c>
      <c r="G364">
        <v>3</v>
      </c>
      <c r="H364">
        <v>8</v>
      </c>
    </row>
    <row r="365" spans="1:11" x14ac:dyDescent="0.3">
      <c r="A365">
        <v>364</v>
      </c>
      <c r="B365">
        <v>373</v>
      </c>
      <c r="C365" t="s">
        <v>6290</v>
      </c>
      <c r="D365" s="1">
        <v>42594</v>
      </c>
      <c r="E365" s="1">
        <v>42596</v>
      </c>
      <c r="F365" s="3" t="s">
        <v>560</v>
      </c>
      <c r="G365">
        <v>2</v>
      </c>
      <c r="H365">
        <v>6</v>
      </c>
    </row>
    <row r="366" spans="1:11" x14ac:dyDescent="0.3">
      <c r="A366">
        <v>365</v>
      </c>
      <c r="B366">
        <v>981</v>
      </c>
      <c r="C366" t="s">
        <v>6290</v>
      </c>
      <c r="D366" s="1">
        <v>42595</v>
      </c>
      <c r="E366" s="1">
        <v>42596</v>
      </c>
      <c r="F366" s="3" t="s">
        <v>561</v>
      </c>
      <c r="G366">
        <v>2</v>
      </c>
      <c r="H366">
        <v>6</v>
      </c>
    </row>
    <row r="367" spans="1:11" x14ac:dyDescent="0.3">
      <c r="A367">
        <v>366</v>
      </c>
      <c r="B367">
        <v>1054</v>
      </c>
      <c r="C367" t="s">
        <v>6290</v>
      </c>
      <c r="D367" s="1">
        <v>42595</v>
      </c>
      <c r="E367" s="1">
        <v>42596</v>
      </c>
      <c r="F367" s="3" t="s">
        <v>562</v>
      </c>
      <c r="G367">
        <v>3</v>
      </c>
      <c r="H367">
        <v>9</v>
      </c>
    </row>
    <row r="368" spans="1:11" x14ac:dyDescent="0.3">
      <c r="A368">
        <v>367</v>
      </c>
      <c r="B368">
        <v>527</v>
      </c>
      <c r="C368" t="s">
        <v>6290</v>
      </c>
      <c r="D368" s="1">
        <v>42596</v>
      </c>
      <c r="E368" s="1">
        <v>42597</v>
      </c>
      <c r="F368" s="3" t="s">
        <v>561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 t="s">
        <v>6290</v>
      </c>
      <c r="D369" s="1">
        <v>42596</v>
      </c>
      <c r="E369" s="1">
        <v>42597</v>
      </c>
      <c r="F369" s="3" t="s">
        <v>563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 t="s">
        <v>6290</v>
      </c>
      <c r="D370" s="1">
        <v>42597</v>
      </c>
      <c r="E370" s="1">
        <v>42600</v>
      </c>
      <c r="F370" s="3" t="s">
        <v>564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 t="s">
        <v>6290</v>
      </c>
      <c r="D371" s="1">
        <v>42597</v>
      </c>
      <c r="E371" s="1">
        <v>42600</v>
      </c>
      <c r="F371" s="3" t="s">
        <v>564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 t="s">
        <v>6290</v>
      </c>
      <c r="D372" s="1">
        <v>42597</v>
      </c>
      <c r="E372" s="1">
        <v>42598</v>
      </c>
      <c r="F372" s="3" t="s">
        <v>564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 t="s">
        <v>6290</v>
      </c>
      <c r="D373" s="1">
        <v>42598</v>
      </c>
      <c r="E373" s="1">
        <v>42600</v>
      </c>
      <c r="F373" s="3" t="s">
        <v>564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 t="s">
        <v>6290</v>
      </c>
      <c r="D374" s="1">
        <v>42598</v>
      </c>
      <c r="E374" s="1">
        <v>42601</v>
      </c>
      <c r="F374" s="3" t="s">
        <v>563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 t="s">
        <v>6290</v>
      </c>
      <c r="D375" s="1">
        <v>42599</v>
      </c>
      <c r="E375" s="1">
        <v>42601</v>
      </c>
      <c r="F375" s="3" t="s">
        <v>564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 t="s">
        <v>6290</v>
      </c>
      <c r="D376" s="1">
        <v>42599</v>
      </c>
      <c r="E376" s="1">
        <v>42602</v>
      </c>
      <c r="F376" s="3" t="s">
        <v>565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 t="s">
        <v>6290</v>
      </c>
      <c r="D377" s="1">
        <v>42599</v>
      </c>
      <c r="E377" s="1">
        <v>42601</v>
      </c>
      <c r="F377" s="3" t="s">
        <v>564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 t="s">
        <v>6290</v>
      </c>
      <c r="D378" s="1">
        <v>42599</v>
      </c>
      <c r="E378" s="1">
        <v>42601</v>
      </c>
      <c r="F378" s="3" t="s">
        <v>565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 t="s">
        <v>6290</v>
      </c>
      <c r="D379" s="1">
        <v>42599</v>
      </c>
      <c r="E379" s="1">
        <v>42602</v>
      </c>
      <c r="F379" s="3" t="s">
        <v>565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 t="s">
        <v>6290</v>
      </c>
      <c r="D380" s="1">
        <v>42600</v>
      </c>
      <c r="E380" s="1">
        <v>42603</v>
      </c>
      <c r="F380" s="3" t="s">
        <v>566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 t="s">
        <v>6290</v>
      </c>
      <c r="D381" s="1">
        <v>42601</v>
      </c>
      <c r="E381" s="1">
        <v>42602</v>
      </c>
      <c r="F381" s="3" t="s">
        <v>566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 t="s">
        <v>6290</v>
      </c>
      <c r="D382" s="1">
        <v>42601</v>
      </c>
      <c r="E382" s="1">
        <v>42603</v>
      </c>
      <c r="F382" s="3" t="s">
        <v>566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 t="s">
        <v>6290</v>
      </c>
      <c r="D383" s="1">
        <v>42602</v>
      </c>
      <c r="E383" s="1">
        <v>42605</v>
      </c>
      <c r="F383" s="3" t="s">
        <v>567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 t="s">
        <v>6290</v>
      </c>
      <c r="D384" s="1">
        <v>42602</v>
      </c>
      <c r="E384" s="1">
        <v>42605</v>
      </c>
      <c r="F384" s="3" t="s">
        <v>568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 t="s">
        <v>6290</v>
      </c>
      <c r="D385" s="1">
        <v>42602</v>
      </c>
      <c r="E385" s="1">
        <v>42604</v>
      </c>
      <c r="F385" s="3" t="s">
        <v>567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 t="s">
        <v>6290</v>
      </c>
      <c r="D386" s="1">
        <v>42602</v>
      </c>
      <c r="E386" s="1">
        <v>42605</v>
      </c>
      <c r="F386" s="3" t="s">
        <v>568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 t="s">
        <v>6290</v>
      </c>
      <c r="D387" s="1">
        <v>42602</v>
      </c>
      <c r="E387" s="1">
        <v>42605</v>
      </c>
      <c r="F387" s="3" t="s">
        <v>567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 t="s">
        <v>6290</v>
      </c>
      <c r="D388" s="1">
        <v>42602</v>
      </c>
      <c r="E388" s="1">
        <v>42603</v>
      </c>
      <c r="F388" s="3" t="s">
        <v>566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 t="s">
        <v>6290</v>
      </c>
      <c r="D389" s="1">
        <v>42603</v>
      </c>
      <c r="E389" s="1">
        <v>42606</v>
      </c>
      <c r="F389" s="3" t="s">
        <v>567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 t="s">
        <v>6290</v>
      </c>
      <c r="D390" s="1">
        <v>42604</v>
      </c>
      <c r="E390" s="1">
        <v>42606</v>
      </c>
      <c r="F390" s="3" t="s">
        <v>569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 t="s">
        <v>6290</v>
      </c>
      <c r="D391" s="1">
        <v>42604</v>
      </c>
      <c r="E391" s="1">
        <v>42606</v>
      </c>
      <c r="F391" s="3" t="s">
        <v>569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 t="s">
        <v>6291</v>
      </c>
      <c r="D392" s="1">
        <v>42605</v>
      </c>
      <c r="E392" s="1">
        <v>42605</v>
      </c>
      <c r="F392" s="3">
        <f>orders___orders[[#This Row],[order_date]]+3</f>
        <v>42608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 t="s">
        <v>6290</v>
      </c>
      <c r="D393" s="1">
        <v>42605</v>
      </c>
      <c r="E393" s="1">
        <v>42608</v>
      </c>
      <c r="F393" s="3" t="s">
        <v>570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 t="s">
        <v>6290</v>
      </c>
      <c r="D394" s="1">
        <v>42607</v>
      </c>
      <c r="E394" s="1">
        <v>42608</v>
      </c>
      <c r="F394" s="3" t="s">
        <v>571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 t="s">
        <v>6290</v>
      </c>
      <c r="D395" s="1">
        <v>42608</v>
      </c>
      <c r="E395" s="1">
        <v>42610</v>
      </c>
      <c r="F395" s="3" t="s">
        <v>572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 t="s">
        <v>6290</v>
      </c>
      <c r="D396" s="1">
        <v>42608</v>
      </c>
      <c r="E396" s="1">
        <v>42609</v>
      </c>
      <c r="F396" s="3" t="s">
        <v>572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 t="s">
        <v>6290</v>
      </c>
      <c r="D397" s="1">
        <v>42609</v>
      </c>
      <c r="E397" s="1">
        <v>42612</v>
      </c>
      <c r="F397" s="3" t="s">
        <v>572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 t="s">
        <v>6290</v>
      </c>
      <c r="D398" s="1">
        <v>42610</v>
      </c>
      <c r="E398" s="1">
        <v>42613</v>
      </c>
      <c r="F398" s="3" t="s">
        <v>572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 t="s">
        <v>6290</v>
      </c>
      <c r="D399" s="1">
        <v>42611</v>
      </c>
      <c r="E399" s="1">
        <v>42612</v>
      </c>
      <c r="F399" s="3" t="s">
        <v>573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 t="s">
        <v>6290</v>
      </c>
      <c r="D400" s="1">
        <v>42611</v>
      </c>
      <c r="E400" s="1">
        <v>42614</v>
      </c>
      <c r="F400" s="3" t="s">
        <v>573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 t="s">
        <v>6290</v>
      </c>
      <c r="D401" s="1">
        <v>42611</v>
      </c>
      <c r="E401" s="1">
        <v>42612</v>
      </c>
      <c r="F401" s="3" t="s">
        <v>574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 t="s">
        <v>6290</v>
      </c>
      <c r="D402" s="1">
        <v>42612</v>
      </c>
      <c r="E402" s="1">
        <v>42615</v>
      </c>
      <c r="F402" s="3" t="s">
        <v>573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 t="s">
        <v>6290</v>
      </c>
      <c r="D403" s="1">
        <v>42612</v>
      </c>
      <c r="E403" s="1">
        <v>42614</v>
      </c>
      <c r="F403" s="3" t="s">
        <v>574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 t="s">
        <v>6290</v>
      </c>
      <c r="D404" s="1">
        <v>42613</v>
      </c>
      <c r="E404" s="1">
        <v>42614</v>
      </c>
      <c r="F404" s="3" t="s">
        <v>575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 t="s">
        <v>6290</v>
      </c>
      <c r="D405" s="1">
        <v>42613</v>
      </c>
      <c r="E405" s="1">
        <v>42616</v>
      </c>
      <c r="F405" s="3" t="s">
        <v>573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 t="s">
        <v>6290</v>
      </c>
      <c r="D406" s="1">
        <v>42613</v>
      </c>
      <c r="E406" s="1">
        <v>42614</v>
      </c>
      <c r="F406" s="3" t="s">
        <v>573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 t="s">
        <v>6290</v>
      </c>
      <c r="D407" s="1">
        <v>42613</v>
      </c>
      <c r="E407" s="1">
        <v>42615</v>
      </c>
      <c r="F407" s="3" t="s">
        <v>573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 t="s">
        <v>6291</v>
      </c>
      <c r="D408" s="1">
        <v>42614</v>
      </c>
      <c r="E408" s="1">
        <v>42614</v>
      </c>
      <c r="F408" s="3">
        <f>orders___orders[[#This Row],[order_date]]+3</f>
        <v>42617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 t="s">
        <v>6290</v>
      </c>
      <c r="D409" s="1">
        <v>42614</v>
      </c>
      <c r="E409" s="1">
        <v>42615</v>
      </c>
      <c r="F409" s="3" t="s">
        <v>575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 t="s">
        <v>6290</v>
      </c>
      <c r="D410" s="1">
        <v>42614</v>
      </c>
      <c r="E410" s="1">
        <v>42617</v>
      </c>
      <c r="F410" s="3" t="s">
        <v>576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 t="s">
        <v>6290</v>
      </c>
      <c r="D411" s="1">
        <v>42614</v>
      </c>
      <c r="E411" s="1">
        <v>42616</v>
      </c>
      <c r="F411" s="3" t="s">
        <v>575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 t="s">
        <v>6290</v>
      </c>
      <c r="D412" s="1">
        <v>42615</v>
      </c>
      <c r="E412" s="1">
        <v>42617</v>
      </c>
      <c r="F412" s="3" t="s">
        <v>576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 t="s">
        <v>6290</v>
      </c>
      <c r="D413" s="1">
        <v>42615</v>
      </c>
      <c r="E413" s="1">
        <v>42617</v>
      </c>
      <c r="F413" s="3" t="s">
        <v>576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 t="s">
        <v>6290</v>
      </c>
      <c r="D414" s="1">
        <v>42615</v>
      </c>
      <c r="E414" s="1">
        <v>42618</v>
      </c>
      <c r="F414" s="3" t="s">
        <v>577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 t="s">
        <v>6290</v>
      </c>
      <c r="D415" s="1">
        <v>42616</v>
      </c>
      <c r="E415" s="1">
        <v>42619</v>
      </c>
      <c r="F415" s="3" t="s">
        <v>578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 t="s">
        <v>6290</v>
      </c>
      <c r="D416" s="1">
        <v>42616</v>
      </c>
      <c r="E416" s="1">
        <v>42619</v>
      </c>
      <c r="F416" s="3" t="s">
        <v>578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 t="s">
        <v>6290</v>
      </c>
      <c r="D417" s="1">
        <v>42616</v>
      </c>
      <c r="E417" s="1">
        <v>42617</v>
      </c>
      <c r="F417" s="3" t="s">
        <v>578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 t="s">
        <v>6290</v>
      </c>
      <c r="D418" s="1">
        <v>42617</v>
      </c>
      <c r="E418" s="1">
        <v>42618</v>
      </c>
      <c r="F418" s="3" t="s">
        <v>578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 t="s">
        <v>6290</v>
      </c>
      <c r="D419" s="1">
        <v>42617</v>
      </c>
      <c r="E419" s="1">
        <v>42618</v>
      </c>
      <c r="F419" s="3" t="s">
        <v>579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 t="s">
        <v>6290</v>
      </c>
      <c r="D420" s="1">
        <v>42617</v>
      </c>
      <c r="E420" s="1">
        <v>42620</v>
      </c>
      <c r="F420" s="3" t="s">
        <v>578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 t="s">
        <v>6290</v>
      </c>
      <c r="D421" s="1">
        <v>42618</v>
      </c>
      <c r="E421" s="1">
        <v>42619</v>
      </c>
      <c r="F421" s="3" t="s">
        <v>580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 t="s">
        <v>6290</v>
      </c>
      <c r="D422" s="1">
        <v>42618</v>
      </c>
      <c r="E422" s="1">
        <v>42619</v>
      </c>
      <c r="F422" s="3" t="s">
        <v>581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 t="s">
        <v>6290</v>
      </c>
      <c r="D423" s="1">
        <v>42619</v>
      </c>
      <c r="E423" s="1">
        <v>42620</v>
      </c>
      <c r="F423" s="3" t="s">
        <v>582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 t="s">
        <v>6290</v>
      </c>
      <c r="D424" s="1">
        <v>42619</v>
      </c>
      <c r="E424" s="1">
        <v>42622</v>
      </c>
      <c r="F424" s="3" t="s">
        <v>582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 t="s">
        <v>6290</v>
      </c>
      <c r="D425" s="1">
        <v>42621</v>
      </c>
      <c r="E425" s="1">
        <v>42624</v>
      </c>
      <c r="F425" s="3" t="s">
        <v>583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 t="s">
        <v>6290</v>
      </c>
      <c r="D426" s="1">
        <v>42621</v>
      </c>
      <c r="E426" s="1">
        <v>42624</v>
      </c>
      <c r="F426" s="3" t="s">
        <v>583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 t="s">
        <v>6290</v>
      </c>
      <c r="D427" s="1">
        <v>42621</v>
      </c>
      <c r="E427" s="1">
        <v>42623</v>
      </c>
      <c r="F427" s="3" t="s">
        <v>584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 t="s">
        <v>6290</v>
      </c>
      <c r="D428" s="1">
        <v>42622</v>
      </c>
      <c r="E428" s="1">
        <v>42623</v>
      </c>
      <c r="F428" s="3" t="s">
        <v>583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 t="s">
        <v>6290</v>
      </c>
      <c r="D429" s="1">
        <v>42622</v>
      </c>
      <c r="E429" s="1">
        <v>42625</v>
      </c>
      <c r="F429" s="3" t="s">
        <v>584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 t="s">
        <v>6290</v>
      </c>
      <c r="D430" s="1">
        <v>42623</v>
      </c>
      <c r="E430" s="1">
        <v>42625</v>
      </c>
      <c r="F430" s="3" t="s">
        <v>585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 t="s">
        <v>6290</v>
      </c>
      <c r="D431" s="1">
        <v>42624</v>
      </c>
      <c r="E431" s="1">
        <v>42626</v>
      </c>
      <c r="F431" s="3" t="s">
        <v>585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 t="s">
        <v>6290</v>
      </c>
      <c r="D432" s="1">
        <v>42624</v>
      </c>
      <c r="E432" s="1">
        <v>42625</v>
      </c>
      <c r="F432" s="3" t="s">
        <v>585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 t="s">
        <v>6290</v>
      </c>
      <c r="D433" s="1">
        <v>42625</v>
      </c>
      <c r="E433" s="1">
        <v>42628</v>
      </c>
      <c r="F433" s="3" t="s">
        <v>586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 t="s">
        <v>6290</v>
      </c>
      <c r="D434" s="1">
        <v>42625</v>
      </c>
      <c r="E434" s="1">
        <v>42628</v>
      </c>
      <c r="F434" s="3" t="s">
        <v>587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 t="s">
        <v>6290</v>
      </c>
      <c r="D435" s="1">
        <v>42626</v>
      </c>
      <c r="E435" s="1">
        <v>42628</v>
      </c>
      <c r="F435" s="3" t="s">
        <v>586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 t="s">
        <v>6290</v>
      </c>
      <c r="D436" s="1">
        <v>42627</v>
      </c>
      <c r="E436" s="1">
        <v>42628</v>
      </c>
      <c r="F436" s="3" t="s">
        <v>588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 t="s">
        <v>6290</v>
      </c>
      <c r="D437" s="1">
        <v>42629</v>
      </c>
      <c r="E437" s="1">
        <v>42632</v>
      </c>
      <c r="F437" s="3" t="s">
        <v>589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 t="s">
        <v>6290</v>
      </c>
      <c r="D438" s="1">
        <v>42629</v>
      </c>
      <c r="E438" s="1">
        <v>42631</v>
      </c>
      <c r="F438" s="3" t="s">
        <v>590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 t="s">
        <v>6290</v>
      </c>
      <c r="D439" s="1">
        <v>42629</v>
      </c>
      <c r="E439" s="1">
        <v>42632</v>
      </c>
      <c r="F439" s="3" t="s">
        <v>590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 t="s">
        <v>6290</v>
      </c>
      <c r="D440" s="1">
        <v>42630</v>
      </c>
      <c r="E440" s="1">
        <v>42633</v>
      </c>
      <c r="F440" s="3" t="s">
        <v>590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 t="s">
        <v>6290</v>
      </c>
      <c r="D441" s="1">
        <v>42630</v>
      </c>
      <c r="E441" s="1">
        <v>42631</v>
      </c>
      <c r="F441" s="3" t="s">
        <v>589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 t="s">
        <v>6290</v>
      </c>
      <c r="D442" s="1">
        <v>42631</v>
      </c>
      <c r="E442" s="1">
        <v>42632</v>
      </c>
      <c r="F442" s="3" t="s">
        <v>589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 t="s">
        <v>6290</v>
      </c>
      <c r="D443" s="1">
        <v>42631</v>
      </c>
      <c r="E443" s="1">
        <v>42634</v>
      </c>
      <c r="F443" s="3" t="s">
        <v>591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 t="s">
        <v>6290</v>
      </c>
      <c r="D444" s="1">
        <v>42631</v>
      </c>
      <c r="E444" s="1">
        <v>42632</v>
      </c>
      <c r="F444" s="3" t="s">
        <v>592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 t="s">
        <v>6290</v>
      </c>
      <c r="D445" s="1">
        <v>42632</v>
      </c>
      <c r="E445" s="1">
        <v>42633</v>
      </c>
      <c r="F445" s="3" t="s">
        <v>591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 t="s">
        <v>6290</v>
      </c>
      <c r="D446" s="1">
        <v>42632</v>
      </c>
      <c r="E446" s="1">
        <v>42635</v>
      </c>
      <c r="F446" s="3" t="s">
        <v>593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 t="s">
        <v>6290</v>
      </c>
      <c r="D447" s="1">
        <v>42632</v>
      </c>
      <c r="E447" s="1">
        <v>42634</v>
      </c>
      <c r="F447" s="3" t="s">
        <v>592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 t="s">
        <v>6290</v>
      </c>
      <c r="D448" s="1">
        <v>42633</v>
      </c>
      <c r="E448" s="1">
        <v>42636</v>
      </c>
      <c r="F448" s="3" t="s">
        <v>593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 t="s">
        <v>6290</v>
      </c>
      <c r="D449" s="1">
        <v>42634</v>
      </c>
      <c r="E449" s="1">
        <v>42635</v>
      </c>
      <c r="F449" s="3" t="s">
        <v>594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 t="s">
        <v>6290</v>
      </c>
      <c r="D450" s="1">
        <v>42634</v>
      </c>
      <c r="E450" s="1">
        <v>42637</v>
      </c>
      <c r="F450" s="3" t="s">
        <v>593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 t="s">
        <v>6290</v>
      </c>
      <c r="D451" s="1">
        <v>42634</v>
      </c>
      <c r="E451" s="1">
        <v>42637</v>
      </c>
      <c r="F451" s="3" t="s">
        <v>595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 t="s">
        <v>6290</v>
      </c>
      <c r="D452" s="1">
        <v>42634</v>
      </c>
      <c r="E452" s="1">
        <v>42636</v>
      </c>
      <c r="F452" s="3" t="s">
        <v>593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 t="s">
        <v>6290</v>
      </c>
      <c r="D453" s="1">
        <v>42635</v>
      </c>
      <c r="E453" s="1">
        <v>42636</v>
      </c>
      <c r="F453" s="3" t="s">
        <v>594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 t="s">
        <v>6290</v>
      </c>
      <c r="D454" s="1">
        <v>42635</v>
      </c>
      <c r="E454" s="1">
        <v>42637</v>
      </c>
      <c r="F454" s="3" t="s">
        <v>596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 t="s">
        <v>6290</v>
      </c>
      <c r="D455" s="1">
        <v>42636</v>
      </c>
      <c r="E455" s="1">
        <v>42638</v>
      </c>
      <c r="F455" s="3" t="s">
        <v>597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 t="s">
        <v>6290</v>
      </c>
      <c r="D456" s="1">
        <v>42636</v>
      </c>
      <c r="E456" s="1">
        <v>42637</v>
      </c>
      <c r="F456" s="3" t="s">
        <v>594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 t="s">
        <v>6290</v>
      </c>
      <c r="D457" s="1">
        <v>42636</v>
      </c>
      <c r="E457" s="1">
        <v>42639</v>
      </c>
      <c r="F457" s="3" t="s">
        <v>596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 t="s">
        <v>6290</v>
      </c>
      <c r="D458" s="1">
        <v>42637</v>
      </c>
      <c r="E458" s="1">
        <v>42640</v>
      </c>
      <c r="F458" s="3" t="s">
        <v>598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 t="s">
        <v>6290</v>
      </c>
      <c r="D459" s="1">
        <v>42638</v>
      </c>
      <c r="E459" s="1">
        <v>42641</v>
      </c>
      <c r="F459" s="3" t="s">
        <v>597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 t="s">
        <v>6290</v>
      </c>
      <c r="D460" s="1">
        <v>42638</v>
      </c>
      <c r="E460" s="1">
        <v>42641</v>
      </c>
      <c r="F460" s="3" t="s">
        <v>597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 t="s">
        <v>6290</v>
      </c>
      <c r="D461" s="1">
        <v>42638</v>
      </c>
      <c r="E461" s="1">
        <v>42640</v>
      </c>
      <c r="F461" s="3" t="s">
        <v>597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 t="s">
        <v>6290</v>
      </c>
      <c r="D462" s="1">
        <v>42639</v>
      </c>
      <c r="E462" s="1">
        <v>42640</v>
      </c>
      <c r="F462" s="3" t="s">
        <v>598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 t="s">
        <v>6290</v>
      </c>
      <c r="D463" s="1">
        <v>42640</v>
      </c>
      <c r="E463" s="1">
        <v>42641</v>
      </c>
      <c r="F463" s="3" t="s">
        <v>599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 t="s">
        <v>6290</v>
      </c>
      <c r="D464" s="1">
        <v>42640</v>
      </c>
      <c r="E464" s="1">
        <v>42641</v>
      </c>
      <c r="F464" s="3" t="s">
        <v>600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 t="s">
        <v>6290</v>
      </c>
      <c r="D465" s="1">
        <v>42641</v>
      </c>
      <c r="E465" s="1">
        <v>42643</v>
      </c>
      <c r="F465" s="3" t="s">
        <v>599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 t="s">
        <v>6290</v>
      </c>
      <c r="D466" s="1">
        <v>42641</v>
      </c>
      <c r="E466" s="1">
        <v>42644</v>
      </c>
      <c r="F466" s="3" t="s">
        <v>601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 t="s">
        <v>6290</v>
      </c>
      <c r="D467" s="1">
        <v>42641</v>
      </c>
      <c r="E467" s="1">
        <v>42642</v>
      </c>
      <c r="F467" s="3" t="s">
        <v>601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 t="s">
        <v>6290</v>
      </c>
      <c r="D468" s="1">
        <v>42641</v>
      </c>
      <c r="E468" s="1">
        <v>42643</v>
      </c>
      <c r="F468" s="3" t="s">
        <v>602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 t="s">
        <v>6290</v>
      </c>
      <c r="D469" s="1">
        <v>42642</v>
      </c>
      <c r="E469" s="1">
        <v>42645</v>
      </c>
      <c r="F469" s="3" t="s">
        <v>602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 t="s">
        <v>6290</v>
      </c>
      <c r="D470" s="1">
        <v>42642</v>
      </c>
      <c r="E470" s="1">
        <v>42645</v>
      </c>
      <c r="F470" s="3" t="s">
        <v>603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 t="s">
        <v>6290</v>
      </c>
      <c r="D471" s="1">
        <v>42643</v>
      </c>
      <c r="E471" s="1">
        <v>42645</v>
      </c>
      <c r="F471" s="3" t="s">
        <v>603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 t="s">
        <v>6290</v>
      </c>
      <c r="D472" s="1">
        <v>42643</v>
      </c>
      <c r="E472" s="1">
        <v>42645</v>
      </c>
      <c r="F472" s="3" t="s">
        <v>601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 t="s">
        <v>6290</v>
      </c>
      <c r="D473" s="1">
        <v>42643</v>
      </c>
      <c r="E473" s="1">
        <v>42644</v>
      </c>
      <c r="F473" s="3" t="s">
        <v>601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 t="s">
        <v>6290</v>
      </c>
      <c r="D474" s="1">
        <v>42643</v>
      </c>
      <c r="E474" s="1">
        <v>42645</v>
      </c>
      <c r="F474" s="3" t="s">
        <v>604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 t="s">
        <v>6290</v>
      </c>
      <c r="D475" s="1">
        <v>42644</v>
      </c>
      <c r="E475" s="1">
        <v>42647</v>
      </c>
      <c r="F475" s="3" t="s">
        <v>605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 t="s">
        <v>6290</v>
      </c>
      <c r="D476" s="1">
        <v>42644</v>
      </c>
      <c r="E476" s="1">
        <v>42647</v>
      </c>
      <c r="F476" s="3" t="s">
        <v>604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 t="s">
        <v>6290</v>
      </c>
      <c r="D477" s="1">
        <v>42644</v>
      </c>
      <c r="E477" s="1">
        <v>42647</v>
      </c>
      <c r="F477" s="3" t="s">
        <v>603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 t="s">
        <v>6290</v>
      </c>
      <c r="D478" s="1">
        <v>42645</v>
      </c>
      <c r="E478" s="1">
        <v>42648</v>
      </c>
      <c r="F478" s="3" t="s">
        <v>605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 t="s">
        <v>6290</v>
      </c>
      <c r="D479" s="1">
        <v>42645</v>
      </c>
      <c r="E479" s="1">
        <v>42648</v>
      </c>
      <c r="F479" s="3" t="s">
        <v>604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 t="s">
        <v>6290</v>
      </c>
      <c r="D480" s="1">
        <v>42646</v>
      </c>
      <c r="E480" s="1">
        <v>42647</v>
      </c>
      <c r="F480" s="3" t="s">
        <v>605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 t="s">
        <v>6290</v>
      </c>
      <c r="D481" s="1">
        <v>42647</v>
      </c>
      <c r="E481" s="1">
        <v>42650</v>
      </c>
      <c r="F481" s="3" t="s">
        <v>606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 t="s">
        <v>6290</v>
      </c>
      <c r="D482" s="1">
        <v>42647</v>
      </c>
      <c r="E482" s="1">
        <v>42650</v>
      </c>
      <c r="F482" s="3" t="s">
        <v>607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 t="s">
        <v>6290</v>
      </c>
      <c r="D483" s="1">
        <v>42648</v>
      </c>
      <c r="E483" s="1">
        <v>42649</v>
      </c>
      <c r="F483" s="3" t="s">
        <v>607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 t="s">
        <v>6290</v>
      </c>
      <c r="D484" s="1">
        <v>42649</v>
      </c>
      <c r="E484" s="1">
        <v>42650</v>
      </c>
      <c r="F484" s="3" t="s">
        <v>608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 t="s">
        <v>6290</v>
      </c>
      <c r="D485" s="1">
        <v>42649</v>
      </c>
      <c r="E485" s="1">
        <v>42652</v>
      </c>
      <c r="F485" s="3" t="s">
        <v>609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 t="s">
        <v>6290</v>
      </c>
      <c r="D486" s="1">
        <v>42649</v>
      </c>
      <c r="E486" s="1">
        <v>42651</v>
      </c>
      <c r="F486" s="3" t="s">
        <v>609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 t="s">
        <v>6290</v>
      </c>
      <c r="D487" s="1">
        <v>42649</v>
      </c>
      <c r="E487" s="1">
        <v>42651</v>
      </c>
      <c r="F487" s="3" t="s">
        <v>608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 t="s">
        <v>6290</v>
      </c>
      <c r="D488" s="1">
        <v>42649</v>
      </c>
      <c r="E488" s="1">
        <v>42652</v>
      </c>
      <c r="F488" s="3" t="s">
        <v>608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 t="s">
        <v>6290</v>
      </c>
      <c r="D489" s="1">
        <v>42649</v>
      </c>
      <c r="E489" s="1">
        <v>42652</v>
      </c>
      <c r="F489" s="3" t="s">
        <v>610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 t="s">
        <v>6290</v>
      </c>
      <c r="D490" s="1">
        <v>42649</v>
      </c>
      <c r="E490" s="1">
        <v>42651</v>
      </c>
      <c r="F490" s="3" t="s">
        <v>610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 t="s">
        <v>6290</v>
      </c>
      <c r="D491" s="1">
        <v>42650</v>
      </c>
      <c r="E491" s="1">
        <v>42653</v>
      </c>
      <c r="F491" s="3" t="s">
        <v>608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 t="s">
        <v>6290</v>
      </c>
      <c r="D492" s="1">
        <v>42651</v>
      </c>
      <c r="E492" s="1">
        <v>42653</v>
      </c>
      <c r="F492" s="3" t="s">
        <v>611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 t="s">
        <v>6290</v>
      </c>
      <c r="D493" s="1">
        <v>42652</v>
      </c>
      <c r="E493" s="1">
        <v>42653</v>
      </c>
      <c r="F493" s="3" t="s">
        <v>612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 t="s">
        <v>6290</v>
      </c>
      <c r="D494" s="1">
        <v>42652</v>
      </c>
      <c r="E494" s="1">
        <v>42655</v>
      </c>
      <c r="F494" s="3" t="s">
        <v>611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 t="s">
        <v>6290</v>
      </c>
      <c r="D495" s="1">
        <v>42652</v>
      </c>
      <c r="E495" s="1">
        <v>42653</v>
      </c>
      <c r="F495" s="3" t="s">
        <v>611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 t="s">
        <v>6290</v>
      </c>
      <c r="D496" s="1">
        <v>42653</v>
      </c>
      <c r="E496" s="1">
        <v>42655</v>
      </c>
      <c r="F496" s="3" t="s">
        <v>613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 t="s">
        <v>6290</v>
      </c>
      <c r="D497" s="1">
        <v>42653</v>
      </c>
      <c r="E497" s="1">
        <v>42655</v>
      </c>
      <c r="F497" s="3" t="s">
        <v>611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 t="s">
        <v>6290</v>
      </c>
      <c r="D498" s="1">
        <v>42653</v>
      </c>
      <c r="E498" s="1">
        <v>42654</v>
      </c>
      <c r="F498" s="3" t="s">
        <v>611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 t="s">
        <v>6290</v>
      </c>
      <c r="D499" s="1">
        <v>42653</v>
      </c>
      <c r="E499" s="1">
        <v>42655</v>
      </c>
      <c r="F499" s="3" t="s">
        <v>611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 t="s">
        <v>6290</v>
      </c>
      <c r="D500" s="1">
        <v>42654</v>
      </c>
      <c r="E500" s="1">
        <v>42657</v>
      </c>
      <c r="F500" s="3" t="s">
        <v>613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 t="s">
        <v>6290</v>
      </c>
      <c r="D501" s="1">
        <v>42654</v>
      </c>
      <c r="E501" s="1">
        <v>42655</v>
      </c>
      <c r="F501" s="3" t="s">
        <v>613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 t="s">
        <v>6290</v>
      </c>
      <c r="D502" s="1">
        <v>42654</v>
      </c>
      <c r="E502" s="1">
        <v>42655</v>
      </c>
      <c r="F502" s="3" t="s">
        <v>613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 t="s">
        <v>6290</v>
      </c>
      <c r="D503" s="1">
        <v>42655</v>
      </c>
      <c r="E503" s="1">
        <v>42656</v>
      </c>
      <c r="F503" s="3" t="s">
        <v>613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 t="s">
        <v>6290</v>
      </c>
      <c r="D504" s="1">
        <v>42656</v>
      </c>
      <c r="E504" s="1">
        <v>42659</v>
      </c>
      <c r="F504" s="3" t="s">
        <v>614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 t="s">
        <v>6290</v>
      </c>
      <c r="D505" s="1">
        <v>42657</v>
      </c>
      <c r="E505" s="1">
        <v>42658</v>
      </c>
      <c r="F505" s="3" t="s">
        <v>615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 t="s">
        <v>6290</v>
      </c>
      <c r="D506" s="1">
        <v>42657</v>
      </c>
      <c r="E506" s="1">
        <v>42659</v>
      </c>
      <c r="F506" s="3" t="s">
        <v>616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 t="s">
        <v>6290</v>
      </c>
      <c r="D507" s="1">
        <v>42657</v>
      </c>
      <c r="E507" s="1">
        <v>42659</v>
      </c>
      <c r="F507" s="3" t="s">
        <v>617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 t="s">
        <v>6290</v>
      </c>
      <c r="D508" s="1">
        <v>42658</v>
      </c>
      <c r="E508" s="1">
        <v>42660</v>
      </c>
      <c r="F508" s="3" t="s">
        <v>616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 t="s">
        <v>6290</v>
      </c>
      <c r="D509" s="1">
        <v>42658</v>
      </c>
      <c r="E509" s="1">
        <v>42661</v>
      </c>
      <c r="F509" s="3" t="s">
        <v>618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 t="s">
        <v>6290</v>
      </c>
      <c r="D510" s="1">
        <v>42659</v>
      </c>
      <c r="E510" s="1">
        <v>42660</v>
      </c>
      <c r="F510" s="3" t="s">
        <v>616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 t="s">
        <v>6290</v>
      </c>
      <c r="D511" s="1">
        <v>42660</v>
      </c>
      <c r="E511" s="1">
        <v>42661</v>
      </c>
      <c r="F511" s="3" t="s">
        <v>618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 t="s">
        <v>6290</v>
      </c>
      <c r="D512" s="1">
        <v>42661</v>
      </c>
      <c r="E512" s="1">
        <v>42663</v>
      </c>
      <c r="F512" s="3" t="s">
        <v>619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 t="s">
        <v>6290</v>
      </c>
      <c r="D513" s="1">
        <v>42662</v>
      </c>
      <c r="E513" s="1">
        <v>42665</v>
      </c>
      <c r="F513" s="3" t="s">
        <v>620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 t="s">
        <v>6290</v>
      </c>
      <c r="D514" s="1">
        <v>42662</v>
      </c>
      <c r="E514" s="1">
        <v>42664</v>
      </c>
      <c r="F514" s="3" t="s">
        <v>621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 t="s">
        <v>6290</v>
      </c>
      <c r="D515" s="1">
        <v>42662</v>
      </c>
      <c r="E515" s="1">
        <v>42664</v>
      </c>
      <c r="F515" s="3" t="s">
        <v>620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 t="s">
        <v>6290</v>
      </c>
      <c r="D516" s="1">
        <v>42662</v>
      </c>
      <c r="E516" s="1">
        <v>42663</v>
      </c>
      <c r="F516" s="3" t="s">
        <v>622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 t="s">
        <v>6290</v>
      </c>
      <c r="D517" s="1">
        <v>42664</v>
      </c>
      <c r="E517" s="1">
        <v>42666</v>
      </c>
      <c r="F517" s="3" t="s">
        <v>623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 t="s">
        <v>6290</v>
      </c>
      <c r="D518" s="1">
        <v>42664</v>
      </c>
      <c r="E518" s="1">
        <v>42665</v>
      </c>
      <c r="F518" s="3" t="s">
        <v>623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 t="s">
        <v>6290</v>
      </c>
      <c r="D519" s="1">
        <v>42665</v>
      </c>
      <c r="E519" s="1">
        <v>42667</v>
      </c>
      <c r="F519" s="3" t="s">
        <v>624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 t="s">
        <v>6290</v>
      </c>
      <c r="D520" s="1">
        <v>42665</v>
      </c>
      <c r="E520" s="1">
        <v>42666</v>
      </c>
      <c r="F520" s="3" t="s">
        <v>623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 t="s">
        <v>6290</v>
      </c>
      <c r="D521" s="1">
        <v>42666</v>
      </c>
      <c r="E521" s="1">
        <v>42669</v>
      </c>
      <c r="F521" s="3" t="s">
        <v>623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 t="s">
        <v>6290</v>
      </c>
      <c r="D522" s="1">
        <v>42666</v>
      </c>
      <c r="E522" s="1">
        <v>42668</v>
      </c>
      <c r="F522" s="3" t="s">
        <v>624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 t="s">
        <v>6290</v>
      </c>
      <c r="D523" s="1">
        <v>42666</v>
      </c>
      <c r="E523" s="1">
        <v>42667</v>
      </c>
      <c r="F523" s="3" t="s">
        <v>623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 t="s">
        <v>6290</v>
      </c>
      <c r="D524" s="1">
        <v>42667</v>
      </c>
      <c r="E524" s="1">
        <v>42669</v>
      </c>
      <c r="F524" s="3" t="s">
        <v>625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 t="s">
        <v>6290</v>
      </c>
      <c r="D525" s="1">
        <v>42668</v>
      </c>
      <c r="E525" s="1">
        <v>42669</v>
      </c>
      <c r="F525" s="3" t="s">
        <v>625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 t="s">
        <v>6290</v>
      </c>
      <c r="D526" s="1">
        <v>42669</v>
      </c>
      <c r="E526" s="1">
        <v>42671</v>
      </c>
      <c r="F526" s="3" t="s">
        <v>626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 t="s">
        <v>6290</v>
      </c>
      <c r="D527" s="1">
        <v>42669</v>
      </c>
      <c r="E527" s="1">
        <v>42671</v>
      </c>
      <c r="F527" s="3" t="s">
        <v>627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 t="s">
        <v>6290</v>
      </c>
      <c r="D528" s="1">
        <v>42670</v>
      </c>
      <c r="E528" s="1">
        <v>42672</v>
      </c>
      <c r="F528" s="3" t="s">
        <v>627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 t="s">
        <v>6290</v>
      </c>
      <c r="D529" s="1">
        <v>42671</v>
      </c>
      <c r="E529" s="1">
        <v>42674</v>
      </c>
      <c r="F529" s="3" t="s">
        <v>628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 t="s">
        <v>6290</v>
      </c>
      <c r="D530" s="1">
        <v>42671</v>
      </c>
      <c r="E530" s="1">
        <v>42673</v>
      </c>
      <c r="F530" s="3" t="s">
        <v>628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 t="s">
        <v>6290</v>
      </c>
      <c r="D531" s="1">
        <v>42671</v>
      </c>
      <c r="E531" s="1">
        <v>42674</v>
      </c>
      <c r="F531" s="3" t="s">
        <v>628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 t="s">
        <v>6290</v>
      </c>
      <c r="D532" s="1">
        <v>42671</v>
      </c>
      <c r="E532" s="1">
        <v>42672</v>
      </c>
      <c r="F532" s="3" t="s">
        <v>629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 t="s">
        <v>6290</v>
      </c>
      <c r="D533" s="1">
        <v>42672</v>
      </c>
      <c r="E533" s="1">
        <v>42674</v>
      </c>
      <c r="F533" s="3" t="s">
        <v>629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 t="s">
        <v>6290</v>
      </c>
      <c r="D534" s="1">
        <v>42672</v>
      </c>
      <c r="E534" s="1">
        <v>42675</v>
      </c>
      <c r="F534" s="3" t="s">
        <v>630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 t="s">
        <v>6290</v>
      </c>
      <c r="D535" s="1">
        <v>42672</v>
      </c>
      <c r="E535" s="1">
        <v>42673</v>
      </c>
      <c r="F535" s="3" t="s">
        <v>628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 t="s">
        <v>6290</v>
      </c>
      <c r="D536" s="1">
        <v>42672</v>
      </c>
      <c r="E536" s="1">
        <v>42674</v>
      </c>
      <c r="F536" s="3" t="s">
        <v>630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 t="s">
        <v>6290</v>
      </c>
      <c r="D537" s="1">
        <v>42674</v>
      </c>
      <c r="E537" s="1">
        <v>42676</v>
      </c>
      <c r="F537" s="3" t="s">
        <v>630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 t="s">
        <v>6290</v>
      </c>
      <c r="D538" s="1">
        <v>42674</v>
      </c>
      <c r="E538" s="1">
        <v>42675</v>
      </c>
      <c r="F538" s="3" t="s">
        <v>631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 t="s">
        <v>6290</v>
      </c>
      <c r="D539" s="1">
        <v>42676</v>
      </c>
      <c r="E539" s="1">
        <v>42679</v>
      </c>
      <c r="F539" s="3" t="s">
        <v>632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 t="s">
        <v>6290</v>
      </c>
      <c r="D540" s="1">
        <v>42676</v>
      </c>
      <c r="E540" s="1">
        <v>42678</v>
      </c>
      <c r="F540" s="3" t="s">
        <v>631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 t="s">
        <v>6290</v>
      </c>
      <c r="D541" s="1">
        <v>42677</v>
      </c>
      <c r="E541" s="1">
        <v>42679</v>
      </c>
      <c r="F541" s="3" t="s">
        <v>633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 t="s">
        <v>6290</v>
      </c>
      <c r="D542" s="1">
        <v>42678</v>
      </c>
      <c r="E542" s="1">
        <v>42681</v>
      </c>
      <c r="F542" s="3" t="s">
        <v>634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 t="s">
        <v>6290</v>
      </c>
      <c r="D543" s="1">
        <v>42678</v>
      </c>
      <c r="E543" s="1">
        <v>42680</v>
      </c>
      <c r="F543" s="3" t="s">
        <v>632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 t="s">
        <v>6290</v>
      </c>
      <c r="D544" s="1">
        <v>42680</v>
      </c>
      <c r="E544" s="1">
        <v>42683</v>
      </c>
      <c r="F544" s="3" t="s">
        <v>635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 t="s">
        <v>6290</v>
      </c>
      <c r="D545" s="1">
        <v>42680</v>
      </c>
      <c r="E545" s="1">
        <v>42681</v>
      </c>
      <c r="F545" s="3" t="s">
        <v>635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 t="s">
        <v>6290</v>
      </c>
      <c r="D546" s="1">
        <v>42682</v>
      </c>
      <c r="E546" s="1">
        <v>42684</v>
      </c>
      <c r="F546" s="3" t="s">
        <v>636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 t="s">
        <v>6290</v>
      </c>
      <c r="D547" s="1">
        <v>42683</v>
      </c>
      <c r="E547" s="1">
        <v>42686</v>
      </c>
      <c r="F547" s="3" t="s">
        <v>637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 t="s">
        <v>6290</v>
      </c>
      <c r="D548" s="1">
        <v>42683</v>
      </c>
      <c r="E548" s="1">
        <v>42685</v>
      </c>
      <c r="F548" s="3" t="s">
        <v>637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 t="s">
        <v>6290</v>
      </c>
      <c r="D549" s="1">
        <v>42685</v>
      </c>
      <c r="E549" s="1">
        <v>42687</v>
      </c>
      <c r="F549" s="3" t="s">
        <v>638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 t="s">
        <v>6291</v>
      </c>
      <c r="D550" s="1">
        <v>42686</v>
      </c>
      <c r="E550" s="1">
        <v>42686</v>
      </c>
      <c r="F550" s="3">
        <f>orders___orders[[#This Row],[order_date]]+3</f>
        <v>42689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 t="s">
        <v>6290</v>
      </c>
      <c r="D551" s="1">
        <v>42686</v>
      </c>
      <c r="E551" s="1">
        <v>42688</v>
      </c>
      <c r="F551" s="3" t="s">
        <v>639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 t="s">
        <v>6290</v>
      </c>
      <c r="D552" s="1">
        <v>42686</v>
      </c>
      <c r="E552" s="1">
        <v>42687</v>
      </c>
      <c r="F552" s="3" t="s">
        <v>638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 t="s">
        <v>6290</v>
      </c>
      <c r="D553" s="1">
        <v>42686</v>
      </c>
      <c r="E553" s="1">
        <v>42689</v>
      </c>
      <c r="F553" s="3" t="s">
        <v>638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 t="s">
        <v>6290</v>
      </c>
      <c r="D554" s="1">
        <v>42686</v>
      </c>
      <c r="E554" s="1">
        <v>42687</v>
      </c>
      <c r="F554" s="3" t="s">
        <v>639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 t="s">
        <v>6290</v>
      </c>
      <c r="D555" s="1">
        <v>42687</v>
      </c>
      <c r="E555" s="1">
        <v>42688</v>
      </c>
      <c r="F555" s="3" t="s">
        <v>640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 t="s">
        <v>6290</v>
      </c>
      <c r="D556" s="1">
        <v>42687</v>
      </c>
      <c r="E556" s="1">
        <v>42688</v>
      </c>
      <c r="F556" s="3" t="s">
        <v>640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 t="s">
        <v>6290</v>
      </c>
      <c r="D557" s="1">
        <v>42687</v>
      </c>
      <c r="E557" s="1">
        <v>42688</v>
      </c>
      <c r="F557" s="3" t="s">
        <v>639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 t="s">
        <v>6290</v>
      </c>
      <c r="D558" s="1">
        <v>42688</v>
      </c>
      <c r="E558" s="1">
        <v>42691</v>
      </c>
      <c r="F558" s="3" t="s">
        <v>639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 t="s">
        <v>6290</v>
      </c>
      <c r="D559" s="1">
        <v>42689</v>
      </c>
      <c r="E559" s="1">
        <v>42690</v>
      </c>
      <c r="F559" s="3" t="s">
        <v>641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 t="s">
        <v>6290</v>
      </c>
      <c r="D560" s="1">
        <v>42690</v>
      </c>
      <c r="E560" s="1">
        <v>42691</v>
      </c>
      <c r="F560" s="3" t="s">
        <v>641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 t="s">
        <v>6290</v>
      </c>
      <c r="D561" s="1">
        <v>42692</v>
      </c>
      <c r="E561" s="1">
        <v>42693</v>
      </c>
      <c r="F561" s="3" t="s">
        <v>642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 t="s">
        <v>6290</v>
      </c>
      <c r="D562" s="1">
        <v>42693</v>
      </c>
      <c r="E562" s="1">
        <v>42696</v>
      </c>
      <c r="F562" s="3" t="s">
        <v>643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 t="s">
        <v>6290</v>
      </c>
      <c r="D563" s="1">
        <v>42693</v>
      </c>
      <c r="E563" s="1">
        <v>42694</v>
      </c>
      <c r="F563" s="3" t="s">
        <v>643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 t="s">
        <v>6290</v>
      </c>
      <c r="D564" s="1">
        <v>42694</v>
      </c>
      <c r="E564" s="1">
        <v>42696</v>
      </c>
      <c r="F564" s="3" t="s">
        <v>642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 t="s">
        <v>6290</v>
      </c>
      <c r="D565" s="1">
        <v>42694</v>
      </c>
      <c r="E565" s="1">
        <v>42697</v>
      </c>
      <c r="F565" s="3" t="s">
        <v>643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 t="s">
        <v>6290</v>
      </c>
      <c r="D566" s="1">
        <v>42695</v>
      </c>
      <c r="E566" s="1">
        <v>42696</v>
      </c>
      <c r="F566" s="3" t="s">
        <v>643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 t="s">
        <v>6290</v>
      </c>
      <c r="D567" s="1">
        <v>42696</v>
      </c>
      <c r="E567" s="1">
        <v>42699</v>
      </c>
      <c r="F567" s="3" t="s">
        <v>644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 t="s">
        <v>6290</v>
      </c>
      <c r="D568" s="1">
        <v>42696</v>
      </c>
      <c r="E568" s="1">
        <v>42697</v>
      </c>
      <c r="F568" s="3" t="s">
        <v>644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 t="s">
        <v>6290</v>
      </c>
      <c r="D569" s="1">
        <v>42697</v>
      </c>
      <c r="E569" s="1">
        <v>42699</v>
      </c>
      <c r="F569" s="3" t="s">
        <v>645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 t="s">
        <v>6290</v>
      </c>
      <c r="D570" s="1">
        <v>42697</v>
      </c>
      <c r="E570" s="1">
        <v>42698</v>
      </c>
      <c r="F570" s="3" t="s">
        <v>646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 t="s">
        <v>6290</v>
      </c>
      <c r="D571" s="1">
        <v>42697</v>
      </c>
      <c r="E571" s="1">
        <v>42698</v>
      </c>
      <c r="F571" s="3" t="s">
        <v>646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 t="s">
        <v>6290</v>
      </c>
      <c r="D572" s="1">
        <v>42698</v>
      </c>
      <c r="E572" s="1">
        <v>42699</v>
      </c>
      <c r="F572" s="3" t="s">
        <v>647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 t="s">
        <v>6290</v>
      </c>
      <c r="D573" s="1">
        <v>42698</v>
      </c>
      <c r="E573" s="1">
        <v>42700</v>
      </c>
      <c r="F573" s="3" t="s">
        <v>648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 t="s">
        <v>6290</v>
      </c>
      <c r="D574" s="1">
        <v>42698</v>
      </c>
      <c r="E574" s="1">
        <v>42700</v>
      </c>
      <c r="F574" s="3" t="s">
        <v>647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 t="s">
        <v>6290</v>
      </c>
      <c r="D575" s="1">
        <v>42700</v>
      </c>
      <c r="E575" s="1">
        <v>42701</v>
      </c>
      <c r="F575" s="3" t="s">
        <v>649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 t="s">
        <v>6290</v>
      </c>
      <c r="D576" s="1">
        <v>42701</v>
      </c>
      <c r="E576" s="1">
        <v>42702</v>
      </c>
      <c r="F576" s="3" t="s">
        <v>650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 t="s">
        <v>6290</v>
      </c>
      <c r="D577" s="1">
        <v>42701</v>
      </c>
      <c r="E577" s="1">
        <v>42704</v>
      </c>
      <c r="F577" s="3" t="s">
        <v>651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 t="s">
        <v>6290</v>
      </c>
      <c r="D578" s="1">
        <v>42701</v>
      </c>
      <c r="E578" s="1">
        <v>42704</v>
      </c>
      <c r="F578" s="3" t="s">
        <v>649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 t="s">
        <v>6290</v>
      </c>
      <c r="D579" s="1">
        <v>42701</v>
      </c>
      <c r="E579" s="1">
        <v>42702</v>
      </c>
      <c r="F579" s="3" t="s">
        <v>649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 t="s">
        <v>6290</v>
      </c>
      <c r="D580" s="1">
        <v>42701</v>
      </c>
      <c r="E580" s="1">
        <v>42704</v>
      </c>
      <c r="F580" s="3" t="s">
        <v>649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 t="s">
        <v>6290</v>
      </c>
      <c r="D581" s="1">
        <v>42704</v>
      </c>
      <c r="E581" s="1">
        <v>42706</v>
      </c>
      <c r="F581" s="3" t="s">
        <v>652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 t="s">
        <v>6290</v>
      </c>
      <c r="D582" s="1">
        <v>42707</v>
      </c>
      <c r="E582" s="1">
        <v>42709</v>
      </c>
      <c r="F582" s="3" t="s">
        <v>653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 t="s">
        <v>6291</v>
      </c>
      <c r="D583" s="1">
        <v>42708</v>
      </c>
      <c r="E583" s="1">
        <v>42708</v>
      </c>
      <c r="F583" s="3">
        <f>orders___orders[[#This Row],[order_date]]+3</f>
        <v>42711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 t="s">
        <v>6290</v>
      </c>
      <c r="D584" s="1">
        <v>42708</v>
      </c>
      <c r="E584" s="1">
        <v>42709</v>
      </c>
      <c r="F584" s="3" t="s">
        <v>654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 t="s">
        <v>6290</v>
      </c>
      <c r="D585" s="1">
        <v>42708</v>
      </c>
      <c r="E585" s="1">
        <v>42709</v>
      </c>
      <c r="F585" s="3" t="s">
        <v>655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 t="s">
        <v>6290</v>
      </c>
      <c r="D586" s="1">
        <v>42708</v>
      </c>
      <c r="E586" s="1">
        <v>42709</v>
      </c>
      <c r="F586" s="3" t="s">
        <v>655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 t="s">
        <v>6290</v>
      </c>
      <c r="D587" s="1">
        <v>42708</v>
      </c>
      <c r="E587" s="1">
        <v>42710</v>
      </c>
      <c r="F587" s="3" t="s">
        <v>655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 t="s">
        <v>6290</v>
      </c>
      <c r="D588" s="1">
        <v>42710</v>
      </c>
      <c r="E588" s="1">
        <v>42712</v>
      </c>
      <c r="F588" s="3" t="s">
        <v>656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 t="s">
        <v>6290</v>
      </c>
      <c r="D589" s="1">
        <v>42710</v>
      </c>
      <c r="E589" s="1">
        <v>42711</v>
      </c>
      <c r="F589" s="3" t="s">
        <v>654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 t="s">
        <v>6290</v>
      </c>
      <c r="D590" s="1">
        <v>42710</v>
      </c>
      <c r="E590" s="1">
        <v>42711</v>
      </c>
      <c r="F590" s="3" t="s">
        <v>654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 t="s">
        <v>6290</v>
      </c>
      <c r="D591" s="1">
        <v>42710</v>
      </c>
      <c r="E591" s="1">
        <v>42713</v>
      </c>
      <c r="F591" s="3" t="s">
        <v>654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 t="s">
        <v>6290</v>
      </c>
      <c r="D592" s="1">
        <v>42710</v>
      </c>
      <c r="E592" s="1">
        <v>42713</v>
      </c>
      <c r="F592" s="3" t="s">
        <v>657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 t="s">
        <v>6290</v>
      </c>
      <c r="D593" s="1">
        <v>42710</v>
      </c>
      <c r="E593" s="1">
        <v>42712</v>
      </c>
      <c r="F593" s="3" t="s">
        <v>656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 t="s">
        <v>6290</v>
      </c>
      <c r="D594" s="1">
        <v>42711</v>
      </c>
      <c r="E594" s="1">
        <v>42714</v>
      </c>
      <c r="F594" s="3" t="s">
        <v>656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 t="s">
        <v>6290</v>
      </c>
      <c r="D595" s="1">
        <v>42711</v>
      </c>
      <c r="E595" s="1">
        <v>42712</v>
      </c>
      <c r="F595" s="3" t="s">
        <v>656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 t="s">
        <v>6290</v>
      </c>
      <c r="D596" s="1">
        <v>42712</v>
      </c>
      <c r="E596" s="1">
        <v>42713</v>
      </c>
      <c r="F596" s="3" t="s">
        <v>658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 t="s">
        <v>6290</v>
      </c>
      <c r="D597" s="1">
        <v>42712</v>
      </c>
      <c r="E597" s="1">
        <v>42713</v>
      </c>
      <c r="F597" s="3" t="s">
        <v>657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 t="s">
        <v>6290</v>
      </c>
      <c r="D598" s="1">
        <v>42712</v>
      </c>
      <c r="E598" s="1">
        <v>42713</v>
      </c>
      <c r="F598" s="3" t="s">
        <v>659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 t="s">
        <v>6291</v>
      </c>
      <c r="D599" s="1">
        <v>42713</v>
      </c>
      <c r="E599" s="1">
        <v>42713</v>
      </c>
      <c r="F599" s="3">
        <f>orders___orders[[#This Row],[order_date]]+3</f>
        <v>42716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 t="s">
        <v>6290</v>
      </c>
      <c r="D600" s="1">
        <v>42713</v>
      </c>
      <c r="E600" s="1">
        <v>42714</v>
      </c>
      <c r="F600" s="3" t="s">
        <v>660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 t="s">
        <v>6290</v>
      </c>
      <c r="D601" s="1">
        <v>42713</v>
      </c>
      <c r="E601" s="1">
        <v>42716</v>
      </c>
      <c r="F601" s="3" t="s">
        <v>658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 t="s">
        <v>6290</v>
      </c>
      <c r="D602" s="1">
        <v>42713</v>
      </c>
      <c r="E602" s="1">
        <v>42714</v>
      </c>
      <c r="F602" s="3" t="s">
        <v>659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 t="s">
        <v>6290</v>
      </c>
      <c r="D603" s="1">
        <v>42713</v>
      </c>
      <c r="E603" s="1">
        <v>42714</v>
      </c>
      <c r="F603" s="3" t="s">
        <v>658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 t="s">
        <v>6290</v>
      </c>
      <c r="D604" s="1">
        <v>42713</v>
      </c>
      <c r="E604" s="1">
        <v>42714</v>
      </c>
      <c r="F604" s="3" t="s">
        <v>659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 t="s">
        <v>6290</v>
      </c>
      <c r="D605" s="1">
        <v>42714</v>
      </c>
      <c r="E605" s="1">
        <v>42717</v>
      </c>
      <c r="F605" s="3" t="s">
        <v>660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 t="s">
        <v>6290</v>
      </c>
      <c r="D606" s="1">
        <v>42714</v>
      </c>
      <c r="E606" s="1">
        <v>42715</v>
      </c>
      <c r="F606" s="3" t="s">
        <v>660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 t="s">
        <v>6290</v>
      </c>
      <c r="D607" s="1">
        <v>42715</v>
      </c>
      <c r="E607" s="1">
        <v>42716</v>
      </c>
      <c r="F607" s="3" t="s">
        <v>661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 t="s">
        <v>6290</v>
      </c>
      <c r="D608" s="1">
        <v>42715</v>
      </c>
      <c r="E608" s="1">
        <v>42718</v>
      </c>
      <c r="F608" s="3" t="s">
        <v>661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 t="s">
        <v>6290</v>
      </c>
      <c r="D609" s="1">
        <v>42716</v>
      </c>
      <c r="E609" s="1">
        <v>42719</v>
      </c>
      <c r="F609" s="3" t="s">
        <v>662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 t="s">
        <v>6290</v>
      </c>
      <c r="D610" s="1">
        <v>42716</v>
      </c>
      <c r="E610" s="1">
        <v>42717</v>
      </c>
      <c r="F610" s="3" t="s">
        <v>662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 t="s">
        <v>6290</v>
      </c>
      <c r="D611" s="1">
        <v>42717</v>
      </c>
      <c r="E611" s="1">
        <v>42719</v>
      </c>
      <c r="F611" s="3" t="s">
        <v>662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 t="s">
        <v>6290</v>
      </c>
      <c r="D612" s="1">
        <v>42719</v>
      </c>
      <c r="E612" s="1">
        <v>42721</v>
      </c>
      <c r="F612" s="3" t="s">
        <v>663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 t="s">
        <v>6290</v>
      </c>
      <c r="D613" s="1">
        <v>42720</v>
      </c>
      <c r="E613" s="1">
        <v>42721</v>
      </c>
      <c r="F613" s="3" t="s">
        <v>664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 t="s">
        <v>6290</v>
      </c>
      <c r="D614" s="1">
        <v>42721</v>
      </c>
      <c r="E614" s="1">
        <v>42723</v>
      </c>
      <c r="F614" s="3" t="s">
        <v>665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 t="s">
        <v>6290</v>
      </c>
      <c r="D615" s="1">
        <v>42722</v>
      </c>
      <c r="E615" s="1">
        <v>42725</v>
      </c>
      <c r="F615" s="3" t="s">
        <v>666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 t="s">
        <v>6290</v>
      </c>
      <c r="D616" s="1">
        <v>42723</v>
      </c>
      <c r="E616" s="1">
        <v>42726</v>
      </c>
      <c r="F616" s="3" t="s">
        <v>666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 t="s">
        <v>6290</v>
      </c>
      <c r="D617" s="1">
        <v>42724</v>
      </c>
      <c r="E617" s="1">
        <v>42727</v>
      </c>
      <c r="F617" s="3" t="s">
        <v>667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 t="s">
        <v>6290</v>
      </c>
      <c r="D618" s="1">
        <v>42725</v>
      </c>
      <c r="E618" s="1">
        <v>42727</v>
      </c>
      <c r="F618" s="3" t="s">
        <v>667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 t="s">
        <v>6290</v>
      </c>
      <c r="D619" s="1">
        <v>42725</v>
      </c>
      <c r="E619" s="1">
        <v>42726</v>
      </c>
      <c r="F619" s="3" t="s">
        <v>668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 t="s">
        <v>6290</v>
      </c>
      <c r="D620" s="1">
        <v>42726</v>
      </c>
      <c r="E620" s="1">
        <v>42729</v>
      </c>
      <c r="F620" s="3" t="s">
        <v>669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 t="s">
        <v>6290</v>
      </c>
      <c r="D621" s="1">
        <v>42726</v>
      </c>
      <c r="E621" s="1">
        <v>42728</v>
      </c>
      <c r="F621" s="3" t="s">
        <v>670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 t="s">
        <v>6290</v>
      </c>
      <c r="D622" s="1">
        <v>42727</v>
      </c>
      <c r="E622" s="1">
        <v>42729</v>
      </c>
      <c r="F622" s="3" t="s">
        <v>670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 t="s">
        <v>6290</v>
      </c>
      <c r="D623" s="1">
        <v>42727</v>
      </c>
      <c r="E623" s="1">
        <v>42730</v>
      </c>
      <c r="F623" s="3" t="s">
        <v>669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 t="s">
        <v>6290</v>
      </c>
      <c r="D624" s="1">
        <v>42728</v>
      </c>
      <c r="E624" s="1">
        <v>42730</v>
      </c>
      <c r="F624" s="3" t="s">
        <v>671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 t="s">
        <v>6290</v>
      </c>
      <c r="D625" s="1">
        <v>42728</v>
      </c>
      <c r="E625" s="1">
        <v>42729</v>
      </c>
      <c r="F625" s="3" t="s">
        <v>671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 t="s">
        <v>6290</v>
      </c>
      <c r="D626" s="1">
        <v>42729</v>
      </c>
      <c r="E626" s="1">
        <v>42732</v>
      </c>
      <c r="F626" s="3" t="s">
        <v>672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 t="s">
        <v>6290</v>
      </c>
      <c r="D627" s="1">
        <v>42729</v>
      </c>
      <c r="E627" s="1">
        <v>42732</v>
      </c>
      <c r="F627" s="3" t="s">
        <v>671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 t="s">
        <v>6290</v>
      </c>
      <c r="D628" s="1">
        <v>42729</v>
      </c>
      <c r="E628" s="1">
        <v>42730</v>
      </c>
      <c r="F628" s="3" t="s">
        <v>673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 t="s">
        <v>6290</v>
      </c>
      <c r="D629" s="1">
        <v>42730</v>
      </c>
      <c r="E629" s="1">
        <v>42733</v>
      </c>
      <c r="F629" s="3" t="s">
        <v>671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 t="s">
        <v>6290</v>
      </c>
      <c r="D630" s="1">
        <v>42730</v>
      </c>
      <c r="E630" s="1">
        <v>42731</v>
      </c>
      <c r="F630" s="3" t="s">
        <v>674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 t="s">
        <v>6290</v>
      </c>
      <c r="D631" s="1">
        <v>42730</v>
      </c>
      <c r="E631" s="1">
        <v>42731</v>
      </c>
      <c r="F631" s="3" t="s">
        <v>673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 t="s">
        <v>6290</v>
      </c>
      <c r="D632" s="1">
        <v>42731</v>
      </c>
      <c r="E632" s="1">
        <v>42733</v>
      </c>
      <c r="F632" s="3" t="s">
        <v>674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 t="s">
        <v>6290</v>
      </c>
      <c r="D633" s="1">
        <v>42731</v>
      </c>
      <c r="E633" s="1">
        <v>42733</v>
      </c>
      <c r="F633" s="3" t="s">
        <v>674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 t="s">
        <v>6290</v>
      </c>
      <c r="D634" s="1">
        <v>42732</v>
      </c>
      <c r="E634" s="1">
        <v>42735</v>
      </c>
      <c r="F634" s="3" t="s">
        <v>675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 t="s">
        <v>6290</v>
      </c>
      <c r="D635" s="1">
        <v>42733</v>
      </c>
      <c r="E635" s="1">
        <v>42736</v>
      </c>
      <c r="F635" s="3" t="s">
        <v>675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 t="s">
        <v>6290</v>
      </c>
      <c r="D636" s="1">
        <v>42734</v>
      </c>
      <c r="E636" s="1">
        <v>42737</v>
      </c>
      <c r="F636" s="3" t="s">
        <v>676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 t="s">
        <v>6290</v>
      </c>
      <c r="D637" s="1">
        <v>42738</v>
      </c>
      <c r="E637" s="1">
        <v>42739</v>
      </c>
      <c r="F637" s="3" t="s">
        <v>677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 t="s">
        <v>6290</v>
      </c>
      <c r="D638" s="1">
        <v>42738</v>
      </c>
      <c r="E638" s="1">
        <v>42740</v>
      </c>
      <c r="F638" s="3" t="s">
        <v>677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 t="s">
        <v>6290</v>
      </c>
      <c r="D639" s="1">
        <v>42739</v>
      </c>
      <c r="E639" s="1">
        <v>42740</v>
      </c>
      <c r="F639" s="3" t="s">
        <v>678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 t="s">
        <v>6290</v>
      </c>
      <c r="D640" s="1">
        <v>42741</v>
      </c>
      <c r="E640" s="1">
        <v>42742</v>
      </c>
      <c r="F640" s="3" t="s">
        <v>679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 t="s">
        <v>6290</v>
      </c>
      <c r="D641" s="1">
        <v>42741</v>
      </c>
      <c r="E641" s="1">
        <v>42743</v>
      </c>
      <c r="F641" s="3" t="s">
        <v>679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 t="s">
        <v>6290</v>
      </c>
      <c r="D642" s="1">
        <v>42742</v>
      </c>
      <c r="E642" s="1">
        <v>42745</v>
      </c>
      <c r="F642" s="3" t="s">
        <v>680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 t="s">
        <v>6290</v>
      </c>
      <c r="D643" s="1">
        <v>42742</v>
      </c>
      <c r="E643" s="1">
        <v>42744</v>
      </c>
      <c r="F643" s="3" t="s">
        <v>681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 t="s">
        <v>6290</v>
      </c>
      <c r="D644" s="1">
        <v>42743</v>
      </c>
      <c r="E644" s="1">
        <v>42744</v>
      </c>
      <c r="F644" s="3" t="s">
        <v>682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 t="s">
        <v>6290</v>
      </c>
      <c r="D645" s="1">
        <v>42743</v>
      </c>
      <c r="E645" s="1">
        <v>42746</v>
      </c>
      <c r="F645" s="3" t="s">
        <v>681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 t="s">
        <v>6290</v>
      </c>
      <c r="D646" s="1">
        <v>42743</v>
      </c>
      <c r="E646" s="1">
        <v>42746</v>
      </c>
      <c r="F646" s="3" t="s">
        <v>681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 t="s">
        <v>6290</v>
      </c>
      <c r="D647" s="1">
        <v>42744</v>
      </c>
      <c r="E647" s="1">
        <v>42747</v>
      </c>
      <c r="F647" s="3" t="s">
        <v>682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 t="s">
        <v>6290</v>
      </c>
      <c r="D648" s="1">
        <v>42744</v>
      </c>
      <c r="E648" s="1">
        <v>42745</v>
      </c>
      <c r="F648" s="3" t="s">
        <v>682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 t="s">
        <v>6290</v>
      </c>
      <c r="D649" s="1">
        <v>42744</v>
      </c>
      <c r="E649" s="1">
        <v>42746</v>
      </c>
      <c r="F649" s="3" t="s">
        <v>682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 t="s">
        <v>6290</v>
      </c>
      <c r="D650" s="1">
        <v>42745</v>
      </c>
      <c r="E650" s="1">
        <v>42746</v>
      </c>
      <c r="F650" s="3" t="s">
        <v>683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 t="s">
        <v>6290</v>
      </c>
      <c r="D651" s="1">
        <v>42746</v>
      </c>
      <c r="E651" s="1">
        <v>42749</v>
      </c>
      <c r="F651" s="3" t="s">
        <v>684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 t="s">
        <v>6290</v>
      </c>
      <c r="D652" s="1">
        <v>42746</v>
      </c>
      <c r="E652" s="1">
        <v>42748</v>
      </c>
      <c r="F652" s="3" t="s">
        <v>683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 t="s">
        <v>6290</v>
      </c>
      <c r="D653" s="1">
        <v>42747</v>
      </c>
      <c r="E653" s="1">
        <v>42750</v>
      </c>
      <c r="F653" s="3" t="s">
        <v>683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 t="s">
        <v>6290</v>
      </c>
      <c r="D654" s="1">
        <v>42749</v>
      </c>
      <c r="E654" s="1">
        <v>42752</v>
      </c>
      <c r="F654" s="3" t="s">
        <v>685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 t="s">
        <v>6290</v>
      </c>
      <c r="D655" s="1">
        <v>42749</v>
      </c>
      <c r="E655" s="1">
        <v>42750</v>
      </c>
      <c r="F655" s="3" t="s">
        <v>686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 t="s">
        <v>6290</v>
      </c>
      <c r="D656" s="1">
        <v>42751</v>
      </c>
      <c r="E656" s="1">
        <v>42752</v>
      </c>
      <c r="F656" s="3" t="s">
        <v>687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 t="s">
        <v>6290</v>
      </c>
      <c r="D657" s="1">
        <v>42751</v>
      </c>
      <c r="E657" s="1">
        <v>42752</v>
      </c>
      <c r="F657" s="3" t="s">
        <v>687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 t="s">
        <v>6290</v>
      </c>
      <c r="D658" s="1">
        <v>42752</v>
      </c>
      <c r="E658" s="1">
        <v>42754</v>
      </c>
      <c r="F658" s="3" t="s">
        <v>688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 t="s">
        <v>6290</v>
      </c>
      <c r="D659" s="1">
        <v>42752</v>
      </c>
      <c r="E659" s="1">
        <v>42753</v>
      </c>
      <c r="F659" s="3" t="s">
        <v>687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 t="s">
        <v>6290</v>
      </c>
      <c r="D660" s="1">
        <v>42752</v>
      </c>
      <c r="E660" s="1">
        <v>42754</v>
      </c>
      <c r="F660" s="3" t="s">
        <v>687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 t="s">
        <v>6290</v>
      </c>
      <c r="D661" s="1">
        <v>42753</v>
      </c>
      <c r="E661" s="1">
        <v>42754</v>
      </c>
      <c r="F661" s="3" t="s">
        <v>689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 t="s">
        <v>6290</v>
      </c>
      <c r="D662" s="1">
        <v>42753</v>
      </c>
      <c r="E662" s="1">
        <v>42754</v>
      </c>
      <c r="F662" s="3" t="s">
        <v>688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 t="s">
        <v>6290</v>
      </c>
      <c r="D663" s="1">
        <v>42754</v>
      </c>
      <c r="E663" s="1">
        <v>42755</v>
      </c>
      <c r="F663" s="3" t="s">
        <v>688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 t="s">
        <v>6290</v>
      </c>
      <c r="D664" s="1">
        <v>42755</v>
      </c>
      <c r="E664" s="1">
        <v>42757</v>
      </c>
      <c r="F664" s="3" t="s">
        <v>690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 t="s">
        <v>6290</v>
      </c>
      <c r="D665" s="1">
        <v>42755</v>
      </c>
      <c r="E665" s="1">
        <v>42758</v>
      </c>
      <c r="F665" s="3" t="s">
        <v>691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 t="s">
        <v>6290</v>
      </c>
      <c r="D666" s="1">
        <v>42756</v>
      </c>
      <c r="E666" s="1">
        <v>42757</v>
      </c>
      <c r="F666" s="3" t="s">
        <v>690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 t="s">
        <v>6290</v>
      </c>
      <c r="D667" s="1">
        <v>42756</v>
      </c>
      <c r="E667" s="1">
        <v>42757</v>
      </c>
      <c r="F667" s="3" t="s">
        <v>692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 t="s">
        <v>6290</v>
      </c>
      <c r="D668" s="1">
        <v>42757</v>
      </c>
      <c r="E668" s="1">
        <v>42759</v>
      </c>
      <c r="F668" s="3" t="s">
        <v>693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 t="s">
        <v>6290</v>
      </c>
      <c r="D669" s="1">
        <v>42757</v>
      </c>
      <c r="E669" s="1">
        <v>42758</v>
      </c>
      <c r="F669" s="3" t="s">
        <v>692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 t="s">
        <v>6290</v>
      </c>
      <c r="D670" s="1">
        <v>42758</v>
      </c>
      <c r="E670" s="1">
        <v>42759</v>
      </c>
      <c r="F670" s="3" t="s">
        <v>694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 t="s">
        <v>6290</v>
      </c>
      <c r="D671" s="1">
        <v>42759</v>
      </c>
      <c r="E671" s="1">
        <v>42760</v>
      </c>
      <c r="F671" s="3" t="s">
        <v>693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 t="s">
        <v>6290</v>
      </c>
      <c r="D672" s="1">
        <v>42760</v>
      </c>
      <c r="E672" s="1">
        <v>42763</v>
      </c>
      <c r="F672" s="3" t="s">
        <v>694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 t="s">
        <v>6290</v>
      </c>
      <c r="D673" s="1">
        <v>42761</v>
      </c>
      <c r="E673" s="1">
        <v>42764</v>
      </c>
      <c r="F673" s="3" t="s">
        <v>695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 t="s">
        <v>6290</v>
      </c>
      <c r="D674" s="1">
        <v>42761</v>
      </c>
      <c r="E674" s="1">
        <v>42763</v>
      </c>
      <c r="F674" s="3" t="s">
        <v>696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 t="s">
        <v>6290</v>
      </c>
      <c r="D675" s="1">
        <v>42762</v>
      </c>
      <c r="E675" s="1">
        <v>42763</v>
      </c>
      <c r="F675" s="3" t="s">
        <v>695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 t="s">
        <v>6290</v>
      </c>
      <c r="D676" s="1">
        <v>42763</v>
      </c>
      <c r="E676" s="1">
        <v>42766</v>
      </c>
      <c r="F676" s="3" t="s">
        <v>697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 t="s">
        <v>6290</v>
      </c>
      <c r="D677" s="1">
        <v>42763</v>
      </c>
      <c r="E677" s="1">
        <v>42765</v>
      </c>
      <c r="F677" s="3" t="s">
        <v>698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 t="s">
        <v>6290</v>
      </c>
      <c r="D678" s="1">
        <v>42763</v>
      </c>
      <c r="E678" s="1">
        <v>42766</v>
      </c>
      <c r="F678" s="3" t="s">
        <v>697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 t="s">
        <v>6290</v>
      </c>
      <c r="D679" s="1">
        <v>42763</v>
      </c>
      <c r="E679" s="1">
        <v>42764</v>
      </c>
      <c r="F679" s="3" t="s">
        <v>698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 t="s">
        <v>6290</v>
      </c>
      <c r="D680" s="1">
        <v>42764</v>
      </c>
      <c r="E680" s="1">
        <v>42765</v>
      </c>
      <c r="F680" s="3" t="s">
        <v>697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 t="s">
        <v>6290</v>
      </c>
      <c r="D681" s="1">
        <v>42764</v>
      </c>
      <c r="E681" s="1">
        <v>42767</v>
      </c>
      <c r="F681" s="3" t="s">
        <v>697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 t="s">
        <v>6290</v>
      </c>
      <c r="D682" s="1">
        <v>42764</v>
      </c>
      <c r="E682" s="1">
        <v>42767</v>
      </c>
      <c r="F682" s="3" t="s">
        <v>698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 t="s">
        <v>6290</v>
      </c>
      <c r="D683" s="1">
        <v>42764</v>
      </c>
      <c r="E683" s="1">
        <v>42765</v>
      </c>
      <c r="F683" s="3" t="s">
        <v>697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 t="s">
        <v>6290</v>
      </c>
      <c r="D684" s="1">
        <v>42764</v>
      </c>
      <c r="E684" s="1">
        <v>42766</v>
      </c>
      <c r="F684" s="3" t="s">
        <v>699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 t="s">
        <v>6290</v>
      </c>
      <c r="D685" s="1">
        <v>42766</v>
      </c>
      <c r="E685" s="1">
        <v>42767</v>
      </c>
      <c r="F685" s="3" t="s">
        <v>700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 t="s">
        <v>6290</v>
      </c>
      <c r="D686" s="1">
        <v>42766</v>
      </c>
      <c r="E686" s="1">
        <v>42769</v>
      </c>
      <c r="F686" s="3" t="s">
        <v>700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 t="s">
        <v>6290</v>
      </c>
      <c r="D687" s="1">
        <v>42767</v>
      </c>
      <c r="E687" s="1">
        <v>42769</v>
      </c>
      <c r="F687" s="3" t="s">
        <v>701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 t="s">
        <v>6290</v>
      </c>
      <c r="D688" s="1">
        <v>42768</v>
      </c>
      <c r="E688" s="1">
        <v>42771</v>
      </c>
      <c r="F688" s="3" t="s">
        <v>701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 t="s">
        <v>6290</v>
      </c>
      <c r="D689" s="1">
        <v>42768</v>
      </c>
      <c r="E689" s="1">
        <v>42769</v>
      </c>
      <c r="F689" s="3" t="s">
        <v>702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 t="s">
        <v>6290</v>
      </c>
      <c r="D690" s="1">
        <v>42768</v>
      </c>
      <c r="E690" s="1">
        <v>42769</v>
      </c>
      <c r="F690" s="3" t="s">
        <v>702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 t="s">
        <v>6290</v>
      </c>
      <c r="D691" s="1">
        <v>42769</v>
      </c>
      <c r="E691" s="1">
        <v>42770</v>
      </c>
      <c r="F691" s="3" t="s">
        <v>703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 t="s">
        <v>6290</v>
      </c>
      <c r="D692" s="1">
        <v>42770</v>
      </c>
      <c r="E692" s="1">
        <v>42772</v>
      </c>
      <c r="F692" s="3" t="s">
        <v>703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 t="s">
        <v>6291</v>
      </c>
      <c r="D693" s="1">
        <v>42771</v>
      </c>
      <c r="E693" s="1">
        <v>42771</v>
      </c>
      <c r="F693" s="3">
        <f>orders___orders[[#This Row],[order_date]]+3</f>
        <v>42774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 t="s">
        <v>6290</v>
      </c>
      <c r="D694" s="1">
        <v>42771</v>
      </c>
      <c r="E694" s="1">
        <v>42773</v>
      </c>
      <c r="F694" s="3" t="s">
        <v>703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 t="s">
        <v>6290</v>
      </c>
      <c r="D695" s="1">
        <v>42771</v>
      </c>
      <c r="E695" s="1">
        <v>42772</v>
      </c>
      <c r="F695" s="3" t="s">
        <v>704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 t="s">
        <v>6290</v>
      </c>
      <c r="D696" s="1">
        <v>42771</v>
      </c>
      <c r="E696" s="1">
        <v>42774</v>
      </c>
      <c r="F696" s="3" t="s">
        <v>705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 t="s">
        <v>6290</v>
      </c>
      <c r="D697" s="1">
        <v>42771</v>
      </c>
      <c r="E697" s="1">
        <v>42774</v>
      </c>
      <c r="F697" s="3" t="s">
        <v>704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 t="s">
        <v>6290</v>
      </c>
      <c r="D698" s="1">
        <v>42772</v>
      </c>
      <c r="E698" s="1">
        <v>42774</v>
      </c>
      <c r="F698" s="3" t="s">
        <v>706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 t="s">
        <v>6290</v>
      </c>
      <c r="D699" s="1">
        <v>42772</v>
      </c>
      <c r="E699" s="1">
        <v>42774</v>
      </c>
      <c r="F699" s="3" t="s">
        <v>706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 t="s">
        <v>6290</v>
      </c>
      <c r="D700" s="1">
        <v>42772</v>
      </c>
      <c r="E700" s="1">
        <v>42774</v>
      </c>
      <c r="F700" s="3" t="s">
        <v>706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 t="s">
        <v>6290</v>
      </c>
      <c r="D701" s="1">
        <v>42773</v>
      </c>
      <c r="E701" s="1">
        <v>42776</v>
      </c>
      <c r="F701" s="3" t="s">
        <v>704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 t="s">
        <v>6290</v>
      </c>
      <c r="D702" s="1">
        <v>42773</v>
      </c>
      <c r="E702" s="1">
        <v>42774</v>
      </c>
      <c r="F702" s="3" t="s">
        <v>706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 t="s">
        <v>6290</v>
      </c>
      <c r="D703" s="1">
        <v>42774</v>
      </c>
      <c r="E703" s="1">
        <v>42775</v>
      </c>
      <c r="F703" s="3" t="s">
        <v>707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 t="s">
        <v>6290</v>
      </c>
      <c r="D704" s="1">
        <v>42774</v>
      </c>
      <c r="E704" s="1">
        <v>42775</v>
      </c>
      <c r="F704" s="3" t="s">
        <v>706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 t="s">
        <v>6290</v>
      </c>
      <c r="D705" s="1">
        <v>42774</v>
      </c>
      <c r="E705" s="1">
        <v>42775</v>
      </c>
      <c r="F705" s="3" t="s">
        <v>707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 t="s">
        <v>6290</v>
      </c>
      <c r="D706" s="1">
        <v>42774</v>
      </c>
      <c r="E706" s="1">
        <v>42777</v>
      </c>
      <c r="F706" s="3" t="s">
        <v>707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 t="s">
        <v>6290</v>
      </c>
      <c r="D707" s="1">
        <v>42775</v>
      </c>
      <c r="E707" s="1">
        <v>42778</v>
      </c>
      <c r="F707" s="3" t="s">
        <v>708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 t="s">
        <v>6290</v>
      </c>
      <c r="D708" s="1">
        <v>42775</v>
      </c>
      <c r="E708" s="1">
        <v>42777</v>
      </c>
      <c r="F708" s="3" t="s">
        <v>707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 t="s">
        <v>6290</v>
      </c>
      <c r="D709" s="1">
        <v>42776</v>
      </c>
      <c r="E709" s="1">
        <v>42778</v>
      </c>
      <c r="F709" s="3" t="s">
        <v>707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 t="s">
        <v>6290</v>
      </c>
      <c r="D710" s="1">
        <v>42777</v>
      </c>
      <c r="E710" s="1">
        <v>42779</v>
      </c>
      <c r="F710" s="3" t="s">
        <v>709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 t="s">
        <v>6290</v>
      </c>
      <c r="D711" s="1">
        <v>42779</v>
      </c>
      <c r="E711" s="1">
        <v>42781</v>
      </c>
      <c r="F711" s="3" t="s">
        <v>710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 t="s">
        <v>6290</v>
      </c>
      <c r="D712" s="1">
        <v>42779</v>
      </c>
      <c r="E712" s="1">
        <v>42782</v>
      </c>
      <c r="F712" s="3" t="s">
        <v>711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 t="s">
        <v>6290</v>
      </c>
      <c r="D713" s="1">
        <v>42779</v>
      </c>
      <c r="E713" s="1">
        <v>42780</v>
      </c>
      <c r="F713" s="3" t="s">
        <v>710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 t="s">
        <v>6290</v>
      </c>
      <c r="D714" s="1">
        <v>42779</v>
      </c>
      <c r="E714" s="1">
        <v>42780</v>
      </c>
      <c r="F714" s="3" t="s">
        <v>712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 t="s">
        <v>6290</v>
      </c>
      <c r="D715" s="1">
        <v>42780</v>
      </c>
      <c r="E715" s="1">
        <v>42783</v>
      </c>
      <c r="F715" s="3" t="s">
        <v>712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 t="s">
        <v>6291</v>
      </c>
      <c r="D716" s="1">
        <v>42781</v>
      </c>
      <c r="E716" s="1">
        <v>42781</v>
      </c>
      <c r="F716" s="3">
        <f>orders___orders[[#This Row],[order_date]]+3</f>
        <v>42784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 t="s">
        <v>6290</v>
      </c>
      <c r="D717" s="1">
        <v>42781</v>
      </c>
      <c r="E717" s="1">
        <v>42783</v>
      </c>
      <c r="F717" s="3" t="s">
        <v>713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 t="s">
        <v>6290</v>
      </c>
      <c r="D718" s="1">
        <v>42781</v>
      </c>
      <c r="E718" s="1">
        <v>42784</v>
      </c>
      <c r="F718" s="3" t="s">
        <v>714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 t="s">
        <v>6290</v>
      </c>
      <c r="D719" s="1">
        <v>42782</v>
      </c>
      <c r="E719" s="1">
        <v>42783</v>
      </c>
      <c r="F719" s="3" t="s">
        <v>714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 t="s">
        <v>6290</v>
      </c>
      <c r="D720" s="1">
        <v>42782</v>
      </c>
      <c r="E720" s="1">
        <v>42785</v>
      </c>
      <c r="F720" s="3" t="s">
        <v>713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 t="s">
        <v>6290</v>
      </c>
      <c r="D721" s="1">
        <v>42782</v>
      </c>
      <c r="E721" s="1">
        <v>42785</v>
      </c>
      <c r="F721" s="3" t="s">
        <v>715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 t="s">
        <v>6290</v>
      </c>
      <c r="D722" s="1">
        <v>42782</v>
      </c>
      <c r="E722" s="1">
        <v>42785</v>
      </c>
      <c r="F722" s="3" t="s">
        <v>714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 t="s">
        <v>6290</v>
      </c>
      <c r="D723" s="1">
        <v>42784</v>
      </c>
      <c r="E723" s="1">
        <v>42786</v>
      </c>
      <c r="F723" s="3" t="s">
        <v>716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 t="s">
        <v>6290</v>
      </c>
      <c r="D724" s="1">
        <v>42785</v>
      </c>
      <c r="E724" s="1">
        <v>42787</v>
      </c>
      <c r="F724" s="3" t="s">
        <v>717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 t="s">
        <v>6290</v>
      </c>
      <c r="D725" s="1">
        <v>42785</v>
      </c>
      <c r="E725" s="1">
        <v>42788</v>
      </c>
      <c r="F725" s="3" t="s">
        <v>716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 t="s">
        <v>6290</v>
      </c>
      <c r="D726" s="1">
        <v>42785</v>
      </c>
      <c r="E726" s="1">
        <v>42788</v>
      </c>
      <c r="F726" s="3" t="s">
        <v>717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 t="s">
        <v>6290</v>
      </c>
      <c r="D727" s="1">
        <v>42785</v>
      </c>
      <c r="E727" s="1">
        <v>42788</v>
      </c>
      <c r="F727" s="3" t="s">
        <v>718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 t="s">
        <v>6290</v>
      </c>
      <c r="D728" s="1">
        <v>42785</v>
      </c>
      <c r="E728" s="1">
        <v>42788</v>
      </c>
      <c r="F728" s="3" t="s">
        <v>716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 t="s">
        <v>6290</v>
      </c>
      <c r="D729" s="1">
        <v>42786</v>
      </c>
      <c r="E729" s="1">
        <v>42787</v>
      </c>
      <c r="F729" s="3" t="s">
        <v>719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 t="s">
        <v>6290</v>
      </c>
      <c r="D730" s="1">
        <v>42786</v>
      </c>
      <c r="E730" s="1">
        <v>42788</v>
      </c>
      <c r="F730" s="3" t="s">
        <v>716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 t="s">
        <v>6290</v>
      </c>
      <c r="D731" s="1">
        <v>42787</v>
      </c>
      <c r="E731" s="1">
        <v>42790</v>
      </c>
      <c r="F731" s="3" t="s">
        <v>717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 t="s">
        <v>6290</v>
      </c>
      <c r="D732" s="1">
        <v>42791</v>
      </c>
      <c r="E732" s="1">
        <v>42793</v>
      </c>
      <c r="F732" s="3" t="s">
        <v>720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 t="s">
        <v>6290</v>
      </c>
      <c r="D733" s="1">
        <v>42792</v>
      </c>
      <c r="E733" s="1">
        <v>42793</v>
      </c>
      <c r="F733" s="3" t="s">
        <v>721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 t="s">
        <v>6290</v>
      </c>
      <c r="D734" s="1">
        <v>42792</v>
      </c>
      <c r="E734" s="1">
        <v>42795</v>
      </c>
      <c r="F734" s="3" t="s">
        <v>720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 t="s">
        <v>6290</v>
      </c>
      <c r="D735" s="1">
        <v>42792</v>
      </c>
      <c r="E735" s="1">
        <v>42794</v>
      </c>
      <c r="F735" s="3" t="s">
        <v>721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 t="s">
        <v>6291</v>
      </c>
      <c r="D736" s="1">
        <v>42793</v>
      </c>
      <c r="E736" s="1">
        <v>42793</v>
      </c>
      <c r="F736" s="3">
        <f>orders___orders[[#This Row],[order_date]]+3</f>
        <v>42796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 t="s">
        <v>6290</v>
      </c>
      <c r="D737" s="1">
        <v>42793</v>
      </c>
      <c r="E737" s="1">
        <v>42794</v>
      </c>
      <c r="F737" s="3" t="s">
        <v>722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 t="s">
        <v>6290</v>
      </c>
      <c r="D738" s="1">
        <v>42793</v>
      </c>
      <c r="E738" s="1">
        <v>42795</v>
      </c>
      <c r="F738" s="3" t="s">
        <v>722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 t="s">
        <v>6290</v>
      </c>
      <c r="D739" s="1">
        <v>42794</v>
      </c>
      <c r="E739" s="1">
        <v>42795</v>
      </c>
      <c r="F739" s="3" t="s">
        <v>723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 t="s">
        <v>6290</v>
      </c>
      <c r="D740" s="1">
        <v>42794</v>
      </c>
      <c r="E740" s="1">
        <v>42795</v>
      </c>
      <c r="F740" s="3" t="s">
        <v>724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 t="s">
        <v>6290</v>
      </c>
      <c r="D741" s="1">
        <v>42794</v>
      </c>
      <c r="E741" s="1">
        <v>42795</v>
      </c>
      <c r="F741" s="3" t="s">
        <v>724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 t="s">
        <v>6290</v>
      </c>
      <c r="D742" s="1">
        <v>42794</v>
      </c>
      <c r="E742" s="1">
        <v>42795</v>
      </c>
      <c r="F742" s="3" t="s">
        <v>721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 t="s">
        <v>6290</v>
      </c>
      <c r="D743" s="1">
        <v>42794</v>
      </c>
      <c r="E743" s="1">
        <v>42795</v>
      </c>
      <c r="F743" s="3" t="s">
        <v>721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 t="s">
        <v>6290</v>
      </c>
      <c r="D744" s="1">
        <v>42795</v>
      </c>
      <c r="E744" s="1">
        <v>42798</v>
      </c>
      <c r="F744" s="3" t="s">
        <v>725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 t="s">
        <v>6290</v>
      </c>
      <c r="D745" s="1">
        <v>42795</v>
      </c>
      <c r="E745" s="1">
        <v>42796</v>
      </c>
      <c r="F745" s="3" t="s">
        <v>724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 t="s">
        <v>6290</v>
      </c>
      <c r="D746" s="1">
        <v>42795</v>
      </c>
      <c r="E746" s="1">
        <v>42797</v>
      </c>
      <c r="F746" s="3" t="s">
        <v>723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 t="s">
        <v>6290</v>
      </c>
      <c r="D747" s="1">
        <v>42796</v>
      </c>
      <c r="E747" s="1">
        <v>42798</v>
      </c>
      <c r="F747" s="3" t="s">
        <v>726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 t="s">
        <v>6290</v>
      </c>
      <c r="D748" s="1">
        <v>42797</v>
      </c>
      <c r="E748" s="1">
        <v>42798</v>
      </c>
      <c r="F748" s="3" t="s">
        <v>726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 t="s">
        <v>6290</v>
      </c>
      <c r="D749" s="1">
        <v>42797</v>
      </c>
      <c r="E749" s="1">
        <v>42799</v>
      </c>
      <c r="F749" s="3" t="s">
        <v>725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 t="s">
        <v>6290</v>
      </c>
      <c r="D750" s="1">
        <v>42798</v>
      </c>
      <c r="E750" s="1">
        <v>42801</v>
      </c>
      <c r="F750" s="3" t="s">
        <v>726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 t="s">
        <v>6290</v>
      </c>
      <c r="D751" s="1">
        <v>42798</v>
      </c>
      <c r="E751" s="1">
        <v>42801</v>
      </c>
      <c r="F751" s="3" t="s">
        <v>726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 t="s">
        <v>6290</v>
      </c>
      <c r="D752" s="1">
        <v>42799</v>
      </c>
      <c r="E752" s="1">
        <v>42802</v>
      </c>
      <c r="F752" s="3" t="s">
        <v>727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 t="s">
        <v>6290</v>
      </c>
      <c r="D753" s="1">
        <v>42799</v>
      </c>
      <c r="E753" s="1">
        <v>42800</v>
      </c>
      <c r="F753" s="3" t="s">
        <v>727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 t="s">
        <v>6290</v>
      </c>
      <c r="D754" s="1">
        <v>42799</v>
      </c>
      <c r="E754" s="1">
        <v>42802</v>
      </c>
      <c r="F754" s="3" t="s">
        <v>728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 t="s">
        <v>6290</v>
      </c>
      <c r="D755" s="1">
        <v>42800</v>
      </c>
      <c r="E755" s="1">
        <v>42801</v>
      </c>
      <c r="F755" s="3" t="s">
        <v>728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 t="s">
        <v>6290</v>
      </c>
      <c r="D756" s="1">
        <v>42800</v>
      </c>
      <c r="E756" s="1">
        <v>42801</v>
      </c>
      <c r="F756" s="3" t="s">
        <v>727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 t="s">
        <v>6290</v>
      </c>
      <c r="D757" s="1">
        <v>42800</v>
      </c>
      <c r="E757" s="1">
        <v>42801</v>
      </c>
      <c r="F757" s="3" t="s">
        <v>729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 t="s">
        <v>6290</v>
      </c>
      <c r="D758" s="1">
        <v>42800</v>
      </c>
      <c r="E758" s="1">
        <v>42802</v>
      </c>
      <c r="F758" s="3" t="s">
        <v>729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 t="s">
        <v>6290</v>
      </c>
      <c r="D759" s="1">
        <v>42800</v>
      </c>
      <c r="E759" s="1">
        <v>42802</v>
      </c>
      <c r="F759" s="3" t="s">
        <v>727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 t="s">
        <v>6290</v>
      </c>
      <c r="D760" s="1">
        <v>42801</v>
      </c>
      <c r="E760" s="1">
        <v>42803</v>
      </c>
      <c r="F760" s="3" t="s">
        <v>728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 t="s">
        <v>6290</v>
      </c>
      <c r="D761" s="1">
        <v>42801</v>
      </c>
      <c r="E761" s="1">
        <v>42804</v>
      </c>
      <c r="F761" s="3" t="s">
        <v>730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 t="s">
        <v>6290</v>
      </c>
      <c r="D762" s="1">
        <v>42801</v>
      </c>
      <c r="E762" s="1">
        <v>42802</v>
      </c>
      <c r="F762" s="3" t="s">
        <v>730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 t="s">
        <v>6290</v>
      </c>
      <c r="D763" s="1">
        <v>42802</v>
      </c>
      <c r="E763" s="1">
        <v>42803</v>
      </c>
      <c r="F763" s="3" t="s">
        <v>729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 t="s">
        <v>6290</v>
      </c>
      <c r="D764" s="1">
        <v>42802</v>
      </c>
      <c r="E764" s="1">
        <v>42804</v>
      </c>
      <c r="F764" s="3" t="s">
        <v>729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 t="s">
        <v>6290</v>
      </c>
      <c r="D765" s="1">
        <v>42803</v>
      </c>
      <c r="E765" s="1">
        <v>42804</v>
      </c>
      <c r="F765" s="3" t="s">
        <v>731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 t="s">
        <v>6290</v>
      </c>
      <c r="D766" s="1">
        <v>42803</v>
      </c>
      <c r="E766" s="1">
        <v>42805</v>
      </c>
      <c r="F766" s="3" t="s">
        <v>731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 t="s">
        <v>6290</v>
      </c>
      <c r="D767" s="1">
        <v>42803</v>
      </c>
      <c r="E767" s="1">
        <v>42805</v>
      </c>
      <c r="F767" s="3" t="s">
        <v>731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 t="s">
        <v>6290</v>
      </c>
      <c r="D768" s="1">
        <v>42803</v>
      </c>
      <c r="E768" s="1">
        <v>42804</v>
      </c>
      <c r="F768" s="3" t="s">
        <v>732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 t="s">
        <v>6290</v>
      </c>
      <c r="D769" s="1">
        <v>42803</v>
      </c>
      <c r="E769" s="1">
        <v>42806</v>
      </c>
      <c r="F769" s="3" t="s">
        <v>730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 t="s">
        <v>6290</v>
      </c>
      <c r="D770" s="1">
        <v>42803</v>
      </c>
      <c r="E770" s="1">
        <v>42805</v>
      </c>
      <c r="F770" s="3" t="s">
        <v>732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 t="s">
        <v>6290</v>
      </c>
      <c r="D771" s="1">
        <v>42803</v>
      </c>
      <c r="E771" s="1">
        <v>42805</v>
      </c>
      <c r="F771" s="3" t="s">
        <v>732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 t="s">
        <v>6290</v>
      </c>
      <c r="D772" s="1">
        <v>42805</v>
      </c>
      <c r="E772" s="1">
        <v>42808</v>
      </c>
      <c r="F772" s="3" t="s">
        <v>731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 t="s">
        <v>6290</v>
      </c>
      <c r="D773" s="1">
        <v>42805</v>
      </c>
      <c r="E773" s="1">
        <v>42806</v>
      </c>
      <c r="F773" s="3" t="s">
        <v>733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 t="s">
        <v>6290</v>
      </c>
      <c r="D774" s="1">
        <v>42805</v>
      </c>
      <c r="E774" s="1">
        <v>42806</v>
      </c>
      <c r="F774" s="3" t="s">
        <v>731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 t="s">
        <v>6290</v>
      </c>
      <c r="D775" s="1">
        <v>42806</v>
      </c>
      <c r="E775" s="1">
        <v>42808</v>
      </c>
      <c r="F775" s="3" t="s">
        <v>734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 t="s">
        <v>6290</v>
      </c>
      <c r="D776" s="1">
        <v>42806</v>
      </c>
      <c r="E776" s="1">
        <v>42807</v>
      </c>
      <c r="F776" s="3" t="s">
        <v>733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 t="s">
        <v>6290</v>
      </c>
      <c r="D777" s="1">
        <v>42807</v>
      </c>
      <c r="E777" s="1">
        <v>42809</v>
      </c>
      <c r="F777" s="3" t="s">
        <v>735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 t="s">
        <v>6290</v>
      </c>
      <c r="D778" s="1">
        <v>42807</v>
      </c>
      <c r="E778" s="1">
        <v>42810</v>
      </c>
      <c r="F778" s="3" t="s">
        <v>735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 t="s">
        <v>6291</v>
      </c>
      <c r="D779" s="1">
        <v>42809</v>
      </c>
      <c r="E779" s="1">
        <v>42809</v>
      </c>
      <c r="F779" s="3">
        <f>orders___orders[[#This Row],[order_date]]+3</f>
        <v>42812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 t="s">
        <v>6290</v>
      </c>
      <c r="D780" s="1">
        <v>42809</v>
      </c>
      <c r="E780" s="1">
        <v>42810</v>
      </c>
      <c r="F780" s="3" t="s">
        <v>736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 t="s">
        <v>6290</v>
      </c>
      <c r="D781" s="1">
        <v>42809</v>
      </c>
      <c r="E781" s="1">
        <v>42811</v>
      </c>
      <c r="F781" s="3" t="s">
        <v>737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 t="s">
        <v>6290</v>
      </c>
      <c r="D782" s="1">
        <v>42809</v>
      </c>
      <c r="E782" s="1">
        <v>42810</v>
      </c>
      <c r="F782" s="3" t="s">
        <v>737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 t="s">
        <v>6290</v>
      </c>
      <c r="D783" s="1">
        <v>42809</v>
      </c>
      <c r="E783" s="1">
        <v>42810</v>
      </c>
      <c r="F783" s="3" t="s">
        <v>736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 t="s">
        <v>6290</v>
      </c>
      <c r="D784" s="1">
        <v>42810</v>
      </c>
      <c r="E784" s="1">
        <v>42813</v>
      </c>
      <c r="F784" s="3" t="s">
        <v>737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 t="s">
        <v>6290</v>
      </c>
      <c r="D785" s="1">
        <v>42810</v>
      </c>
      <c r="E785" s="1">
        <v>42813</v>
      </c>
      <c r="F785" s="3" t="s">
        <v>738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 t="s">
        <v>6290</v>
      </c>
      <c r="D786" s="1">
        <v>42812</v>
      </c>
      <c r="E786" s="1">
        <v>42813</v>
      </c>
      <c r="F786" s="3" t="s">
        <v>739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 t="s">
        <v>6290</v>
      </c>
      <c r="D787" s="1">
        <v>42812</v>
      </c>
      <c r="E787" s="1">
        <v>42814</v>
      </c>
      <c r="F787" s="3" t="s">
        <v>738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 t="s">
        <v>6290</v>
      </c>
      <c r="D788" s="1">
        <v>42812</v>
      </c>
      <c r="E788" s="1">
        <v>42814</v>
      </c>
      <c r="F788" s="3" t="s">
        <v>738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 t="s">
        <v>6290</v>
      </c>
      <c r="D789" s="1">
        <v>42812</v>
      </c>
      <c r="E789" s="1">
        <v>42814</v>
      </c>
      <c r="F789" s="3" t="s">
        <v>739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 t="s">
        <v>6290</v>
      </c>
      <c r="D790" s="1">
        <v>42813</v>
      </c>
      <c r="E790" s="1">
        <v>42814</v>
      </c>
      <c r="F790" s="3" t="s">
        <v>739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 t="s">
        <v>6290</v>
      </c>
      <c r="D791" s="1">
        <v>42813</v>
      </c>
      <c r="E791" s="1">
        <v>42815</v>
      </c>
      <c r="F791" s="3" t="s">
        <v>740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 t="s">
        <v>6290</v>
      </c>
      <c r="D792" s="1">
        <v>42814</v>
      </c>
      <c r="E792" s="1">
        <v>42816</v>
      </c>
      <c r="F792" s="3" t="s">
        <v>741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 t="s">
        <v>6290</v>
      </c>
      <c r="D793" s="1">
        <v>42816</v>
      </c>
      <c r="E793" s="1">
        <v>42817</v>
      </c>
      <c r="F793" s="3" t="s">
        <v>742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 t="s">
        <v>6290</v>
      </c>
      <c r="D794" s="1">
        <v>42817</v>
      </c>
      <c r="E794" s="1">
        <v>42818</v>
      </c>
      <c r="F794" s="3" t="s">
        <v>742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 t="s">
        <v>6290</v>
      </c>
      <c r="D795" s="1">
        <v>42817</v>
      </c>
      <c r="E795" s="1">
        <v>42819</v>
      </c>
      <c r="F795" s="3" t="s">
        <v>742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 t="s">
        <v>6290</v>
      </c>
      <c r="D796" s="1">
        <v>42817</v>
      </c>
      <c r="E796" s="1">
        <v>42819</v>
      </c>
      <c r="F796" s="3" t="s">
        <v>743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 t="s">
        <v>6290</v>
      </c>
      <c r="D797" s="1">
        <v>42817</v>
      </c>
      <c r="E797" s="1">
        <v>42820</v>
      </c>
      <c r="F797" s="3" t="s">
        <v>744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 t="s">
        <v>6290</v>
      </c>
      <c r="D798" s="1">
        <v>42818</v>
      </c>
      <c r="E798" s="1">
        <v>42820</v>
      </c>
      <c r="F798" s="3" t="s">
        <v>743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 t="s">
        <v>6290</v>
      </c>
      <c r="D799" s="1">
        <v>42820</v>
      </c>
      <c r="E799" s="1">
        <v>42822</v>
      </c>
      <c r="F799" s="3" t="s">
        <v>745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 t="s">
        <v>6290</v>
      </c>
      <c r="D800" s="1">
        <v>42821</v>
      </c>
      <c r="E800" s="1">
        <v>42822</v>
      </c>
      <c r="F800" s="3" t="s">
        <v>745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 t="s">
        <v>6290</v>
      </c>
      <c r="D801" s="1">
        <v>42821</v>
      </c>
      <c r="E801" s="1">
        <v>42823</v>
      </c>
      <c r="F801" s="3" t="s">
        <v>746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 t="s">
        <v>6290</v>
      </c>
      <c r="D802" s="1">
        <v>42822</v>
      </c>
      <c r="E802" s="1">
        <v>42823</v>
      </c>
      <c r="F802" s="3" t="s">
        <v>747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 t="s">
        <v>6290</v>
      </c>
      <c r="D803" s="1">
        <v>42822</v>
      </c>
      <c r="E803" s="1">
        <v>42823</v>
      </c>
      <c r="F803" s="3" t="s">
        <v>747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 t="s">
        <v>6290</v>
      </c>
      <c r="D804" s="1">
        <v>42822</v>
      </c>
      <c r="E804" s="1">
        <v>42825</v>
      </c>
      <c r="F804" s="3" t="s">
        <v>747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 t="s">
        <v>6290</v>
      </c>
      <c r="D805" s="1">
        <v>42823</v>
      </c>
      <c r="E805" s="1">
        <v>42825</v>
      </c>
      <c r="F805" s="3" t="s">
        <v>747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 t="s">
        <v>6290</v>
      </c>
      <c r="D806" s="1">
        <v>42823</v>
      </c>
      <c r="E806" s="1">
        <v>42824</v>
      </c>
      <c r="F806" s="3" t="s">
        <v>748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 t="s">
        <v>6290</v>
      </c>
      <c r="D807" s="1">
        <v>42824</v>
      </c>
      <c r="E807" s="1">
        <v>42825</v>
      </c>
      <c r="F807" s="3" t="s">
        <v>749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 t="s">
        <v>6290</v>
      </c>
      <c r="D808" s="1">
        <v>42824</v>
      </c>
      <c r="E808" s="1">
        <v>42826</v>
      </c>
      <c r="F808" s="3" t="s">
        <v>750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 t="s">
        <v>6290</v>
      </c>
      <c r="D809" s="1">
        <v>42825</v>
      </c>
      <c r="E809" s="1">
        <v>42827</v>
      </c>
      <c r="F809" s="3" t="s">
        <v>750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 t="s">
        <v>6290</v>
      </c>
      <c r="D810" s="1">
        <v>42825</v>
      </c>
      <c r="E810" s="1">
        <v>42828</v>
      </c>
      <c r="F810" s="3" t="s">
        <v>751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 t="s">
        <v>6291</v>
      </c>
      <c r="D811" s="1">
        <v>42826</v>
      </c>
      <c r="E811" s="1">
        <v>42826</v>
      </c>
      <c r="F811" s="3">
        <f>orders___orders[[#This Row],[order_date]]+3</f>
        <v>42829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 t="s">
        <v>6290</v>
      </c>
      <c r="D812" s="1">
        <v>42826</v>
      </c>
      <c r="E812" s="1">
        <v>42829</v>
      </c>
      <c r="F812" s="3" t="s">
        <v>752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 t="s">
        <v>6290</v>
      </c>
      <c r="D813" s="1">
        <v>42826</v>
      </c>
      <c r="E813" s="1">
        <v>42827</v>
      </c>
      <c r="F813" s="3" t="s">
        <v>751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 t="s">
        <v>6290</v>
      </c>
      <c r="D814" s="1">
        <v>42826</v>
      </c>
      <c r="E814" s="1">
        <v>42828</v>
      </c>
      <c r="F814" s="3" t="s">
        <v>750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 t="s">
        <v>6290</v>
      </c>
      <c r="D815" s="1">
        <v>42827</v>
      </c>
      <c r="E815" s="1">
        <v>42830</v>
      </c>
      <c r="F815" s="3" t="s">
        <v>751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 t="s">
        <v>6290</v>
      </c>
      <c r="D816" s="1">
        <v>42828</v>
      </c>
      <c r="E816" s="1">
        <v>42830</v>
      </c>
      <c r="F816" s="3" t="s">
        <v>752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 t="s">
        <v>6290</v>
      </c>
      <c r="D817" s="1">
        <v>42828</v>
      </c>
      <c r="E817" s="1">
        <v>42830</v>
      </c>
      <c r="F817" s="3" t="s">
        <v>753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 t="s">
        <v>6290</v>
      </c>
      <c r="D818" s="1">
        <v>42829</v>
      </c>
      <c r="E818" s="1">
        <v>42830</v>
      </c>
      <c r="F818" s="3" t="s">
        <v>754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 t="s">
        <v>6290</v>
      </c>
      <c r="D819" s="1">
        <v>42829</v>
      </c>
      <c r="E819" s="1">
        <v>42832</v>
      </c>
      <c r="F819" s="3" t="s">
        <v>754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 t="s">
        <v>6290</v>
      </c>
      <c r="D820" s="1">
        <v>42829</v>
      </c>
      <c r="E820" s="1">
        <v>42832</v>
      </c>
      <c r="F820" s="3" t="s">
        <v>753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 t="s">
        <v>6290</v>
      </c>
      <c r="D821" s="1">
        <v>42830</v>
      </c>
      <c r="E821" s="1">
        <v>42833</v>
      </c>
      <c r="F821" s="3" t="s">
        <v>754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 t="s">
        <v>6290</v>
      </c>
      <c r="D822" s="1">
        <v>42830</v>
      </c>
      <c r="E822" s="1">
        <v>42832</v>
      </c>
      <c r="F822" s="3" t="s">
        <v>755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 t="s">
        <v>6290</v>
      </c>
      <c r="D823" s="1">
        <v>42831</v>
      </c>
      <c r="E823" s="1">
        <v>42833</v>
      </c>
      <c r="F823" s="3" t="s">
        <v>756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 t="s">
        <v>6290</v>
      </c>
      <c r="D824" s="1">
        <v>42831</v>
      </c>
      <c r="E824" s="1">
        <v>42832</v>
      </c>
      <c r="F824" s="3" t="s">
        <v>755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 t="s">
        <v>6290</v>
      </c>
      <c r="D825" s="1">
        <v>42832</v>
      </c>
      <c r="E825" s="1">
        <v>42834</v>
      </c>
      <c r="F825" s="3" t="s">
        <v>757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 t="s">
        <v>6290</v>
      </c>
      <c r="D826" s="1">
        <v>42832</v>
      </c>
      <c r="E826" s="1">
        <v>42833</v>
      </c>
      <c r="F826" s="3" t="s">
        <v>756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 t="s">
        <v>6290</v>
      </c>
      <c r="D827" s="1">
        <v>42832</v>
      </c>
      <c r="E827" s="1">
        <v>42835</v>
      </c>
      <c r="F827" s="3" t="s">
        <v>757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 t="s">
        <v>6290</v>
      </c>
      <c r="D828" s="1">
        <v>42832</v>
      </c>
      <c r="E828" s="1">
        <v>42835</v>
      </c>
      <c r="F828" s="3" t="s">
        <v>757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 t="s">
        <v>6290</v>
      </c>
      <c r="D829" s="1">
        <v>42834</v>
      </c>
      <c r="E829" s="1">
        <v>42835</v>
      </c>
      <c r="F829" s="3" t="s">
        <v>758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 t="s">
        <v>6290</v>
      </c>
      <c r="D830" s="1">
        <v>42834</v>
      </c>
      <c r="E830" s="1">
        <v>42835</v>
      </c>
      <c r="F830" s="3" t="s">
        <v>757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 t="s">
        <v>6290</v>
      </c>
      <c r="D831" s="1">
        <v>42836</v>
      </c>
      <c r="E831" s="1">
        <v>42839</v>
      </c>
      <c r="F831" s="3" t="s">
        <v>758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 t="s">
        <v>6290</v>
      </c>
      <c r="D832" s="1">
        <v>42836</v>
      </c>
      <c r="E832" s="1">
        <v>42837</v>
      </c>
      <c r="F832" s="3" t="s">
        <v>758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 t="s">
        <v>6290</v>
      </c>
      <c r="D833" s="1">
        <v>42836</v>
      </c>
      <c r="E833" s="1">
        <v>42837</v>
      </c>
      <c r="F833" s="3" t="s">
        <v>758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 t="s">
        <v>6290</v>
      </c>
      <c r="D834" s="1">
        <v>42837</v>
      </c>
      <c r="E834" s="1">
        <v>42839</v>
      </c>
      <c r="F834" s="3" t="s">
        <v>759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 t="s">
        <v>6290</v>
      </c>
      <c r="D835" s="1">
        <v>42837</v>
      </c>
      <c r="E835" s="1">
        <v>42838</v>
      </c>
      <c r="F835" s="3" t="s">
        <v>759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 t="s">
        <v>6290</v>
      </c>
      <c r="D836" s="1">
        <v>42838</v>
      </c>
      <c r="E836" s="1">
        <v>42840</v>
      </c>
      <c r="F836" s="3" t="s">
        <v>760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 t="s">
        <v>6290</v>
      </c>
      <c r="D837" s="1">
        <v>42838</v>
      </c>
      <c r="E837" s="1">
        <v>42841</v>
      </c>
      <c r="F837" s="3" t="s">
        <v>760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 t="s">
        <v>6290</v>
      </c>
      <c r="D838" s="1">
        <v>42838</v>
      </c>
      <c r="E838" s="1">
        <v>42841</v>
      </c>
      <c r="F838" s="3" t="s">
        <v>760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 t="s">
        <v>6290</v>
      </c>
      <c r="D839" s="1">
        <v>42839</v>
      </c>
      <c r="E839" s="1">
        <v>42842</v>
      </c>
      <c r="F839" s="3" t="s">
        <v>759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 t="s">
        <v>6290</v>
      </c>
      <c r="D840" s="1">
        <v>42840</v>
      </c>
      <c r="E840" s="1">
        <v>42843</v>
      </c>
      <c r="F840" s="3" t="s">
        <v>761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 t="s">
        <v>6290</v>
      </c>
      <c r="D841" s="1">
        <v>42840</v>
      </c>
      <c r="E841" s="1">
        <v>42841</v>
      </c>
      <c r="F841" s="3" t="s">
        <v>761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 t="s">
        <v>6290</v>
      </c>
      <c r="D842" s="1">
        <v>42840</v>
      </c>
      <c r="E842" s="1">
        <v>42843</v>
      </c>
      <c r="F842" s="3" t="s">
        <v>762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 t="s">
        <v>6290</v>
      </c>
      <c r="D843" s="1">
        <v>42840</v>
      </c>
      <c r="E843" s="1">
        <v>42843</v>
      </c>
      <c r="F843" s="3" t="s">
        <v>761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 t="s">
        <v>6290</v>
      </c>
      <c r="D844" s="1">
        <v>42841</v>
      </c>
      <c r="E844" s="1">
        <v>42842</v>
      </c>
      <c r="F844" s="3" t="s">
        <v>763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 t="s">
        <v>6290</v>
      </c>
      <c r="D845" s="1">
        <v>42841</v>
      </c>
      <c r="E845" s="1">
        <v>42842</v>
      </c>
      <c r="F845" s="3" t="s">
        <v>764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 t="s">
        <v>6290</v>
      </c>
      <c r="D846" s="1">
        <v>42842</v>
      </c>
      <c r="E846" s="1">
        <v>42843</v>
      </c>
      <c r="F846" s="3" t="s">
        <v>764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 t="s">
        <v>6290</v>
      </c>
      <c r="D847" s="1">
        <v>42842</v>
      </c>
      <c r="E847" s="1">
        <v>42844</v>
      </c>
      <c r="F847" s="3" t="s">
        <v>763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 t="s">
        <v>6290</v>
      </c>
      <c r="D848" s="1">
        <v>42843</v>
      </c>
      <c r="E848" s="1">
        <v>42844</v>
      </c>
      <c r="F848" s="3" t="s">
        <v>763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 t="s">
        <v>6290</v>
      </c>
      <c r="D849" s="1">
        <v>42843</v>
      </c>
      <c r="E849" s="1">
        <v>42845</v>
      </c>
      <c r="F849" s="3" t="s">
        <v>765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 t="s">
        <v>6290</v>
      </c>
      <c r="D850" s="1">
        <v>42844</v>
      </c>
      <c r="E850" s="1">
        <v>42845</v>
      </c>
      <c r="F850" s="3" t="s">
        <v>766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 t="s">
        <v>6290</v>
      </c>
      <c r="D851" s="1">
        <v>42844</v>
      </c>
      <c r="E851" s="1">
        <v>42847</v>
      </c>
      <c r="F851" s="3" t="s">
        <v>767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 t="s">
        <v>6290</v>
      </c>
      <c r="D852" s="1">
        <v>42845</v>
      </c>
      <c r="E852" s="1">
        <v>42846</v>
      </c>
      <c r="F852" s="3" t="s">
        <v>767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 t="s">
        <v>6290</v>
      </c>
      <c r="D853" s="1">
        <v>42846</v>
      </c>
      <c r="E853" s="1">
        <v>42848</v>
      </c>
      <c r="F853" s="3" t="s">
        <v>767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 t="s">
        <v>6290</v>
      </c>
      <c r="D854" s="1">
        <v>42846</v>
      </c>
      <c r="E854" s="1">
        <v>42849</v>
      </c>
      <c r="F854" s="3" t="s">
        <v>768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 t="s">
        <v>6290</v>
      </c>
      <c r="D855" s="1">
        <v>42847</v>
      </c>
      <c r="E855" s="1">
        <v>42850</v>
      </c>
      <c r="F855" s="3" t="s">
        <v>769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 t="s">
        <v>6290</v>
      </c>
      <c r="D856" s="1">
        <v>42847</v>
      </c>
      <c r="E856" s="1">
        <v>42848</v>
      </c>
      <c r="F856" s="3" t="s">
        <v>770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 t="s">
        <v>6290</v>
      </c>
      <c r="D857" s="1">
        <v>42848</v>
      </c>
      <c r="E857" s="1">
        <v>42850</v>
      </c>
      <c r="F857" s="3" t="s">
        <v>771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 t="s">
        <v>6290</v>
      </c>
      <c r="D858" s="1">
        <v>42849</v>
      </c>
      <c r="E858" s="1">
        <v>42850</v>
      </c>
      <c r="F858" s="3" t="s">
        <v>771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 t="s">
        <v>6290</v>
      </c>
      <c r="D859" s="1">
        <v>42850</v>
      </c>
      <c r="E859" s="1">
        <v>42852</v>
      </c>
      <c r="F859" s="3" t="s">
        <v>772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 t="s">
        <v>6290</v>
      </c>
      <c r="D860" s="1">
        <v>42850</v>
      </c>
      <c r="E860" s="1">
        <v>42851</v>
      </c>
      <c r="F860" s="3" t="s">
        <v>771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 t="s">
        <v>6290</v>
      </c>
      <c r="D861" s="1">
        <v>42852</v>
      </c>
      <c r="E861" s="1">
        <v>42854</v>
      </c>
      <c r="F861" s="3" t="s">
        <v>772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 t="s">
        <v>6290</v>
      </c>
      <c r="D862" s="1">
        <v>42852</v>
      </c>
      <c r="E862" s="1">
        <v>42854</v>
      </c>
      <c r="F862" s="3" t="s">
        <v>773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 t="s">
        <v>6290</v>
      </c>
      <c r="D863" s="1">
        <v>42852</v>
      </c>
      <c r="E863" s="1">
        <v>42855</v>
      </c>
      <c r="F863" s="3" t="s">
        <v>774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 t="s">
        <v>6290</v>
      </c>
      <c r="D864" s="1">
        <v>42853</v>
      </c>
      <c r="E864" s="1">
        <v>42855</v>
      </c>
      <c r="F864" s="3" t="s">
        <v>775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 t="s">
        <v>6290</v>
      </c>
      <c r="D865" s="1">
        <v>42853</v>
      </c>
      <c r="E865" s="1">
        <v>42855</v>
      </c>
      <c r="F865" s="3" t="s">
        <v>774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 t="s">
        <v>6290</v>
      </c>
      <c r="D866" s="1">
        <v>42854</v>
      </c>
      <c r="E866" s="1">
        <v>42857</v>
      </c>
      <c r="F866" s="3" t="s">
        <v>775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 t="s">
        <v>6290</v>
      </c>
      <c r="D867" s="1">
        <v>42854</v>
      </c>
      <c r="E867" s="1">
        <v>42855</v>
      </c>
      <c r="F867" s="3" t="s">
        <v>775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 t="s">
        <v>6290</v>
      </c>
      <c r="D868" s="1">
        <v>42856</v>
      </c>
      <c r="E868" s="1">
        <v>42858</v>
      </c>
      <c r="F868" s="3" t="s">
        <v>776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 t="s">
        <v>6290</v>
      </c>
      <c r="D869" s="1">
        <v>42856</v>
      </c>
      <c r="E869" s="1">
        <v>42859</v>
      </c>
      <c r="F869" s="3" t="s">
        <v>776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 t="s">
        <v>6290</v>
      </c>
      <c r="D870" s="1">
        <v>42856</v>
      </c>
      <c r="E870" s="1">
        <v>42859</v>
      </c>
      <c r="F870" s="3" t="s">
        <v>776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 t="s">
        <v>6290</v>
      </c>
      <c r="D871" s="1">
        <v>42856</v>
      </c>
      <c r="E871" s="1">
        <v>42859</v>
      </c>
      <c r="F871" s="3" t="s">
        <v>776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 t="s">
        <v>6290</v>
      </c>
      <c r="D872" s="1">
        <v>42857</v>
      </c>
      <c r="E872" s="1">
        <v>42859</v>
      </c>
      <c r="F872" s="3" t="s">
        <v>777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 t="s">
        <v>6290</v>
      </c>
      <c r="D873" s="1">
        <v>42858</v>
      </c>
      <c r="E873" s="1">
        <v>42861</v>
      </c>
      <c r="F873" s="3" t="s">
        <v>778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 t="s">
        <v>6290</v>
      </c>
      <c r="D874" s="1">
        <v>42858</v>
      </c>
      <c r="E874" s="1">
        <v>42860</v>
      </c>
      <c r="F874" s="3" t="s">
        <v>779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 t="s">
        <v>6290</v>
      </c>
      <c r="D875" s="1">
        <v>42859</v>
      </c>
      <c r="E875" s="1">
        <v>42860</v>
      </c>
      <c r="F875" s="3" t="s">
        <v>778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 t="s">
        <v>6290</v>
      </c>
      <c r="D876" s="1">
        <v>42860</v>
      </c>
      <c r="E876" s="1">
        <v>42861</v>
      </c>
      <c r="F876" s="3" t="s">
        <v>780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 t="s">
        <v>6290</v>
      </c>
      <c r="D877" s="1">
        <v>42860</v>
      </c>
      <c r="E877" s="1">
        <v>42863</v>
      </c>
      <c r="F877" s="3" t="s">
        <v>778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 t="s">
        <v>6290</v>
      </c>
      <c r="D878" s="1">
        <v>42861</v>
      </c>
      <c r="E878" s="1">
        <v>42862</v>
      </c>
      <c r="F878" s="3" t="s">
        <v>780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 t="s">
        <v>6290</v>
      </c>
      <c r="D879" s="1">
        <v>42862</v>
      </c>
      <c r="E879" s="1">
        <v>42865</v>
      </c>
      <c r="F879" s="3" t="s">
        <v>781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 t="s">
        <v>6290</v>
      </c>
      <c r="D880" s="1">
        <v>42863</v>
      </c>
      <c r="E880" s="1">
        <v>42864</v>
      </c>
      <c r="F880" s="3" t="s">
        <v>781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 t="s">
        <v>6290</v>
      </c>
      <c r="D881" s="1">
        <v>42863</v>
      </c>
      <c r="E881" s="1">
        <v>42866</v>
      </c>
      <c r="F881" s="3" t="s">
        <v>782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 t="s">
        <v>6290</v>
      </c>
      <c r="D882" s="1">
        <v>42863</v>
      </c>
      <c r="E882" s="1">
        <v>42866</v>
      </c>
      <c r="F882" s="3" t="s">
        <v>783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 t="s">
        <v>6290</v>
      </c>
      <c r="D883" s="1">
        <v>42864</v>
      </c>
      <c r="E883" s="1">
        <v>42867</v>
      </c>
      <c r="F883" s="3" t="s">
        <v>782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 t="s">
        <v>6290</v>
      </c>
      <c r="D884" s="1">
        <v>42866</v>
      </c>
      <c r="E884" s="1">
        <v>42868</v>
      </c>
      <c r="F884" s="3" t="s">
        <v>784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 t="s">
        <v>6290</v>
      </c>
      <c r="D885" s="1">
        <v>42866</v>
      </c>
      <c r="E885" s="1">
        <v>42868</v>
      </c>
      <c r="F885" s="3" t="s">
        <v>785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 t="s">
        <v>6291</v>
      </c>
      <c r="D886" s="1">
        <v>42868</v>
      </c>
      <c r="E886" s="1">
        <v>42868</v>
      </c>
      <c r="F886" s="3">
        <f>orders___orders[[#This Row],[order_date]]+3</f>
        <v>42871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 t="s">
        <v>6290</v>
      </c>
      <c r="D887" s="1">
        <v>42868</v>
      </c>
      <c r="E887" s="1">
        <v>42869</v>
      </c>
      <c r="F887" s="3" t="s">
        <v>786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 t="s">
        <v>6290</v>
      </c>
      <c r="D888" s="1">
        <v>42868</v>
      </c>
      <c r="E888" s="1">
        <v>42870</v>
      </c>
      <c r="F888" s="3" t="s">
        <v>786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 t="s">
        <v>6290</v>
      </c>
      <c r="D889" s="1">
        <v>42869</v>
      </c>
      <c r="E889" s="1">
        <v>42871</v>
      </c>
      <c r="F889" s="3" t="s">
        <v>787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 t="s">
        <v>6290</v>
      </c>
      <c r="D890" s="1">
        <v>42869</v>
      </c>
      <c r="E890" s="1">
        <v>42872</v>
      </c>
      <c r="F890" s="3" t="s">
        <v>786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 t="s">
        <v>6290</v>
      </c>
      <c r="D891" s="1">
        <v>42870</v>
      </c>
      <c r="E891" s="1">
        <v>42873</v>
      </c>
      <c r="F891" s="3" t="s">
        <v>788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 t="s">
        <v>6290</v>
      </c>
      <c r="D892" s="1">
        <v>42870</v>
      </c>
      <c r="E892" s="1">
        <v>42873</v>
      </c>
      <c r="F892" s="3" t="s">
        <v>787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 t="s">
        <v>6290</v>
      </c>
      <c r="D893" s="1">
        <v>42870</v>
      </c>
      <c r="E893" s="1">
        <v>42873</v>
      </c>
      <c r="F893" s="3" t="s">
        <v>789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 t="s">
        <v>6290</v>
      </c>
      <c r="D894" s="1">
        <v>42871</v>
      </c>
      <c r="E894" s="1">
        <v>42874</v>
      </c>
      <c r="F894" s="3" t="s">
        <v>790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 t="s">
        <v>6290</v>
      </c>
      <c r="D895" s="1">
        <v>42871</v>
      </c>
      <c r="E895" s="1">
        <v>42874</v>
      </c>
      <c r="F895" s="3" t="s">
        <v>790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 t="s">
        <v>6290</v>
      </c>
      <c r="D896" s="1">
        <v>42873</v>
      </c>
      <c r="E896" s="1">
        <v>42876</v>
      </c>
      <c r="F896" s="3" t="s">
        <v>790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 t="s">
        <v>6290</v>
      </c>
      <c r="D897" s="1">
        <v>42874</v>
      </c>
      <c r="E897" s="1">
        <v>42877</v>
      </c>
      <c r="F897" s="3" t="s">
        <v>791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 t="s">
        <v>6290</v>
      </c>
      <c r="D898" s="1">
        <v>42875</v>
      </c>
      <c r="E898" s="1">
        <v>42876</v>
      </c>
      <c r="F898" s="3" t="s">
        <v>791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 t="s">
        <v>6290</v>
      </c>
      <c r="D899" s="1">
        <v>42875</v>
      </c>
      <c r="E899" s="1">
        <v>42876</v>
      </c>
      <c r="F899" s="3" t="s">
        <v>792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 t="s">
        <v>6290</v>
      </c>
      <c r="D900" s="1">
        <v>42875</v>
      </c>
      <c r="E900" s="1">
        <v>42876</v>
      </c>
      <c r="F900" s="3" t="s">
        <v>791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 t="s">
        <v>6290</v>
      </c>
      <c r="D901" s="1">
        <v>42875</v>
      </c>
      <c r="E901" s="1">
        <v>42876</v>
      </c>
      <c r="F901" s="3" t="s">
        <v>792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 t="s">
        <v>6290</v>
      </c>
      <c r="D902" s="1">
        <v>42876</v>
      </c>
      <c r="E902" s="1">
        <v>42877</v>
      </c>
      <c r="F902" s="3" t="s">
        <v>793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 t="s">
        <v>6290</v>
      </c>
      <c r="D903" s="1">
        <v>42876</v>
      </c>
      <c r="E903" s="1">
        <v>42879</v>
      </c>
      <c r="F903" s="3" t="s">
        <v>792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 t="s">
        <v>6290</v>
      </c>
      <c r="D904" s="1">
        <v>42877</v>
      </c>
      <c r="E904" s="1">
        <v>42878</v>
      </c>
      <c r="F904" s="3" t="s">
        <v>793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 t="s">
        <v>6290</v>
      </c>
      <c r="D905" s="1">
        <v>42878</v>
      </c>
      <c r="E905" s="1">
        <v>42881</v>
      </c>
      <c r="F905" s="3" t="s">
        <v>793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 t="s">
        <v>6290</v>
      </c>
      <c r="D906" s="1">
        <v>42878</v>
      </c>
      <c r="E906" s="1">
        <v>42881</v>
      </c>
      <c r="F906" s="3" t="s">
        <v>793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 t="s">
        <v>6290</v>
      </c>
      <c r="D907" s="1">
        <v>42878</v>
      </c>
      <c r="E907" s="1">
        <v>42881</v>
      </c>
      <c r="F907" s="3" t="s">
        <v>794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 t="s">
        <v>6290</v>
      </c>
      <c r="D908" s="1">
        <v>42879</v>
      </c>
      <c r="E908" s="1">
        <v>42881</v>
      </c>
      <c r="F908" s="3" t="s">
        <v>795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 t="s">
        <v>6290</v>
      </c>
      <c r="D909" s="1">
        <v>42880</v>
      </c>
      <c r="E909" s="1">
        <v>42883</v>
      </c>
      <c r="F909" s="3" t="s">
        <v>795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 t="s">
        <v>6290</v>
      </c>
      <c r="D910" s="1">
        <v>42881</v>
      </c>
      <c r="E910" s="1">
        <v>42882</v>
      </c>
      <c r="F910" s="3" t="s">
        <v>796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 t="s">
        <v>6290</v>
      </c>
      <c r="D911" s="1">
        <v>42881</v>
      </c>
      <c r="E911" s="1">
        <v>42883</v>
      </c>
      <c r="F911" s="3" t="s">
        <v>796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 t="s">
        <v>6290</v>
      </c>
      <c r="D912" s="1">
        <v>42881</v>
      </c>
      <c r="E912" s="1">
        <v>42884</v>
      </c>
      <c r="F912" s="3" t="s">
        <v>797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 t="s">
        <v>6290</v>
      </c>
      <c r="D913" s="1">
        <v>42882</v>
      </c>
      <c r="E913" s="1">
        <v>42884</v>
      </c>
      <c r="F913" s="3" t="s">
        <v>797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 t="s">
        <v>6290</v>
      </c>
      <c r="D914" s="1">
        <v>42882</v>
      </c>
      <c r="E914" s="1">
        <v>42884</v>
      </c>
      <c r="F914" s="3" t="s">
        <v>797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 t="s">
        <v>6290</v>
      </c>
      <c r="D915" s="1">
        <v>42883</v>
      </c>
      <c r="E915" s="1">
        <v>42886</v>
      </c>
      <c r="F915" s="3" t="s">
        <v>798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 t="s">
        <v>6290</v>
      </c>
      <c r="D916" s="1">
        <v>42883</v>
      </c>
      <c r="E916" s="1">
        <v>42885</v>
      </c>
      <c r="F916" s="3" t="s">
        <v>799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 t="s">
        <v>6290</v>
      </c>
      <c r="D917" s="1">
        <v>42883</v>
      </c>
      <c r="E917" s="1">
        <v>42884</v>
      </c>
      <c r="F917" s="3" t="s">
        <v>797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 t="s">
        <v>6290</v>
      </c>
      <c r="D918" s="1">
        <v>42884</v>
      </c>
      <c r="E918" s="1">
        <v>42886</v>
      </c>
      <c r="F918" s="3" t="s">
        <v>800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 t="s">
        <v>6290</v>
      </c>
      <c r="D919" s="1">
        <v>42885</v>
      </c>
      <c r="E919" s="1">
        <v>42886</v>
      </c>
      <c r="F919" s="3" t="s">
        <v>798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 t="s">
        <v>6290</v>
      </c>
      <c r="D920" s="1">
        <v>42885</v>
      </c>
      <c r="E920" s="1">
        <v>42886</v>
      </c>
      <c r="F920" s="3" t="s">
        <v>798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 t="s">
        <v>6290</v>
      </c>
      <c r="D921" s="1">
        <v>42885</v>
      </c>
      <c r="E921" s="1">
        <v>42887</v>
      </c>
      <c r="F921" s="3" t="s">
        <v>801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 t="s">
        <v>6290</v>
      </c>
      <c r="D922" s="1">
        <v>42886</v>
      </c>
      <c r="E922" s="1">
        <v>42888</v>
      </c>
      <c r="F922" s="3" t="s">
        <v>801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 t="s">
        <v>6290</v>
      </c>
      <c r="D923" s="1">
        <v>42886</v>
      </c>
      <c r="E923" s="1">
        <v>42887</v>
      </c>
      <c r="F923" s="3" t="s">
        <v>802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 t="s">
        <v>6290</v>
      </c>
      <c r="D924" s="1">
        <v>42886</v>
      </c>
      <c r="E924" s="1">
        <v>42889</v>
      </c>
      <c r="F924" s="3" t="s">
        <v>801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 t="s">
        <v>6291</v>
      </c>
      <c r="D925" s="1">
        <v>42888</v>
      </c>
      <c r="E925" s="1">
        <v>42888</v>
      </c>
      <c r="F925" s="3">
        <f>orders___orders[[#This Row],[order_date]]+3</f>
        <v>42891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 t="s">
        <v>6290</v>
      </c>
      <c r="D926" s="1">
        <v>42888</v>
      </c>
      <c r="E926" s="1">
        <v>42891</v>
      </c>
      <c r="F926" s="3" t="s">
        <v>802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 t="s">
        <v>6290</v>
      </c>
      <c r="D927" s="1">
        <v>42889</v>
      </c>
      <c r="E927" s="1">
        <v>42891</v>
      </c>
      <c r="F927" s="3" t="s">
        <v>803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 t="s">
        <v>6290</v>
      </c>
      <c r="D928" s="1">
        <v>42889</v>
      </c>
      <c r="E928" s="1">
        <v>42891</v>
      </c>
      <c r="F928" s="3" t="s">
        <v>803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 t="s">
        <v>6290</v>
      </c>
      <c r="D929" s="1">
        <v>42891</v>
      </c>
      <c r="E929" s="1">
        <v>42892</v>
      </c>
      <c r="F929" s="3" t="s">
        <v>803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 t="s">
        <v>6290</v>
      </c>
      <c r="D930" s="1">
        <v>42891</v>
      </c>
      <c r="E930" s="1">
        <v>42892</v>
      </c>
      <c r="F930" s="3" t="s">
        <v>804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 t="s">
        <v>6290</v>
      </c>
      <c r="D931" s="1">
        <v>42891</v>
      </c>
      <c r="E931" s="1">
        <v>42892</v>
      </c>
      <c r="F931" s="3" t="s">
        <v>803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 t="s">
        <v>6290</v>
      </c>
      <c r="D932" s="1">
        <v>42893</v>
      </c>
      <c r="E932" s="1">
        <v>42894</v>
      </c>
      <c r="F932" s="3" t="s">
        <v>804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 t="s">
        <v>6290</v>
      </c>
      <c r="D933" s="1">
        <v>42893</v>
      </c>
      <c r="E933" s="1">
        <v>42894</v>
      </c>
      <c r="F933" s="3" t="s">
        <v>805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 t="s">
        <v>6290</v>
      </c>
      <c r="D934" s="1">
        <v>42893</v>
      </c>
      <c r="E934" s="1">
        <v>42896</v>
      </c>
      <c r="F934" s="3" t="s">
        <v>804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 t="s">
        <v>6290</v>
      </c>
      <c r="D935" s="1">
        <v>42895</v>
      </c>
      <c r="E935" s="1">
        <v>42896</v>
      </c>
      <c r="F935" s="3" t="s">
        <v>806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 t="s">
        <v>6291</v>
      </c>
      <c r="D936" s="1">
        <v>42896</v>
      </c>
      <c r="E936" s="1">
        <v>42896</v>
      </c>
      <c r="F936" s="3">
        <f>orders___orders[[#This Row],[order_date]]+3</f>
        <v>42899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 t="s">
        <v>6290</v>
      </c>
      <c r="D937" s="1">
        <v>42896</v>
      </c>
      <c r="E937" s="1">
        <v>42899</v>
      </c>
      <c r="F937" s="3" t="s">
        <v>806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 t="s">
        <v>6290</v>
      </c>
      <c r="D938" s="1">
        <v>42897</v>
      </c>
      <c r="E938" s="1">
        <v>42900</v>
      </c>
      <c r="F938" s="3" t="s">
        <v>807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 t="s">
        <v>6290</v>
      </c>
      <c r="D939" s="1">
        <v>42897</v>
      </c>
      <c r="E939" s="1">
        <v>42898</v>
      </c>
      <c r="F939" s="3" t="s">
        <v>806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 t="s">
        <v>6290</v>
      </c>
      <c r="D940" s="1">
        <v>42897</v>
      </c>
      <c r="E940" s="1">
        <v>42898</v>
      </c>
      <c r="F940" s="3" t="s">
        <v>808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 t="s">
        <v>6290</v>
      </c>
      <c r="D941" s="1">
        <v>42898</v>
      </c>
      <c r="E941" s="1">
        <v>42900</v>
      </c>
      <c r="F941" s="3" t="s">
        <v>807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 t="s">
        <v>6290</v>
      </c>
      <c r="D942" s="1">
        <v>42898</v>
      </c>
      <c r="E942" s="1">
        <v>42900</v>
      </c>
      <c r="F942" s="3" t="s">
        <v>808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 t="s">
        <v>6290</v>
      </c>
      <c r="D943" s="1">
        <v>42899</v>
      </c>
      <c r="E943" s="1">
        <v>42902</v>
      </c>
      <c r="F943" s="3" t="s">
        <v>809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 t="s">
        <v>6290</v>
      </c>
      <c r="D944" s="1">
        <v>42899</v>
      </c>
      <c r="E944" s="1">
        <v>42901</v>
      </c>
      <c r="F944" s="3" t="s">
        <v>809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 t="s">
        <v>6290</v>
      </c>
      <c r="D945" s="1">
        <v>42900</v>
      </c>
      <c r="E945" s="1">
        <v>42901</v>
      </c>
      <c r="F945" s="3" t="s">
        <v>810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 t="s">
        <v>6290</v>
      </c>
      <c r="D946" s="1">
        <v>42900</v>
      </c>
      <c r="E946" s="1">
        <v>42901</v>
      </c>
      <c r="F946" s="3" t="s">
        <v>811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 t="s">
        <v>6290</v>
      </c>
      <c r="D947" s="1">
        <v>42900</v>
      </c>
      <c r="E947" s="1">
        <v>42902</v>
      </c>
      <c r="F947" s="3" t="s">
        <v>809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 t="s">
        <v>6290</v>
      </c>
      <c r="D948" s="1">
        <v>42901</v>
      </c>
      <c r="E948" s="1">
        <v>42904</v>
      </c>
      <c r="F948" s="3" t="s">
        <v>810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 t="s">
        <v>6290</v>
      </c>
      <c r="D949" s="1">
        <v>42901</v>
      </c>
      <c r="E949" s="1">
        <v>42903</v>
      </c>
      <c r="F949" s="3" t="s">
        <v>810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 t="s">
        <v>6290</v>
      </c>
      <c r="D950" s="1">
        <v>42902</v>
      </c>
      <c r="E950" s="1">
        <v>42904</v>
      </c>
      <c r="F950" s="3" t="s">
        <v>810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 t="s">
        <v>6290</v>
      </c>
      <c r="D951" s="1">
        <v>42902</v>
      </c>
      <c r="E951" s="1">
        <v>42905</v>
      </c>
      <c r="F951" s="3" t="s">
        <v>812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 t="s">
        <v>6290</v>
      </c>
      <c r="D952" s="1">
        <v>42902</v>
      </c>
      <c r="E952" s="1">
        <v>42905</v>
      </c>
      <c r="F952" s="3" t="s">
        <v>813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 t="s">
        <v>6290</v>
      </c>
      <c r="D953" s="1">
        <v>42902</v>
      </c>
      <c r="E953" s="1">
        <v>42904</v>
      </c>
      <c r="F953" s="3" t="s">
        <v>812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 t="s">
        <v>6290</v>
      </c>
      <c r="D954" s="1">
        <v>42902</v>
      </c>
      <c r="E954" s="1">
        <v>42904</v>
      </c>
      <c r="F954" s="3" t="s">
        <v>810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 t="s">
        <v>6290</v>
      </c>
      <c r="D955" s="1">
        <v>42903</v>
      </c>
      <c r="E955" s="1">
        <v>42906</v>
      </c>
      <c r="F955" s="3" t="s">
        <v>814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 t="s">
        <v>6290</v>
      </c>
      <c r="D956" s="1">
        <v>42903</v>
      </c>
      <c r="E956" s="1">
        <v>42905</v>
      </c>
      <c r="F956" s="3" t="s">
        <v>812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 t="s">
        <v>6290</v>
      </c>
      <c r="D957" s="1">
        <v>42903</v>
      </c>
      <c r="E957" s="1">
        <v>42905</v>
      </c>
      <c r="F957" s="3" t="s">
        <v>814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 t="s">
        <v>6290</v>
      </c>
      <c r="D958" s="1">
        <v>42903</v>
      </c>
      <c r="E958" s="1">
        <v>42906</v>
      </c>
      <c r="F958" s="3" t="s">
        <v>814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 t="s">
        <v>6290</v>
      </c>
      <c r="D959" s="1">
        <v>42904</v>
      </c>
      <c r="E959" s="1">
        <v>42906</v>
      </c>
      <c r="F959" s="3" t="s">
        <v>813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 t="s">
        <v>6290</v>
      </c>
      <c r="D960" s="1">
        <v>42904</v>
      </c>
      <c r="E960" s="1">
        <v>42907</v>
      </c>
      <c r="F960" s="3" t="s">
        <v>815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 t="s">
        <v>6290</v>
      </c>
      <c r="D961" s="1">
        <v>42904</v>
      </c>
      <c r="E961" s="1">
        <v>42905</v>
      </c>
      <c r="F961" s="3" t="s">
        <v>813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 t="s">
        <v>6290</v>
      </c>
      <c r="D962" s="1">
        <v>42905</v>
      </c>
      <c r="E962" s="1">
        <v>42907</v>
      </c>
      <c r="F962" s="3" t="s">
        <v>816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 t="s">
        <v>6290</v>
      </c>
      <c r="D963" s="1">
        <v>42905</v>
      </c>
      <c r="E963" s="1">
        <v>42908</v>
      </c>
      <c r="F963" s="3" t="s">
        <v>814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 t="s">
        <v>6290</v>
      </c>
      <c r="D964" s="1">
        <v>42905</v>
      </c>
      <c r="E964" s="1">
        <v>42907</v>
      </c>
      <c r="F964" s="3" t="s">
        <v>815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 t="s">
        <v>6290</v>
      </c>
      <c r="D965" s="1">
        <v>42906</v>
      </c>
      <c r="E965" s="1">
        <v>42908</v>
      </c>
      <c r="F965" s="3" t="s">
        <v>816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 t="s">
        <v>6290</v>
      </c>
      <c r="D966" s="1">
        <v>42906</v>
      </c>
      <c r="E966" s="1">
        <v>42908</v>
      </c>
      <c r="F966" s="3" t="s">
        <v>817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 t="s">
        <v>6290</v>
      </c>
      <c r="D967" s="1">
        <v>42906</v>
      </c>
      <c r="E967" s="1">
        <v>42908</v>
      </c>
      <c r="F967" s="3" t="s">
        <v>816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 t="s">
        <v>6290</v>
      </c>
      <c r="D968" s="1">
        <v>42907</v>
      </c>
      <c r="E968" s="1">
        <v>42910</v>
      </c>
      <c r="F968" s="3" t="s">
        <v>818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 t="s">
        <v>6290</v>
      </c>
      <c r="D969" s="1">
        <v>42907</v>
      </c>
      <c r="E969" s="1">
        <v>42909</v>
      </c>
      <c r="F969" s="3" t="s">
        <v>817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 t="s">
        <v>6290</v>
      </c>
      <c r="D970" s="1">
        <v>42907</v>
      </c>
      <c r="E970" s="1">
        <v>42910</v>
      </c>
      <c r="F970" s="3" t="s">
        <v>816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 t="s">
        <v>6290</v>
      </c>
      <c r="D971" s="1">
        <v>42908</v>
      </c>
      <c r="E971" s="1">
        <v>42911</v>
      </c>
      <c r="F971" s="3" t="s">
        <v>817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 t="s">
        <v>6290</v>
      </c>
      <c r="D972" s="1">
        <v>42908</v>
      </c>
      <c r="E972" s="1">
        <v>42909</v>
      </c>
      <c r="F972" s="3" t="s">
        <v>818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 t="s">
        <v>6290</v>
      </c>
      <c r="D973" s="1">
        <v>42909</v>
      </c>
      <c r="E973" s="1">
        <v>42910</v>
      </c>
      <c r="F973" s="3" t="s">
        <v>819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 t="s">
        <v>6290</v>
      </c>
      <c r="D974" s="1">
        <v>42910</v>
      </c>
      <c r="E974" s="1">
        <v>42913</v>
      </c>
      <c r="F974" s="3" t="s">
        <v>820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 t="s">
        <v>6290</v>
      </c>
      <c r="D975" s="1">
        <v>42910</v>
      </c>
      <c r="E975" s="1">
        <v>42913</v>
      </c>
      <c r="F975" s="3" t="s">
        <v>820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 t="s">
        <v>6290</v>
      </c>
      <c r="D976" s="1">
        <v>42911</v>
      </c>
      <c r="E976" s="1">
        <v>42913</v>
      </c>
      <c r="F976" s="3" t="s">
        <v>821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 t="s">
        <v>6290</v>
      </c>
      <c r="D977" s="1">
        <v>42911</v>
      </c>
      <c r="E977" s="1">
        <v>42914</v>
      </c>
      <c r="F977" s="3" t="s">
        <v>820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 t="s">
        <v>6290</v>
      </c>
      <c r="D978" s="1">
        <v>42912</v>
      </c>
      <c r="E978" s="1">
        <v>42914</v>
      </c>
      <c r="F978" s="3" t="s">
        <v>820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 t="s">
        <v>6290</v>
      </c>
      <c r="D979" s="1">
        <v>42912</v>
      </c>
      <c r="E979" s="1">
        <v>42914</v>
      </c>
      <c r="F979" s="3" t="s">
        <v>820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 t="s">
        <v>6290</v>
      </c>
      <c r="D980" s="1">
        <v>42912</v>
      </c>
      <c r="E980" s="1">
        <v>42915</v>
      </c>
      <c r="F980" s="3" t="s">
        <v>820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 t="s">
        <v>6290</v>
      </c>
      <c r="D981" s="1">
        <v>42912</v>
      </c>
      <c r="E981" s="1">
        <v>42914</v>
      </c>
      <c r="F981" s="3" t="s">
        <v>820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 t="s">
        <v>6290</v>
      </c>
      <c r="D982" s="1">
        <v>42912</v>
      </c>
      <c r="E982" s="1">
        <v>42915</v>
      </c>
      <c r="F982" s="3" t="s">
        <v>821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 t="s">
        <v>6290</v>
      </c>
      <c r="D983" s="1">
        <v>42912</v>
      </c>
      <c r="E983" s="1">
        <v>42915</v>
      </c>
      <c r="F983" s="3" t="s">
        <v>821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 t="s">
        <v>6290</v>
      </c>
      <c r="D984" s="1">
        <v>42913</v>
      </c>
      <c r="E984" s="1">
        <v>42914</v>
      </c>
      <c r="F984" s="3" t="s">
        <v>822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 t="s">
        <v>6290</v>
      </c>
      <c r="D985" s="1">
        <v>42913</v>
      </c>
      <c r="E985" s="1">
        <v>42914</v>
      </c>
      <c r="F985" s="3" t="s">
        <v>822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 t="s">
        <v>6290</v>
      </c>
      <c r="D986" s="1">
        <v>42916</v>
      </c>
      <c r="E986" s="1">
        <v>42918</v>
      </c>
      <c r="F986" s="3" t="s">
        <v>823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 t="s">
        <v>6290</v>
      </c>
      <c r="D987" s="1">
        <v>42916</v>
      </c>
      <c r="E987" s="1">
        <v>42919</v>
      </c>
      <c r="F987" s="3" t="s">
        <v>823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 t="s">
        <v>6290</v>
      </c>
      <c r="D988" s="1">
        <v>42918</v>
      </c>
      <c r="E988" s="1">
        <v>42920</v>
      </c>
      <c r="F988" s="3" t="s">
        <v>824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 t="s">
        <v>6290</v>
      </c>
      <c r="D989" s="1">
        <v>42918</v>
      </c>
      <c r="E989" s="1">
        <v>42920</v>
      </c>
      <c r="F989" s="3" t="s">
        <v>825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 t="s">
        <v>6290</v>
      </c>
      <c r="D990" s="1">
        <v>42918</v>
      </c>
      <c r="E990" s="1">
        <v>42920</v>
      </c>
      <c r="F990" s="3" t="s">
        <v>826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 t="s">
        <v>6290</v>
      </c>
      <c r="D991" s="1">
        <v>42920</v>
      </c>
      <c r="E991" s="1">
        <v>42923</v>
      </c>
      <c r="F991" s="3" t="s">
        <v>827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 t="s">
        <v>6290</v>
      </c>
      <c r="D992" s="1">
        <v>42922</v>
      </c>
      <c r="E992" s="1">
        <v>42923</v>
      </c>
      <c r="F992" s="3" t="s">
        <v>828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 t="s">
        <v>6290</v>
      </c>
      <c r="D993" s="1">
        <v>42923</v>
      </c>
      <c r="E993" s="1">
        <v>42926</v>
      </c>
      <c r="F993" s="3" t="s">
        <v>828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 t="s">
        <v>6290</v>
      </c>
      <c r="D994" s="1">
        <v>42925</v>
      </c>
      <c r="E994" s="1">
        <v>42927</v>
      </c>
      <c r="F994" s="3" t="s">
        <v>829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 t="s">
        <v>6290</v>
      </c>
      <c r="D995" s="1">
        <v>42925</v>
      </c>
      <c r="E995" s="1">
        <v>42927</v>
      </c>
      <c r="F995" s="3" t="s">
        <v>829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 t="s">
        <v>6290</v>
      </c>
      <c r="D996" s="1">
        <v>42927</v>
      </c>
      <c r="E996" s="1">
        <v>42929</v>
      </c>
      <c r="F996" s="3" t="s">
        <v>830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 t="s">
        <v>6290</v>
      </c>
      <c r="D997" s="1">
        <v>42927</v>
      </c>
      <c r="E997" s="1">
        <v>42928</v>
      </c>
      <c r="F997" s="3" t="s">
        <v>831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 t="s">
        <v>6290</v>
      </c>
      <c r="D998" s="1">
        <v>42927</v>
      </c>
      <c r="E998" s="1">
        <v>42929</v>
      </c>
      <c r="F998" s="3" t="s">
        <v>830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 t="s">
        <v>6290</v>
      </c>
      <c r="D999" s="1">
        <v>42928</v>
      </c>
      <c r="E999" s="1">
        <v>42929</v>
      </c>
      <c r="F999" s="3" t="s">
        <v>830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 t="s">
        <v>6290</v>
      </c>
      <c r="D1000" s="1">
        <v>42928</v>
      </c>
      <c r="E1000" s="1">
        <v>42929</v>
      </c>
      <c r="F1000" s="3" t="s">
        <v>830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 t="s">
        <v>6290</v>
      </c>
      <c r="D1001" s="1">
        <v>42928</v>
      </c>
      <c r="E1001" s="1">
        <v>42930</v>
      </c>
      <c r="F1001" s="3" t="s">
        <v>832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 t="s">
        <v>6290</v>
      </c>
      <c r="D1002" s="1">
        <v>42929</v>
      </c>
      <c r="E1002" s="1">
        <v>42932</v>
      </c>
      <c r="F1002" s="3" t="s">
        <v>832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 t="s">
        <v>6290</v>
      </c>
      <c r="D1003" s="1">
        <v>42930</v>
      </c>
      <c r="E1003" s="1">
        <v>42932</v>
      </c>
      <c r="F1003" s="3" t="s">
        <v>833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 t="s">
        <v>6290</v>
      </c>
      <c r="D1004" s="1">
        <v>42930</v>
      </c>
      <c r="E1004" s="1">
        <v>42932</v>
      </c>
      <c r="F1004" s="3" t="s">
        <v>833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 t="s">
        <v>6290</v>
      </c>
      <c r="D1005" s="1">
        <v>42930</v>
      </c>
      <c r="E1005" s="1">
        <v>42933</v>
      </c>
      <c r="F1005" s="3" t="s">
        <v>833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 t="s">
        <v>6290</v>
      </c>
      <c r="D1006" s="1">
        <v>42931</v>
      </c>
      <c r="E1006" s="1">
        <v>42933</v>
      </c>
      <c r="F1006" s="3" t="s">
        <v>833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 t="s">
        <v>6290</v>
      </c>
      <c r="D1007" s="1">
        <v>42931</v>
      </c>
      <c r="E1007" s="1">
        <v>42934</v>
      </c>
      <c r="F1007" s="3" t="s">
        <v>834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 t="s">
        <v>6290</v>
      </c>
      <c r="D1008" s="1">
        <v>42932</v>
      </c>
      <c r="E1008" s="1">
        <v>42933</v>
      </c>
      <c r="F1008" s="3" t="s">
        <v>834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 t="s">
        <v>6290</v>
      </c>
      <c r="D1009" s="1">
        <v>42932</v>
      </c>
      <c r="E1009" s="1">
        <v>42934</v>
      </c>
      <c r="F1009" s="3" t="s">
        <v>835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 t="s">
        <v>6290</v>
      </c>
      <c r="D1010" s="1">
        <v>42932</v>
      </c>
      <c r="E1010" s="1">
        <v>42935</v>
      </c>
      <c r="F1010" s="3" t="s">
        <v>836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 t="s">
        <v>6291</v>
      </c>
      <c r="D1011" s="1">
        <v>42934</v>
      </c>
      <c r="E1011" s="1">
        <v>42934</v>
      </c>
      <c r="F1011" s="3">
        <f>orders___orders[[#This Row],[order_date]]+3</f>
        <v>42937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 t="s">
        <v>6290</v>
      </c>
      <c r="D1012" s="1">
        <v>42934</v>
      </c>
      <c r="E1012" s="1">
        <v>42937</v>
      </c>
      <c r="F1012" s="3" t="s">
        <v>837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 t="s">
        <v>6290</v>
      </c>
      <c r="D1013" s="1">
        <v>42934</v>
      </c>
      <c r="E1013" s="1">
        <v>42936</v>
      </c>
      <c r="F1013" s="3" t="s">
        <v>838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 t="s">
        <v>6290</v>
      </c>
      <c r="D1014" s="1">
        <v>42935</v>
      </c>
      <c r="E1014" s="1">
        <v>42938</v>
      </c>
      <c r="F1014" s="3" t="s">
        <v>837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 t="s">
        <v>6290</v>
      </c>
      <c r="D1015" s="1">
        <v>42935</v>
      </c>
      <c r="E1015" s="1">
        <v>42937</v>
      </c>
      <c r="F1015" s="3" t="s">
        <v>837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 t="s">
        <v>6290</v>
      </c>
      <c r="D1016" s="1">
        <v>42935</v>
      </c>
      <c r="E1016" s="1">
        <v>42938</v>
      </c>
      <c r="F1016" s="3" t="s">
        <v>837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 t="s">
        <v>6290</v>
      </c>
      <c r="D1017" s="1">
        <v>42935</v>
      </c>
      <c r="E1017" s="1">
        <v>42936</v>
      </c>
      <c r="F1017" s="3" t="s">
        <v>837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 t="s">
        <v>6290</v>
      </c>
      <c r="D1018" s="1">
        <v>42936</v>
      </c>
      <c r="E1018" s="1">
        <v>42937</v>
      </c>
      <c r="F1018" s="3" t="s">
        <v>839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 t="s">
        <v>6290</v>
      </c>
      <c r="D1019" s="1">
        <v>42938</v>
      </c>
      <c r="E1019" s="1">
        <v>42939</v>
      </c>
      <c r="F1019" s="3" t="s">
        <v>839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 t="s">
        <v>6290</v>
      </c>
      <c r="D1020" s="1">
        <v>42938</v>
      </c>
      <c r="E1020" s="1">
        <v>42939</v>
      </c>
      <c r="F1020" s="3" t="s">
        <v>840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 t="s">
        <v>6291</v>
      </c>
      <c r="D1021" s="1">
        <v>42939</v>
      </c>
      <c r="E1021" s="1">
        <v>42939</v>
      </c>
      <c r="F1021" s="3">
        <f>orders___orders[[#This Row],[order_date]]+3</f>
        <v>42942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 t="s">
        <v>6290</v>
      </c>
      <c r="D1022" s="1">
        <v>42939</v>
      </c>
      <c r="E1022" s="1">
        <v>42940</v>
      </c>
      <c r="F1022" s="3" t="s">
        <v>841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 t="s">
        <v>6290</v>
      </c>
      <c r="D1023" s="1">
        <v>42939</v>
      </c>
      <c r="E1023" s="1">
        <v>42942</v>
      </c>
      <c r="F1023" s="3" t="s">
        <v>840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 t="s">
        <v>6290</v>
      </c>
      <c r="D1024" s="1">
        <v>42939</v>
      </c>
      <c r="E1024" s="1">
        <v>42942</v>
      </c>
      <c r="F1024" s="3" t="s">
        <v>842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 t="s">
        <v>6290</v>
      </c>
      <c r="D1025" s="1">
        <v>42939</v>
      </c>
      <c r="E1025" s="1">
        <v>42941</v>
      </c>
      <c r="F1025" s="3" t="s">
        <v>841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 t="s">
        <v>6290</v>
      </c>
      <c r="D1026" s="1">
        <v>42939</v>
      </c>
      <c r="E1026" s="1">
        <v>42942</v>
      </c>
      <c r="F1026" s="3" t="s">
        <v>841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 t="s">
        <v>6290</v>
      </c>
      <c r="D1027" s="1">
        <v>42942</v>
      </c>
      <c r="E1027" s="1">
        <v>42944</v>
      </c>
      <c r="F1027" s="3" t="s">
        <v>843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 t="s">
        <v>6290</v>
      </c>
      <c r="D1028" s="1">
        <v>42942</v>
      </c>
      <c r="E1028" s="1">
        <v>42944</v>
      </c>
      <c r="F1028" s="3" t="s">
        <v>844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 t="s">
        <v>6290</v>
      </c>
      <c r="D1029" s="1">
        <v>42943</v>
      </c>
      <c r="E1029" s="1">
        <v>42944</v>
      </c>
      <c r="F1029" s="3" t="s">
        <v>845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 t="s">
        <v>6290</v>
      </c>
      <c r="D1030" s="1">
        <v>42945</v>
      </c>
      <c r="E1030" s="1">
        <v>42946</v>
      </c>
      <c r="F1030" s="3" t="s">
        <v>846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 t="s">
        <v>6290</v>
      </c>
      <c r="D1031" s="1">
        <v>42945</v>
      </c>
      <c r="E1031" s="1">
        <v>42946</v>
      </c>
      <c r="F1031" s="3" t="s">
        <v>847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 t="s">
        <v>6290</v>
      </c>
      <c r="D1032" s="1">
        <v>42946</v>
      </c>
      <c r="E1032" s="1">
        <v>42948</v>
      </c>
      <c r="F1032" s="3" t="s">
        <v>848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 t="s">
        <v>6290</v>
      </c>
      <c r="D1033" s="1">
        <v>42946</v>
      </c>
      <c r="E1033" s="1">
        <v>42949</v>
      </c>
      <c r="F1033" s="3" t="s">
        <v>846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 t="s">
        <v>6290</v>
      </c>
      <c r="D1034" s="1">
        <v>42946</v>
      </c>
      <c r="E1034" s="1">
        <v>42947</v>
      </c>
      <c r="F1034" s="3" t="s">
        <v>848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 t="s">
        <v>6290</v>
      </c>
      <c r="D1035" s="1">
        <v>42946</v>
      </c>
      <c r="E1035" s="1">
        <v>42947</v>
      </c>
      <c r="F1035" s="3" t="s">
        <v>847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 t="s">
        <v>6290</v>
      </c>
      <c r="D1036" s="1">
        <v>42946</v>
      </c>
      <c r="E1036" s="1">
        <v>42949</v>
      </c>
      <c r="F1036" s="3" t="s">
        <v>848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 t="s">
        <v>6290</v>
      </c>
      <c r="D1037" s="1">
        <v>42946</v>
      </c>
      <c r="E1037" s="1">
        <v>42948</v>
      </c>
      <c r="F1037" s="3" t="s">
        <v>847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 t="s">
        <v>6290</v>
      </c>
      <c r="D1038" s="1">
        <v>42947</v>
      </c>
      <c r="E1038" s="1">
        <v>42949</v>
      </c>
      <c r="F1038" s="3" t="s">
        <v>849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 t="s">
        <v>6290</v>
      </c>
      <c r="D1039" s="1">
        <v>42947</v>
      </c>
      <c r="E1039" s="1">
        <v>42948</v>
      </c>
      <c r="F1039" s="3" t="s">
        <v>849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 t="s">
        <v>6290</v>
      </c>
      <c r="D1040" s="1">
        <v>42949</v>
      </c>
      <c r="E1040" s="1">
        <v>42951</v>
      </c>
      <c r="F1040" s="3" t="s">
        <v>849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 t="s">
        <v>6290</v>
      </c>
      <c r="D1041" s="1">
        <v>42951</v>
      </c>
      <c r="E1041" s="1">
        <v>42954</v>
      </c>
      <c r="F1041" s="3" t="s">
        <v>850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 t="s">
        <v>6290</v>
      </c>
      <c r="D1042" s="1">
        <v>42951</v>
      </c>
      <c r="E1042" s="1">
        <v>42953</v>
      </c>
      <c r="F1042" s="3" t="s">
        <v>850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 t="s">
        <v>6290</v>
      </c>
      <c r="D1043" s="1">
        <v>42953</v>
      </c>
      <c r="E1043" s="1">
        <v>42954</v>
      </c>
      <c r="F1043" s="3" t="s">
        <v>851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 t="s">
        <v>6290</v>
      </c>
      <c r="D1044" s="1">
        <v>42953</v>
      </c>
      <c r="E1044" s="1">
        <v>42956</v>
      </c>
      <c r="F1044" s="3" t="s">
        <v>852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 t="s">
        <v>6290</v>
      </c>
      <c r="D1045" s="1">
        <v>42954</v>
      </c>
      <c r="E1045" s="1">
        <v>42957</v>
      </c>
      <c r="F1045" s="3" t="s">
        <v>852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 t="s">
        <v>6290</v>
      </c>
      <c r="D1046" s="1">
        <v>42954</v>
      </c>
      <c r="E1046" s="1">
        <v>42956</v>
      </c>
      <c r="F1046" s="3" t="s">
        <v>853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 t="s">
        <v>6290</v>
      </c>
      <c r="D1047" s="1">
        <v>42954</v>
      </c>
      <c r="E1047" s="1">
        <v>42956</v>
      </c>
      <c r="F1047" s="3" t="s">
        <v>852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 t="s">
        <v>6291</v>
      </c>
      <c r="D1048" s="1">
        <v>42955</v>
      </c>
      <c r="E1048" s="1">
        <v>42955</v>
      </c>
      <c r="F1048" s="3">
        <f>orders___orders[[#This Row],[order_date]]+3</f>
        <v>42958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 t="s">
        <v>6290</v>
      </c>
      <c r="D1049" s="1">
        <v>42955</v>
      </c>
      <c r="E1049" s="1">
        <v>42957</v>
      </c>
      <c r="F1049" s="3" t="s">
        <v>854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 t="s">
        <v>6290</v>
      </c>
      <c r="D1050" s="1">
        <v>42956</v>
      </c>
      <c r="E1050" s="1">
        <v>42958</v>
      </c>
      <c r="F1050" s="3" t="s">
        <v>853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 t="s">
        <v>6290</v>
      </c>
      <c r="D1051" s="1">
        <v>42956</v>
      </c>
      <c r="E1051" s="1">
        <v>42959</v>
      </c>
      <c r="F1051" s="3" t="s">
        <v>855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 t="s">
        <v>6290</v>
      </c>
      <c r="D1052" s="1">
        <v>42957</v>
      </c>
      <c r="E1052" s="1">
        <v>42958</v>
      </c>
      <c r="F1052" s="3" t="s">
        <v>856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 t="s">
        <v>6290</v>
      </c>
      <c r="D1053" s="1">
        <v>42957</v>
      </c>
      <c r="E1053" s="1">
        <v>42959</v>
      </c>
      <c r="F1053" s="3" t="s">
        <v>857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 t="s">
        <v>6290</v>
      </c>
      <c r="D1054" s="1">
        <v>42957</v>
      </c>
      <c r="E1054" s="1">
        <v>42958</v>
      </c>
      <c r="F1054" s="3" t="s">
        <v>855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 t="s">
        <v>6290</v>
      </c>
      <c r="D1055" s="1">
        <v>42958</v>
      </c>
      <c r="E1055" s="1">
        <v>42959</v>
      </c>
      <c r="F1055" s="3" t="s">
        <v>855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 t="s">
        <v>6290</v>
      </c>
      <c r="D1056" s="1">
        <v>42959</v>
      </c>
      <c r="E1056" s="1">
        <v>42962</v>
      </c>
      <c r="F1056" s="3" t="s">
        <v>858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 t="s">
        <v>6290</v>
      </c>
      <c r="D1057" s="1">
        <v>42959</v>
      </c>
      <c r="E1057" s="1">
        <v>42962</v>
      </c>
      <c r="F1057" s="3" t="s">
        <v>857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 t="s">
        <v>6290</v>
      </c>
      <c r="D1058" s="1">
        <v>42959</v>
      </c>
      <c r="E1058" s="1">
        <v>42962</v>
      </c>
      <c r="F1058" s="3" t="s">
        <v>857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 t="s">
        <v>6290</v>
      </c>
      <c r="D1059" s="1">
        <v>42960</v>
      </c>
      <c r="E1059" s="1">
        <v>42963</v>
      </c>
      <c r="F1059" s="3" t="s">
        <v>859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 t="s">
        <v>6290</v>
      </c>
      <c r="D1060" s="1">
        <v>42961</v>
      </c>
      <c r="E1060" s="1">
        <v>42964</v>
      </c>
      <c r="F1060" s="3" t="s">
        <v>860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 t="s">
        <v>6290</v>
      </c>
      <c r="D1061" s="1">
        <v>42962</v>
      </c>
      <c r="E1061" s="1">
        <v>42965</v>
      </c>
      <c r="F1061" s="3" t="s">
        <v>860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 t="s">
        <v>6290</v>
      </c>
      <c r="D1062" s="1">
        <v>42962</v>
      </c>
      <c r="E1062" s="1">
        <v>42965</v>
      </c>
      <c r="F1062" s="3" t="s">
        <v>861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 t="s">
        <v>6290</v>
      </c>
      <c r="D1063" s="1">
        <v>42962</v>
      </c>
      <c r="E1063" s="1">
        <v>42964</v>
      </c>
      <c r="F1063" s="3" t="s">
        <v>861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 t="s">
        <v>6290</v>
      </c>
      <c r="D1064" s="1">
        <v>42963</v>
      </c>
      <c r="E1064" s="1">
        <v>42966</v>
      </c>
      <c r="F1064" s="3" t="s">
        <v>862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 t="s">
        <v>6290</v>
      </c>
      <c r="D1065" s="1">
        <v>42963</v>
      </c>
      <c r="E1065" s="1">
        <v>42965</v>
      </c>
      <c r="F1065" s="3" t="s">
        <v>862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 t="s">
        <v>6290</v>
      </c>
      <c r="D1066" s="1">
        <v>42964</v>
      </c>
      <c r="E1066" s="1">
        <v>42966</v>
      </c>
      <c r="F1066" s="3" t="s">
        <v>862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 t="s">
        <v>6290</v>
      </c>
      <c r="D1067" s="1">
        <v>42964</v>
      </c>
      <c r="E1067" s="1">
        <v>42967</v>
      </c>
      <c r="F1067" s="3" t="s">
        <v>862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 t="s">
        <v>6290</v>
      </c>
      <c r="D1068" s="1">
        <v>42964</v>
      </c>
      <c r="E1068" s="1">
        <v>42966</v>
      </c>
      <c r="F1068" s="3" t="s">
        <v>862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 t="s">
        <v>6290</v>
      </c>
      <c r="D1069" s="1">
        <v>42964</v>
      </c>
      <c r="E1069" s="1">
        <v>42967</v>
      </c>
      <c r="F1069" s="3" t="s">
        <v>862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 t="s">
        <v>6290</v>
      </c>
      <c r="D1070" s="1">
        <v>42964</v>
      </c>
      <c r="E1070" s="1">
        <v>42966</v>
      </c>
      <c r="F1070" s="3" t="s">
        <v>861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 t="s">
        <v>6290</v>
      </c>
      <c r="D1071" s="1">
        <v>42964</v>
      </c>
      <c r="E1071" s="1">
        <v>42967</v>
      </c>
      <c r="F1071" s="3" t="s">
        <v>861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 t="s">
        <v>6290</v>
      </c>
      <c r="D1072" s="1">
        <v>42964</v>
      </c>
      <c r="E1072" s="1">
        <v>42967</v>
      </c>
      <c r="F1072" s="3" t="s">
        <v>861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 t="s">
        <v>6291</v>
      </c>
      <c r="D1073" s="1">
        <v>42965</v>
      </c>
      <c r="E1073" s="1">
        <v>42965</v>
      </c>
      <c r="F1073" s="3">
        <f>orders___orders[[#This Row],[order_date]]+3</f>
        <v>42968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 t="s">
        <v>6290</v>
      </c>
      <c r="D1074" s="1">
        <v>42965</v>
      </c>
      <c r="E1074" s="1">
        <v>42966</v>
      </c>
      <c r="F1074" s="3" t="s">
        <v>863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 t="s">
        <v>6291</v>
      </c>
      <c r="D1075" s="1">
        <v>42966</v>
      </c>
      <c r="E1075" s="1">
        <v>42966</v>
      </c>
      <c r="F1075" s="3">
        <f>orders___orders[[#This Row],[order_date]]+3</f>
        <v>42969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 t="s">
        <v>6290</v>
      </c>
      <c r="D1076" s="1">
        <v>42966</v>
      </c>
      <c r="E1076" s="1">
        <v>42968</v>
      </c>
      <c r="F1076" s="3" t="s">
        <v>864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 t="s">
        <v>6290</v>
      </c>
      <c r="D1077" s="1">
        <v>42966</v>
      </c>
      <c r="E1077" s="1">
        <v>42969</v>
      </c>
      <c r="F1077" s="3" t="s">
        <v>864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 t="s">
        <v>6290</v>
      </c>
      <c r="D1078" s="1">
        <v>42966</v>
      </c>
      <c r="E1078" s="1">
        <v>42967</v>
      </c>
      <c r="F1078" s="3" t="s">
        <v>863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 t="s">
        <v>6290</v>
      </c>
      <c r="D1079" s="1">
        <v>42966</v>
      </c>
      <c r="E1079" s="1">
        <v>42968</v>
      </c>
      <c r="F1079" s="3" t="s">
        <v>865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 t="s">
        <v>6290</v>
      </c>
      <c r="D1080" s="1">
        <v>42966</v>
      </c>
      <c r="E1080" s="1">
        <v>42967</v>
      </c>
      <c r="F1080" s="3" t="s">
        <v>865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 t="s">
        <v>6290</v>
      </c>
      <c r="D1081" s="1">
        <v>42966</v>
      </c>
      <c r="E1081" s="1">
        <v>42967</v>
      </c>
      <c r="F1081" s="3" t="s">
        <v>865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 t="s">
        <v>6290</v>
      </c>
      <c r="D1082" s="1">
        <v>42966</v>
      </c>
      <c r="E1082" s="1">
        <v>42969</v>
      </c>
      <c r="F1082" s="3" t="s">
        <v>864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 t="s">
        <v>6290</v>
      </c>
      <c r="D1083" s="1">
        <v>42967</v>
      </c>
      <c r="E1083" s="1">
        <v>42969</v>
      </c>
      <c r="F1083" s="3" t="s">
        <v>863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 t="s">
        <v>6290</v>
      </c>
      <c r="D1084" s="1">
        <v>42967</v>
      </c>
      <c r="E1084" s="1">
        <v>42970</v>
      </c>
      <c r="F1084" s="3" t="s">
        <v>866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 t="s">
        <v>6290</v>
      </c>
      <c r="D1085" s="1">
        <v>42968</v>
      </c>
      <c r="E1085" s="1">
        <v>42971</v>
      </c>
      <c r="F1085" s="3" t="s">
        <v>866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 t="s">
        <v>6290</v>
      </c>
      <c r="D1086" s="1">
        <v>42968</v>
      </c>
      <c r="E1086" s="1">
        <v>42970</v>
      </c>
      <c r="F1086" s="3" t="s">
        <v>866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 t="s">
        <v>6290</v>
      </c>
      <c r="D1087" s="1">
        <v>42968</v>
      </c>
      <c r="E1087" s="1">
        <v>42970</v>
      </c>
      <c r="F1087" s="3" t="s">
        <v>867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 t="s">
        <v>6290</v>
      </c>
      <c r="D1088" s="1">
        <v>42969</v>
      </c>
      <c r="E1088" s="1">
        <v>42970</v>
      </c>
      <c r="F1088" s="3" t="s">
        <v>868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 t="s">
        <v>6290</v>
      </c>
      <c r="D1089" s="1">
        <v>42969</v>
      </c>
      <c r="E1089" s="1">
        <v>42970</v>
      </c>
      <c r="F1089" s="3" t="s">
        <v>866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 t="s">
        <v>6291</v>
      </c>
      <c r="D1090" s="1">
        <v>42970</v>
      </c>
      <c r="E1090" s="1">
        <v>42970</v>
      </c>
      <c r="F1090" s="3">
        <f>orders___orders[[#This Row],[order_date]]+3</f>
        <v>42973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 t="s">
        <v>6290</v>
      </c>
      <c r="D1091" s="1">
        <v>42971</v>
      </c>
      <c r="E1091" s="1">
        <v>42973</v>
      </c>
      <c r="F1091" s="3" t="s">
        <v>869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 t="s">
        <v>6290</v>
      </c>
      <c r="D1092" s="1">
        <v>42971</v>
      </c>
      <c r="E1092" s="1">
        <v>42972</v>
      </c>
      <c r="F1092" s="3" t="s">
        <v>868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 t="s">
        <v>6290</v>
      </c>
      <c r="D1093" s="1">
        <v>42972</v>
      </c>
      <c r="E1093" s="1">
        <v>42975</v>
      </c>
      <c r="F1093" s="3" t="s">
        <v>870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 t="s">
        <v>6290</v>
      </c>
      <c r="D1094" s="1">
        <v>42972</v>
      </c>
      <c r="E1094" s="1">
        <v>42975</v>
      </c>
      <c r="F1094" s="3" t="s">
        <v>869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 t="s">
        <v>6290</v>
      </c>
      <c r="D1095" s="1">
        <v>42972</v>
      </c>
      <c r="E1095" s="1">
        <v>42974</v>
      </c>
      <c r="F1095" s="3" t="s">
        <v>871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 t="s">
        <v>6290</v>
      </c>
      <c r="D1096" s="1">
        <v>42973</v>
      </c>
      <c r="E1096" s="1">
        <v>42975</v>
      </c>
      <c r="F1096" s="3" t="s">
        <v>870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 t="s">
        <v>6290</v>
      </c>
      <c r="D1097" s="1">
        <v>42974</v>
      </c>
      <c r="E1097" s="1">
        <v>42976</v>
      </c>
      <c r="F1097" s="3" t="s">
        <v>872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 t="s">
        <v>6290</v>
      </c>
      <c r="D1098" s="1">
        <v>42974</v>
      </c>
      <c r="E1098" s="1">
        <v>42977</v>
      </c>
      <c r="F1098" s="3" t="s">
        <v>871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 t="s">
        <v>6290</v>
      </c>
      <c r="D1099" s="1">
        <v>42975</v>
      </c>
      <c r="E1099" s="1">
        <v>42977</v>
      </c>
      <c r="F1099" s="3" t="s">
        <v>873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 t="s">
        <v>6290</v>
      </c>
      <c r="D1100" s="1">
        <v>42975</v>
      </c>
      <c r="E1100" s="1">
        <v>42976</v>
      </c>
      <c r="F1100" s="3" t="s">
        <v>873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 t="s">
        <v>6290</v>
      </c>
      <c r="D1101" s="1">
        <v>42975</v>
      </c>
      <c r="E1101" s="1">
        <v>42976</v>
      </c>
      <c r="F1101" s="3" t="s">
        <v>872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 t="s">
        <v>6290</v>
      </c>
      <c r="D1102" s="1">
        <v>42976</v>
      </c>
      <c r="E1102" s="1">
        <v>42977</v>
      </c>
      <c r="F1102" s="3" t="s">
        <v>873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 t="s">
        <v>6290</v>
      </c>
      <c r="D1103" s="1">
        <v>42976</v>
      </c>
      <c r="E1103" s="1">
        <v>42978</v>
      </c>
      <c r="F1103" s="3" t="s">
        <v>874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 t="s">
        <v>6290</v>
      </c>
      <c r="D1104" s="1">
        <v>42978</v>
      </c>
      <c r="E1104" s="1">
        <v>42980</v>
      </c>
      <c r="F1104" s="3" t="s">
        <v>875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 t="s">
        <v>6290</v>
      </c>
      <c r="D1105" s="1">
        <v>42979</v>
      </c>
      <c r="E1105" s="1">
        <v>42982</v>
      </c>
      <c r="F1105" s="3" t="s">
        <v>876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 t="s">
        <v>6290</v>
      </c>
      <c r="D1106" s="1">
        <v>42979</v>
      </c>
      <c r="E1106" s="1">
        <v>42982</v>
      </c>
      <c r="F1106" s="3" t="s">
        <v>876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 t="s">
        <v>6290</v>
      </c>
      <c r="D1107" s="1">
        <v>42980</v>
      </c>
      <c r="E1107" s="1">
        <v>42982</v>
      </c>
      <c r="F1107" s="3" t="s">
        <v>877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 t="s">
        <v>6290</v>
      </c>
      <c r="D1108" s="1">
        <v>42980</v>
      </c>
      <c r="E1108" s="1">
        <v>42983</v>
      </c>
      <c r="F1108" s="3" t="s">
        <v>878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 t="s">
        <v>6290</v>
      </c>
      <c r="D1109" s="1">
        <v>42981</v>
      </c>
      <c r="E1109" s="1">
        <v>42983</v>
      </c>
      <c r="F1109" s="3" t="s">
        <v>877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 t="s">
        <v>6290</v>
      </c>
      <c r="D1110" s="1">
        <v>42981</v>
      </c>
      <c r="E1110" s="1">
        <v>42982</v>
      </c>
      <c r="F1110" s="3" t="s">
        <v>877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 t="s">
        <v>6290</v>
      </c>
      <c r="D1111" s="1">
        <v>42982</v>
      </c>
      <c r="E1111" s="1">
        <v>42985</v>
      </c>
      <c r="F1111" s="3" t="s">
        <v>879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 t="s">
        <v>6290</v>
      </c>
      <c r="D1112" s="1">
        <v>42982</v>
      </c>
      <c r="E1112" s="1">
        <v>42984</v>
      </c>
      <c r="F1112" s="3" t="s">
        <v>878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 t="s">
        <v>6290</v>
      </c>
      <c r="D1113" s="1">
        <v>42983</v>
      </c>
      <c r="E1113" s="1">
        <v>42986</v>
      </c>
      <c r="F1113" s="3" t="s">
        <v>879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 t="s">
        <v>6290</v>
      </c>
      <c r="D1114" s="1">
        <v>42984</v>
      </c>
      <c r="E1114" s="1">
        <v>42986</v>
      </c>
      <c r="F1114" s="3" t="s">
        <v>879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 t="s">
        <v>6290</v>
      </c>
      <c r="D1115" s="1">
        <v>42984</v>
      </c>
      <c r="E1115" s="1">
        <v>42986</v>
      </c>
      <c r="F1115" s="3" t="s">
        <v>880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 t="s">
        <v>6290</v>
      </c>
      <c r="D1116" s="1">
        <v>42985</v>
      </c>
      <c r="E1116" s="1">
        <v>42987</v>
      </c>
      <c r="F1116" s="3" t="s">
        <v>881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 t="s">
        <v>6290</v>
      </c>
      <c r="D1117" s="1">
        <v>42986</v>
      </c>
      <c r="E1117" s="1">
        <v>42988</v>
      </c>
      <c r="F1117" s="3" t="s">
        <v>882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 t="s">
        <v>6290</v>
      </c>
      <c r="D1118" s="1">
        <v>42986</v>
      </c>
      <c r="E1118" s="1">
        <v>42988</v>
      </c>
      <c r="F1118" s="3" t="s">
        <v>882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 t="s">
        <v>6290</v>
      </c>
      <c r="D1119" s="1">
        <v>42986</v>
      </c>
      <c r="E1119" s="1">
        <v>42989</v>
      </c>
      <c r="F1119" s="3" t="s">
        <v>883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 t="s">
        <v>6290</v>
      </c>
      <c r="D1120" s="1">
        <v>42988</v>
      </c>
      <c r="E1120" s="1">
        <v>42990</v>
      </c>
      <c r="F1120" s="3" t="s">
        <v>884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 t="s">
        <v>6290</v>
      </c>
      <c r="D1121" s="1">
        <v>42988</v>
      </c>
      <c r="E1121" s="1">
        <v>42990</v>
      </c>
      <c r="F1121" s="3" t="s">
        <v>884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 t="s">
        <v>6290</v>
      </c>
      <c r="D1122" s="1">
        <v>42989</v>
      </c>
      <c r="E1122" s="1">
        <v>42991</v>
      </c>
      <c r="F1122" s="3" t="s">
        <v>885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 t="s">
        <v>6290</v>
      </c>
      <c r="D1123" s="1">
        <v>42990</v>
      </c>
      <c r="E1123" s="1">
        <v>42992</v>
      </c>
      <c r="F1123" s="3" t="s">
        <v>886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 t="s">
        <v>6290</v>
      </c>
      <c r="D1124" s="1">
        <v>42991</v>
      </c>
      <c r="E1124" s="1">
        <v>42992</v>
      </c>
      <c r="F1124" s="3" t="s">
        <v>886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 t="s">
        <v>6290</v>
      </c>
      <c r="D1125" s="1">
        <v>42991</v>
      </c>
      <c r="E1125" s="1">
        <v>42992</v>
      </c>
      <c r="F1125" s="3" t="s">
        <v>887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 t="s">
        <v>6290</v>
      </c>
      <c r="D1126" s="1">
        <v>42992</v>
      </c>
      <c r="E1126" s="1">
        <v>42993</v>
      </c>
      <c r="F1126" s="3" t="s">
        <v>888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 t="s">
        <v>6290</v>
      </c>
      <c r="D1127" s="1">
        <v>42992</v>
      </c>
      <c r="E1127" s="1">
        <v>42994</v>
      </c>
      <c r="F1127" s="3" t="s">
        <v>888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 t="s">
        <v>6290</v>
      </c>
      <c r="D1128" s="1">
        <v>42993</v>
      </c>
      <c r="E1128" s="1">
        <v>42994</v>
      </c>
      <c r="F1128" s="3" t="s">
        <v>887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 t="s">
        <v>6290</v>
      </c>
      <c r="D1129" s="1">
        <v>42993</v>
      </c>
      <c r="E1129" s="1">
        <v>42995</v>
      </c>
      <c r="F1129" s="3" t="s">
        <v>887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 t="s">
        <v>6290</v>
      </c>
      <c r="D1130" s="1">
        <v>42995</v>
      </c>
      <c r="E1130" s="1">
        <v>42996</v>
      </c>
      <c r="F1130" s="3" t="s">
        <v>889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 t="s">
        <v>6290</v>
      </c>
      <c r="D1131" s="1">
        <v>42996</v>
      </c>
      <c r="E1131" s="1">
        <v>42998</v>
      </c>
      <c r="F1131" s="3" t="s">
        <v>889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 t="s">
        <v>6290</v>
      </c>
      <c r="D1132" s="1">
        <v>42996</v>
      </c>
      <c r="E1132" s="1">
        <v>42998</v>
      </c>
      <c r="F1132" s="3" t="s">
        <v>890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 t="s">
        <v>6290</v>
      </c>
      <c r="D1133" s="1">
        <v>42997</v>
      </c>
      <c r="E1133" s="1">
        <v>42998</v>
      </c>
      <c r="F1133" s="3" t="s">
        <v>889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 t="s">
        <v>6290</v>
      </c>
      <c r="D1134" s="1">
        <v>42997</v>
      </c>
      <c r="E1134" s="1">
        <v>42999</v>
      </c>
      <c r="F1134" s="3" t="s">
        <v>891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 t="s">
        <v>6290</v>
      </c>
      <c r="D1135" s="1">
        <v>42997</v>
      </c>
      <c r="E1135" s="1">
        <v>43000</v>
      </c>
      <c r="F1135" s="3" t="s">
        <v>889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 t="s">
        <v>6290</v>
      </c>
      <c r="D1136" s="1">
        <v>42997</v>
      </c>
      <c r="E1136" s="1">
        <v>42999</v>
      </c>
      <c r="F1136" s="3" t="s">
        <v>889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 t="s">
        <v>6290</v>
      </c>
      <c r="D1137" s="1">
        <v>42998</v>
      </c>
      <c r="E1137" s="1">
        <v>42999</v>
      </c>
      <c r="F1137" s="3" t="s">
        <v>891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 t="s">
        <v>6290</v>
      </c>
      <c r="D1138" s="1">
        <v>42998</v>
      </c>
      <c r="E1138" s="1">
        <v>43001</v>
      </c>
      <c r="F1138" s="3" t="s">
        <v>892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 t="s">
        <v>6290</v>
      </c>
      <c r="D1139" s="1">
        <v>42999</v>
      </c>
      <c r="E1139" s="1">
        <v>43001</v>
      </c>
      <c r="F1139" s="3" t="s">
        <v>893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 t="s">
        <v>6290</v>
      </c>
      <c r="D1140" s="1">
        <v>42999</v>
      </c>
      <c r="E1140" s="1">
        <v>43000</v>
      </c>
      <c r="F1140" s="3" t="s">
        <v>892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 t="s">
        <v>6290</v>
      </c>
      <c r="D1141" s="1">
        <v>42999</v>
      </c>
      <c r="E1141" s="1">
        <v>43000</v>
      </c>
      <c r="F1141" s="3" t="s">
        <v>893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 t="s">
        <v>6290</v>
      </c>
      <c r="D1142" s="1">
        <v>43000</v>
      </c>
      <c r="E1142" s="1">
        <v>43001</v>
      </c>
      <c r="F1142" s="3" t="s">
        <v>894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 t="s">
        <v>6290</v>
      </c>
      <c r="D1143" s="1">
        <v>43001</v>
      </c>
      <c r="E1143" s="1">
        <v>43004</v>
      </c>
      <c r="F1143" s="3" t="s">
        <v>895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 t="s">
        <v>6290</v>
      </c>
      <c r="D1144" s="1">
        <v>43002</v>
      </c>
      <c r="E1144" s="1">
        <v>43004</v>
      </c>
      <c r="F1144" s="3" t="s">
        <v>896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 t="s">
        <v>6290</v>
      </c>
      <c r="D1145" s="1">
        <v>43002</v>
      </c>
      <c r="E1145" s="1">
        <v>43005</v>
      </c>
      <c r="F1145" s="3" t="s">
        <v>896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 t="s">
        <v>6290</v>
      </c>
      <c r="D1146" s="1">
        <v>43003</v>
      </c>
      <c r="E1146" s="1">
        <v>43005</v>
      </c>
      <c r="F1146" s="3" t="s">
        <v>895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 t="s">
        <v>6290</v>
      </c>
      <c r="D1147" s="1">
        <v>43003</v>
      </c>
      <c r="E1147" s="1">
        <v>43004</v>
      </c>
      <c r="F1147" s="3" t="s">
        <v>897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 t="s">
        <v>6290</v>
      </c>
      <c r="D1148" s="1">
        <v>43003</v>
      </c>
      <c r="E1148" s="1">
        <v>43004</v>
      </c>
      <c r="F1148" s="3" t="s">
        <v>896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 t="s">
        <v>6290</v>
      </c>
      <c r="D1149" s="1">
        <v>43003</v>
      </c>
      <c r="E1149" s="1">
        <v>43004</v>
      </c>
      <c r="F1149" s="3" t="s">
        <v>896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 t="s">
        <v>6290</v>
      </c>
      <c r="D1150" s="1">
        <v>43005</v>
      </c>
      <c r="E1150" s="1">
        <v>43008</v>
      </c>
      <c r="F1150" s="3" t="s">
        <v>898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 t="s">
        <v>6290</v>
      </c>
      <c r="D1151" s="1">
        <v>43006</v>
      </c>
      <c r="E1151" s="1">
        <v>43009</v>
      </c>
      <c r="F1151" s="3" t="s">
        <v>898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 t="s">
        <v>6290</v>
      </c>
      <c r="D1152" s="1">
        <v>43007</v>
      </c>
      <c r="E1152" s="1">
        <v>43008</v>
      </c>
      <c r="F1152" s="3" t="s">
        <v>898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 t="s">
        <v>6290</v>
      </c>
      <c r="D1153" s="1">
        <v>43007</v>
      </c>
      <c r="E1153" s="1">
        <v>43010</v>
      </c>
      <c r="F1153" s="3" t="s">
        <v>899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 t="s">
        <v>6290</v>
      </c>
      <c r="D1154" s="1">
        <v>43008</v>
      </c>
      <c r="E1154" s="1">
        <v>43011</v>
      </c>
      <c r="F1154" s="3" t="s">
        <v>900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 t="s">
        <v>6290</v>
      </c>
      <c r="D1155" s="1">
        <v>43008</v>
      </c>
      <c r="E1155" s="1">
        <v>43011</v>
      </c>
      <c r="F1155" s="3" t="s">
        <v>900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 t="s">
        <v>6290</v>
      </c>
      <c r="D1156" s="1">
        <v>43008</v>
      </c>
      <c r="E1156" s="1">
        <v>43009</v>
      </c>
      <c r="F1156" s="3" t="s">
        <v>899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 t="s">
        <v>6290</v>
      </c>
      <c r="D1157" s="1">
        <v>43008</v>
      </c>
      <c r="E1157" s="1">
        <v>43011</v>
      </c>
      <c r="F1157" s="3" t="s">
        <v>900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 t="s">
        <v>6290</v>
      </c>
      <c r="D1158" s="1">
        <v>43009</v>
      </c>
      <c r="E1158" s="1">
        <v>43011</v>
      </c>
      <c r="F1158" s="3" t="s">
        <v>901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 t="s">
        <v>6290</v>
      </c>
      <c r="D1159" s="1">
        <v>43009</v>
      </c>
      <c r="E1159" s="1">
        <v>43011</v>
      </c>
      <c r="F1159" s="3" t="s">
        <v>902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 t="s">
        <v>6290</v>
      </c>
      <c r="D1160" s="1">
        <v>43009</v>
      </c>
      <c r="E1160" s="1">
        <v>43010</v>
      </c>
      <c r="F1160" s="3" t="s">
        <v>900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 t="s">
        <v>6290</v>
      </c>
      <c r="D1161" s="1">
        <v>43009</v>
      </c>
      <c r="E1161" s="1">
        <v>43010</v>
      </c>
      <c r="F1161" s="3" t="s">
        <v>901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 t="s">
        <v>6290</v>
      </c>
      <c r="D1162" s="1">
        <v>43009</v>
      </c>
      <c r="E1162" s="1">
        <v>43012</v>
      </c>
      <c r="F1162" s="3" t="s">
        <v>902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 t="s">
        <v>6290</v>
      </c>
      <c r="D1163" s="1">
        <v>43009</v>
      </c>
      <c r="E1163" s="1">
        <v>43011</v>
      </c>
      <c r="F1163" s="3" t="s">
        <v>900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 t="s">
        <v>6290</v>
      </c>
      <c r="D1164" s="1">
        <v>43009</v>
      </c>
      <c r="E1164" s="1">
        <v>43010</v>
      </c>
      <c r="F1164" s="3" t="s">
        <v>902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 t="s">
        <v>6290</v>
      </c>
      <c r="D1165" s="1">
        <v>43009</v>
      </c>
      <c r="E1165" s="1">
        <v>43010</v>
      </c>
      <c r="F1165" s="3" t="s">
        <v>900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 t="s">
        <v>6290</v>
      </c>
      <c r="D1166" s="1">
        <v>43010</v>
      </c>
      <c r="E1166" s="1">
        <v>43011</v>
      </c>
      <c r="F1166" s="3" t="s">
        <v>903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 t="s">
        <v>6290</v>
      </c>
      <c r="D1167" s="1">
        <v>43011</v>
      </c>
      <c r="E1167" s="1">
        <v>43012</v>
      </c>
      <c r="F1167" s="3" t="s">
        <v>901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 t="s">
        <v>6290</v>
      </c>
      <c r="D1168" s="1">
        <v>43012</v>
      </c>
      <c r="E1168" s="1">
        <v>43015</v>
      </c>
      <c r="F1168" s="3" t="s">
        <v>904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 t="s">
        <v>6290</v>
      </c>
      <c r="D1169" s="1">
        <v>43012</v>
      </c>
      <c r="E1169" s="1">
        <v>43013</v>
      </c>
      <c r="F1169" s="3" t="s">
        <v>904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 t="s">
        <v>6290</v>
      </c>
      <c r="D1170" s="1">
        <v>43012</v>
      </c>
      <c r="E1170" s="1">
        <v>43014</v>
      </c>
      <c r="F1170" s="3" t="s">
        <v>905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 t="s">
        <v>6290</v>
      </c>
      <c r="D1171" s="1">
        <v>43013</v>
      </c>
      <c r="E1171" s="1">
        <v>43015</v>
      </c>
      <c r="F1171" s="3" t="s">
        <v>904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 t="s">
        <v>6290</v>
      </c>
      <c r="D1172" s="1">
        <v>43013</v>
      </c>
      <c r="E1172" s="1">
        <v>43014</v>
      </c>
      <c r="F1172" s="3" t="s">
        <v>906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 t="s">
        <v>6290</v>
      </c>
      <c r="D1173" s="1">
        <v>43015</v>
      </c>
      <c r="E1173" s="1">
        <v>43018</v>
      </c>
      <c r="F1173" s="3" t="s">
        <v>907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 t="s">
        <v>6290</v>
      </c>
      <c r="D1174" s="1">
        <v>43016</v>
      </c>
      <c r="E1174" s="1">
        <v>43018</v>
      </c>
      <c r="F1174" s="3" t="s">
        <v>907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 t="s">
        <v>6290</v>
      </c>
      <c r="D1175" s="1">
        <v>43016</v>
      </c>
      <c r="E1175" s="1">
        <v>43018</v>
      </c>
      <c r="F1175" s="3" t="s">
        <v>908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 t="s">
        <v>6290</v>
      </c>
      <c r="D1176" s="1">
        <v>43017</v>
      </c>
      <c r="E1176" s="1">
        <v>43019</v>
      </c>
      <c r="F1176" s="3" t="s">
        <v>909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 t="s">
        <v>6290</v>
      </c>
      <c r="D1177" s="1">
        <v>43018</v>
      </c>
      <c r="E1177" s="1">
        <v>43021</v>
      </c>
      <c r="F1177" s="3" t="s">
        <v>908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 t="s">
        <v>6291</v>
      </c>
      <c r="D1178" s="1">
        <v>43020</v>
      </c>
      <c r="E1178" s="1">
        <v>43020</v>
      </c>
      <c r="F1178" s="3">
        <f>orders___orders[[#This Row],[order_date]]+3</f>
        <v>43023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 t="s">
        <v>6290</v>
      </c>
      <c r="D1179" s="1">
        <v>43020</v>
      </c>
      <c r="E1179" s="1">
        <v>43023</v>
      </c>
      <c r="F1179" s="3" t="s">
        <v>910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 t="s">
        <v>6290</v>
      </c>
      <c r="D1180" s="1">
        <v>43020</v>
      </c>
      <c r="E1180" s="1">
        <v>43023</v>
      </c>
      <c r="F1180" s="3" t="s">
        <v>911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 t="s">
        <v>6290</v>
      </c>
      <c r="D1181" s="1">
        <v>43021</v>
      </c>
      <c r="E1181" s="1">
        <v>43024</v>
      </c>
      <c r="F1181" s="3" t="s">
        <v>912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 t="s">
        <v>6290</v>
      </c>
      <c r="D1182" s="1">
        <v>43021</v>
      </c>
      <c r="E1182" s="1">
        <v>43024</v>
      </c>
      <c r="F1182" s="3" t="s">
        <v>911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 t="s">
        <v>6290</v>
      </c>
      <c r="D1183" s="1">
        <v>43021</v>
      </c>
      <c r="E1183" s="1">
        <v>43022</v>
      </c>
      <c r="F1183" s="3" t="s">
        <v>912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 t="s">
        <v>6290</v>
      </c>
      <c r="D1184" s="1">
        <v>43022</v>
      </c>
      <c r="E1184" s="1">
        <v>43025</v>
      </c>
      <c r="F1184" s="3" t="s">
        <v>913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 t="s">
        <v>6290</v>
      </c>
      <c r="D1185" s="1">
        <v>43022</v>
      </c>
      <c r="E1185" s="1">
        <v>43023</v>
      </c>
      <c r="F1185" s="3" t="s">
        <v>912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 t="s">
        <v>6290</v>
      </c>
      <c r="D1186" s="1">
        <v>43022</v>
      </c>
      <c r="E1186" s="1">
        <v>43024</v>
      </c>
      <c r="F1186" s="3" t="s">
        <v>913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 t="s">
        <v>6290</v>
      </c>
      <c r="D1187" s="1">
        <v>43022</v>
      </c>
      <c r="E1187" s="1">
        <v>43024</v>
      </c>
      <c r="F1187" s="3" t="s">
        <v>911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 t="s">
        <v>6290</v>
      </c>
      <c r="D1188" s="1">
        <v>43023</v>
      </c>
      <c r="E1188" s="1">
        <v>43026</v>
      </c>
      <c r="F1188" s="3" t="s">
        <v>912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 t="s">
        <v>6290</v>
      </c>
      <c r="D1189" s="1">
        <v>43023</v>
      </c>
      <c r="E1189" s="1">
        <v>43026</v>
      </c>
      <c r="F1189" s="3" t="s">
        <v>913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 t="s">
        <v>6290</v>
      </c>
      <c r="D1190" s="1">
        <v>43023</v>
      </c>
      <c r="E1190" s="1">
        <v>43025</v>
      </c>
      <c r="F1190" s="3" t="s">
        <v>914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 t="s">
        <v>6290</v>
      </c>
      <c r="D1191" s="1">
        <v>43024</v>
      </c>
      <c r="E1191" s="1">
        <v>43027</v>
      </c>
      <c r="F1191" s="3" t="s">
        <v>913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 t="s">
        <v>6290</v>
      </c>
      <c r="D1192" s="1">
        <v>43025</v>
      </c>
      <c r="E1192" s="1">
        <v>43026</v>
      </c>
      <c r="F1192" s="3" t="s">
        <v>914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 t="s">
        <v>6290</v>
      </c>
      <c r="D1193" s="1">
        <v>43025</v>
      </c>
      <c r="E1193" s="1">
        <v>43027</v>
      </c>
      <c r="F1193" s="3" t="s">
        <v>914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 t="s">
        <v>6290</v>
      </c>
      <c r="D1194" s="1">
        <v>43025</v>
      </c>
      <c r="E1194" s="1">
        <v>43027</v>
      </c>
      <c r="F1194" s="3" t="s">
        <v>915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 t="s">
        <v>6290</v>
      </c>
      <c r="D1195" s="1">
        <v>43027</v>
      </c>
      <c r="E1195" s="1">
        <v>43030</v>
      </c>
      <c r="F1195" s="3" t="s">
        <v>916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 t="s">
        <v>6290</v>
      </c>
      <c r="D1196" s="1">
        <v>43027</v>
      </c>
      <c r="E1196" s="1">
        <v>43029</v>
      </c>
      <c r="F1196" s="3" t="s">
        <v>917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 t="s">
        <v>6290</v>
      </c>
      <c r="D1197" s="1">
        <v>43027</v>
      </c>
      <c r="E1197" s="1">
        <v>43029</v>
      </c>
      <c r="F1197" s="3" t="s">
        <v>918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 t="s">
        <v>6290</v>
      </c>
      <c r="D1198" s="1">
        <v>43029</v>
      </c>
      <c r="E1198" s="1">
        <v>43031</v>
      </c>
      <c r="F1198" s="3" t="s">
        <v>919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 t="s">
        <v>6290</v>
      </c>
      <c r="D1199" s="1">
        <v>43030</v>
      </c>
      <c r="E1199" s="1">
        <v>43032</v>
      </c>
      <c r="F1199" s="3" t="s">
        <v>920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 t="s">
        <v>6290</v>
      </c>
      <c r="D1200" s="1">
        <v>43031</v>
      </c>
      <c r="E1200" s="1">
        <v>43032</v>
      </c>
      <c r="F1200" s="3" t="s">
        <v>921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 t="s">
        <v>6290</v>
      </c>
      <c r="D1201" s="1">
        <v>43031</v>
      </c>
      <c r="E1201" s="1">
        <v>43033</v>
      </c>
      <c r="F1201" s="3" t="s">
        <v>921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 t="s">
        <v>6290</v>
      </c>
      <c r="D1202" s="1">
        <v>43031</v>
      </c>
      <c r="E1202" s="1">
        <v>43032</v>
      </c>
      <c r="F1202" s="3" t="s">
        <v>920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 t="s">
        <v>6290</v>
      </c>
      <c r="D1203" s="1">
        <v>43032</v>
      </c>
      <c r="E1203" s="1">
        <v>43033</v>
      </c>
      <c r="F1203" s="3" t="s">
        <v>922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 t="s">
        <v>6290</v>
      </c>
      <c r="D1204" s="1">
        <v>43033</v>
      </c>
      <c r="E1204" s="1">
        <v>43035</v>
      </c>
      <c r="F1204" s="3" t="s">
        <v>921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 t="s">
        <v>6290</v>
      </c>
      <c r="D1205" s="1">
        <v>43033</v>
      </c>
      <c r="E1205" s="1">
        <v>43036</v>
      </c>
      <c r="F1205" s="3" t="s">
        <v>923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 t="s">
        <v>6290</v>
      </c>
      <c r="D1206" s="1">
        <v>43034</v>
      </c>
      <c r="E1206" s="1">
        <v>43036</v>
      </c>
      <c r="F1206" s="3" t="s">
        <v>923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 t="s">
        <v>6290</v>
      </c>
      <c r="D1207" s="1">
        <v>43034</v>
      </c>
      <c r="E1207" s="1">
        <v>43037</v>
      </c>
      <c r="F1207" s="3" t="s">
        <v>924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 t="s">
        <v>6290</v>
      </c>
      <c r="D1208" s="1">
        <v>43034</v>
      </c>
      <c r="E1208" s="1">
        <v>43036</v>
      </c>
      <c r="F1208" s="3" t="s">
        <v>925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 t="s">
        <v>6290</v>
      </c>
      <c r="D1209" s="1">
        <v>43034</v>
      </c>
      <c r="E1209" s="1">
        <v>43036</v>
      </c>
      <c r="F1209" s="3" t="s">
        <v>925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 t="s">
        <v>6290</v>
      </c>
      <c r="D1210" s="1">
        <v>43034</v>
      </c>
      <c r="E1210" s="1">
        <v>43035</v>
      </c>
      <c r="F1210" s="3" t="s">
        <v>924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 t="s">
        <v>6290</v>
      </c>
      <c r="D1211" s="1">
        <v>43034</v>
      </c>
      <c r="E1211" s="1">
        <v>43035</v>
      </c>
      <c r="F1211" s="3" t="s">
        <v>924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 t="s">
        <v>6290</v>
      </c>
      <c r="D1212" s="1">
        <v>43035</v>
      </c>
      <c r="E1212" s="1">
        <v>43036</v>
      </c>
      <c r="F1212" s="3" t="s">
        <v>924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 t="s">
        <v>6290</v>
      </c>
      <c r="D1213" s="1">
        <v>43035</v>
      </c>
      <c r="E1213" s="1">
        <v>43038</v>
      </c>
      <c r="F1213" s="3" t="s">
        <v>924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 t="s">
        <v>6290</v>
      </c>
      <c r="D1214" s="1">
        <v>43035</v>
      </c>
      <c r="E1214" s="1">
        <v>43037</v>
      </c>
      <c r="F1214" s="3" t="s">
        <v>924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 t="s">
        <v>6290</v>
      </c>
      <c r="D1215" s="1">
        <v>43036</v>
      </c>
      <c r="E1215" s="1">
        <v>43037</v>
      </c>
      <c r="F1215" s="3" t="s">
        <v>924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 t="s">
        <v>6290</v>
      </c>
      <c r="D1216" s="1">
        <v>43036</v>
      </c>
      <c r="E1216" s="1">
        <v>43039</v>
      </c>
      <c r="F1216" s="3" t="s">
        <v>926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 t="s">
        <v>6290</v>
      </c>
      <c r="D1217" s="1">
        <v>43036</v>
      </c>
      <c r="E1217" s="1">
        <v>43038</v>
      </c>
      <c r="F1217" s="3" t="s">
        <v>924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 t="s">
        <v>6290</v>
      </c>
      <c r="D1218" s="1">
        <v>43036</v>
      </c>
      <c r="E1218" s="1">
        <v>43039</v>
      </c>
      <c r="F1218" s="3" t="s">
        <v>926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 t="s">
        <v>6290</v>
      </c>
      <c r="D1219" s="1">
        <v>43038</v>
      </c>
      <c r="E1219" s="1">
        <v>43040</v>
      </c>
      <c r="F1219" s="3" t="s">
        <v>927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 t="s">
        <v>6290</v>
      </c>
      <c r="D1220" s="1">
        <v>43038</v>
      </c>
      <c r="E1220" s="1">
        <v>43041</v>
      </c>
      <c r="F1220" s="3" t="s">
        <v>928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 t="s">
        <v>6290</v>
      </c>
      <c r="D1221" s="1">
        <v>43039</v>
      </c>
      <c r="E1221" s="1">
        <v>43042</v>
      </c>
      <c r="F1221" s="3" t="s">
        <v>929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 t="s">
        <v>6290</v>
      </c>
      <c r="D1222" s="1">
        <v>43039</v>
      </c>
      <c r="E1222" s="1">
        <v>43041</v>
      </c>
      <c r="F1222" s="3" t="s">
        <v>930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 t="s">
        <v>6290</v>
      </c>
      <c r="D1223" s="1">
        <v>43040</v>
      </c>
      <c r="E1223" s="1">
        <v>43043</v>
      </c>
      <c r="F1223" s="3" t="s">
        <v>929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 t="s">
        <v>6290</v>
      </c>
      <c r="D1224" s="1">
        <v>43041</v>
      </c>
      <c r="E1224" s="1">
        <v>43042</v>
      </c>
      <c r="F1224" s="3" t="s">
        <v>929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 t="s">
        <v>6290</v>
      </c>
      <c r="D1225" s="1">
        <v>43042</v>
      </c>
      <c r="E1225" s="1">
        <v>43043</v>
      </c>
      <c r="F1225" s="3" t="s">
        <v>931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 t="s">
        <v>6290</v>
      </c>
      <c r="D1226" s="1">
        <v>43043</v>
      </c>
      <c r="E1226" s="1">
        <v>43044</v>
      </c>
      <c r="F1226" s="3" t="s">
        <v>932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 t="s">
        <v>6290</v>
      </c>
      <c r="D1227" s="1">
        <v>43043</v>
      </c>
      <c r="E1227" s="1">
        <v>43046</v>
      </c>
      <c r="F1227" s="3" t="s">
        <v>933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 t="s">
        <v>6290</v>
      </c>
      <c r="D1228" s="1">
        <v>43043</v>
      </c>
      <c r="E1228" s="1">
        <v>43046</v>
      </c>
      <c r="F1228" s="3" t="s">
        <v>933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 t="s">
        <v>6290</v>
      </c>
      <c r="D1229" s="1">
        <v>43043</v>
      </c>
      <c r="E1229" s="1">
        <v>43045</v>
      </c>
      <c r="F1229" s="3" t="s">
        <v>933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 t="s">
        <v>6290</v>
      </c>
      <c r="D1230" s="1">
        <v>43044</v>
      </c>
      <c r="E1230" s="1">
        <v>43047</v>
      </c>
      <c r="F1230" s="3" t="s">
        <v>933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 t="s">
        <v>6290</v>
      </c>
      <c r="D1231" s="1">
        <v>43044</v>
      </c>
      <c r="E1231" s="1">
        <v>43045</v>
      </c>
      <c r="F1231" s="3" t="s">
        <v>932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 t="s">
        <v>6290</v>
      </c>
      <c r="D1232" s="1">
        <v>43044</v>
      </c>
      <c r="E1232" s="1">
        <v>43046</v>
      </c>
      <c r="F1232" s="3" t="s">
        <v>933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 t="s">
        <v>6290</v>
      </c>
      <c r="D1233" s="1">
        <v>43045</v>
      </c>
      <c r="E1233" s="1">
        <v>43046</v>
      </c>
      <c r="F1233" s="3" t="s">
        <v>934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 t="s">
        <v>6290</v>
      </c>
      <c r="D1234" s="1">
        <v>43045</v>
      </c>
      <c r="E1234" s="1">
        <v>43046</v>
      </c>
      <c r="F1234" s="3" t="s">
        <v>935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 t="s">
        <v>6291</v>
      </c>
      <c r="D1235" s="1">
        <v>43046</v>
      </c>
      <c r="E1235" s="1">
        <v>43046</v>
      </c>
      <c r="F1235" s="3">
        <f>orders___orders[[#This Row],[order_date]]+3</f>
        <v>43049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 t="s">
        <v>6290</v>
      </c>
      <c r="D1236" s="1">
        <v>43046</v>
      </c>
      <c r="E1236" s="1">
        <v>43047</v>
      </c>
      <c r="F1236" s="3" t="s">
        <v>934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 t="s">
        <v>6290</v>
      </c>
      <c r="D1237" s="1">
        <v>43047</v>
      </c>
      <c r="E1237" s="1">
        <v>43050</v>
      </c>
      <c r="F1237" s="3" t="s">
        <v>934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 t="s">
        <v>6290</v>
      </c>
      <c r="D1238" s="1">
        <v>43048</v>
      </c>
      <c r="E1238" s="1">
        <v>43051</v>
      </c>
      <c r="F1238" s="3" t="s">
        <v>936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 t="s">
        <v>6290</v>
      </c>
      <c r="D1239" s="1">
        <v>43048</v>
      </c>
      <c r="E1239" s="1">
        <v>43049</v>
      </c>
      <c r="F1239" s="3" t="s">
        <v>936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 t="s">
        <v>6290</v>
      </c>
      <c r="D1240" s="1">
        <v>43048</v>
      </c>
      <c r="E1240" s="1">
        <v>43049</v>
      </c>
      <c r="F1240" s="3" t="s">
        <v>936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 t="s">
        <v>6290</v>
      </c>
      <c r="D1241" s="1">
        <v>43049</v>
      </c>
      <c r="E1241" s="1">
        <v>43050</v>
      </c>
      <c r="F1241" s="3" t="s">
        <v>936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 t="s">
        <v>6290</v>
      </c>
      <c r="D1242" s="1">
        <v>43049</v>
      </c>
      <c r="E1242" s="1">
        <v>43051</v>
      </c>
      <c r="F1242" s="3" t="s">
        <v>936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 t="s">
        <v>6290</v>
      </c>
      <c r="D1243" s="1">
        <v>43050</v>
      </c>
      <c r="E1243" s="1">
        <v>43051</v>
      </c>
      <c r="F1243" s="3" t="s">
        <v>937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 t="s">
        <v>6290</v>
      </c>
      <c r="D1244" s="1">
        <v>43050</v>
      </c>
      <c r="E1244" s="1">
        <v>43052</v>
      </c>
      <c r="F1244" s="3" t="s">
        <v>938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 t="s">
        <v>6290</v>
      </c>
      <c r="D1245" s="1">
        <v>43051</v>
      </c>
      <c r="E1245" s="1">
        <v>43053</v>
      </c>
      <c r="F1245" s="3" t="s">
        <v>939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 t="s">
        <v>6290</v>
      </c>
      <c r="D1246" s="1">
        <v>43052</v>
      </c>
      <c r="E1246" s="1">
        <v>43055</v>
      </c>
      <c r="F1246" s="3" t="s">
        <v>938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 t="s">
        <v>6290</v>
      </c>
      <c r="D1247" s="1">
        <v>43052</v>
      </c>
      <c r="E1247" s="1">
        <v>43055</v>
      </c>
      <c r="F1247" s="3" t="s">
        <v>940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 t="s">
        <v>6290</v>
      </c>
      <c r="D1248" s="1">
        <v>43055</v>
      </c>
      <c r="E1248" s="1">
        <v>43057</v>
      </c>
      <c r="F1248" s="3" t="s">
        <v>941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 t="s">
        <v>6290</v>
      </c>
      <c r="D1249" s="1">
        <v>43055</v>
      </c>
      <c r="E1249" s="1">
        <v>43056</v>
      </c>
      <c r="F1249" s="3" t="s">
        <v>942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 t="s">
        <v>6290</v>
      </c>
      <c r="D1250" s="1">
        <v>43056</v>
      </c>
      <c r="E1250" s="1">
        <v>43057</v>
      </c>
      <c r="F1250" s="3" t="s">
        <v>943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 t="s">
        <v>6290</v>
      </c>
      <c r="D1251" s="1">
        <v>43056</v>
      </c>
      <c r="E1251" s="1">
        <v>43058</v>
      </c>
      <c r="F1251" s="3" t="s">
        <v>942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 t="s">
        <v>6290</v>
      </c>
      <c r="D1252" s="1">
        <v>43056</v>
      </c>
      <c r="E1252" s="1">
        <v>43058</v>
      </c>
      <c r="F1252" s="3" t="s">
        <v>944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 t="s">
        <v>6290</v>
      </c>
      <c r="D1253" s="1">
        <v>43057</v>
      </c>
      <c r="E1253" s="1">
        <v>43059</v>
      </c>
      <c r="F1253" s="3" t="s">
        <v>945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 t="s">
        <v>6290</v>
      </c>
      <c r="D1254" s="1">
        <v>43057</v>
      </c>
      <c r="E1254" s="1">
        <v>43060</v>
      </c>
      <c r="F1254" s="3" t="s">
        <v>945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 t="s">
        <v>6290</v>
      </c>
      <c r="D1255" s="1">
        <v>43057</v>
      </c>
      <c r="E1255" s="1">
        <v>43058</v>
      </c>
      <c r="F1255" s="3" t="s">
        <v>944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 t="s">
        <v>6290</v>
      </c>
      <c r="D1256" s="1">
        <v>43058</v>
      </c>
      <c r="E1256" s="1">
        <v>43059</v>
      </c>
      <c r="F1256" s="3" t="s">
        <v>945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 t="s">
        <v>6290</v>
      </c>
      <c r="D1257" s="1">
        <v>43058</v>
      </c>
      <c r="E1257" s="1">
        <v>43059</v>
      </c>
      <c r="F1257" s="3" t="s">
        <v>946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 t="s">
        <v>6290</v>
      </c>
      <c r="D1258" s="1">
        <v>43058</v>
      </c>
      <c r="E1258" s="1">
        <v>43061</v>
      </c>
      <c r="F1258" s="3" t="s">
        <v>943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 t="s">
        <v>6290</v>
      </c>
      <c r="D1259" s="1">
        <v>43059</v>
      </c>
      <c r="E1259" s="1">
        <v>43060</v>
      </c>
      <c r="F1259" s="3" t="s">
        <v>946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 t="s">
        <v>6291</v>
      </c>
      <c r="D1260" s="1">
        <v>43060</v>
      </c>
      <c r="E1260" s="1">
        <v>43060</v>
      </c>
      <c r="F1260" s="3">
        <f>orders___orders[[#This Row],[order_date]]+3</f>
        <v>43063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 t="s">
        <v>6290</v>
      </c>
      <c r="D1261" s="1">
        <v>43061</v>
      </c>
      <c r="E1261" s="1">
        <v>43062</v>
      </c>
      <c r="F1261" s="3" t="s">
        <v>947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 t="s">
        <v>6290</v>
      </c>
      <c r="D1262" s="1">
        <v>43062</v>
      </c>
      <c r="E1262" s="1">
        <v>43064</v>
      </c>
      <c r="F1262" s="3" t="s">
        <v>947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 t="s">
        <v>6290</v>
      </c>
      <c r="D1263" s="1">
        <v>43062</v>
      </c>
      <c r="E1263" s="1">
        <v>43065</v>
      </c>
      <c r="F1263" s="3" t="s">
        <v>948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 t="s">
        <v>6290</v>
      </c>
      <c r="D1264" s="1">
        <v>43062</v>
      </c>
      <c r="E1264" s="1">
        <v>43065</v>
      </c>
      <c r="F1264" s="3" t="s">
        <v>948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 t="s">
        <v>6290</v>
      </c>
      <c r="D1265" s="1">
        <v>43063</v>
      </c>
      <c r="E1265" s="1">
        <v>43066</v>
      </c>
      <c r="F1265" s="3" t="s">
        <v>949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 t="s">
        <v>6290</v>
      </c>
      <c r="D1266" s="1">
        <v>43063</v>
      </c>
      <c r="E1266" s="1">
        <v>43066</v>
      </c>
      <c r="F1266" s="3" t="s">
        <v>950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 t="s">
        <v>6290</v>
      </c>
      <c r="D1267" s="1">
        <v>43064</v>
      </c>
      <c r="E1267" s="1">
        <v>43067</v>
      </c>
      <c r="F1267" s="3" t="s">
        <v>950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 t="s">
        <v>6290</v>
      </c>
      <c r="D1268" s="1">
        <v>43064</v>
      </c>
      <c r="E1268" s="1">
        <v>43065</v>
      </c>
      <c r="F1268" s="3" t="s">
        <v>948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 t="s">
        <v>6290</v>
      </c>
      <c r="D1269" s="1">
        <v>43065</v>
      </c>
      <c r="E1269" s="1">
        <v>43067</v>
      </c>
      <c r="F1269" s="3" t="s">
        <v>951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 t="s">
        <v>6290</v>
      </c>
      <c r="D1270" s="1">
        <v>43065</v>
      </c>
      <c r="E1270" s="1">
        <v>43068</v>
      </c>
      <c r="F1270" s="3" t="s">
        <v>951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 t="s">
        <v>6290</v>
      </c>
      <c r="D1271" s="1">
        <v>43065</v>
      </c>
      <c r="E1271" s="1">
        <v>43068</v>
      </c>
      <c r="F1271" s="3" t="s">
        <v>951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 t="s">
        <v>6290</v>
      </c>
      <c r="D1272" s="1">
        <v>43066</v>
      </c>
      <c r="E1272" s="1">
        <v>43069</v>
      </c>
      <c r="F1272" s="3" t="s">
        <v>952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 t="s">
        <v>6290</v>
      </c>
      <c r="D1273" s="1">
        <v>43066</v>
      </c>
      <c r="E1273" s="1">
        <v>43068</v>
      </c>
      <c r="F1273" s="3" t="s">
        <v>952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 t="s">
        <v>6290</v>
      </c>
      <c r="D1274" s="1">
        <v>43066</v>
      </c>
      <c r="E1274" s="1">
        <v>43068</v>
      </c>
      <c r="F1274" s="3" t="s">
        <v>951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 t="s">
        <v>6290</v>
      </c>
      <c r="D1275" s="1">
        <v>43067</v>
      </c>
      <c r="E1275" s="1">
        <v>43068</v>
      </c>
      <c r="F1275" s="3" t="s">
        <v>953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 t="s">
        <v>6290</v>
      </c>
      <c r="D1276" s="1">
        <v>43068</v>
      </c>
      <c r="E1276" s="1">
        <v>43070</v>
      </c>
      <c r="F1276" s="3" t="s">
        <v>952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 t="s">
        <v>6290</v>
      </c>
      <c r="D1277" s="1">
        <v>43069</v>
      </c>
      <c r="E1277" s="1">
        <v>43072</v>
      </c>
      <c r="F1277" s="3" t="s">
        <v>954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 t="s">
        <v>6290</v>
      </c>
      <c r="D1278" s="1">
        <v>43070</v>
      </c>
      <c r="E1278" s="1">
        <v>43073</v>
      </c>
      <c r="F1278" s="3" t="s">
        <v>954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 t="s">
        <v>6290</v>
      </c>
      <c r="D1279" s="1">
        <v>43070</v>
      </c>
      <c r="E1279" s="1">
        <v>43071</v>
      </c>
      <c r="F1279" s="3" t="s">
        <v>955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 t="s">
        <v>6290</v>
      </c>
      <c r="D1280" s="1">
        <v>43070</v>
      </c>
      <c r="E1280" s="1">
        <v>43073</v>
      </c>
      <c r="F1280" s="3" t="s">
        <v>956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 t="s">
        <v>6290</v>
      </c>
      <c r="D1281" s="1">
        <v>43070</v>
      </c>
      <c r="E1281" s="1">
        <v>43072</v>
      </c>
      <c r="F1281" s="3" t="s">
        <v>956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 t="s">
        <v>6290</v>
      </c>
      <c r="D1282" s="1">
        <v>43071</v>
      </c>
      <c r="E1282" s="1">
        <v>43074</v>
      </c>
      <c r="F1282" s="3" t="s">
        <v>957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 t="s">
        <v>6290</v>
      </c>
      <c r="D1283" s="1">
        <v>43072</v>
      </c>
      <c r="E1283" s="1">
        <v>43074</v>
      </c>
      <c r="F1283" s="3" t="s">
        <v>957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 t="s">
        <v>6290</v>
      </c>
      <c r="D1284" s="1">
        <v>43073</v>
      </c>
      <c r="E1284" s="1">
        <v>43076</v>
      </c>
      <c r="F1284" s="3" t="s">
        <v>958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 t="s">
        <v>6290</v>
      </c>
      <c r="D1285" s="1">
        <v>43073</v>
      </c>
      <c r="E1285" s="1">
        <v>43075</v>
      </c>
      <c r="F1285" s="3" t="s">
        <v>958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 t="s">
        <v>6290</v>
      </c>
      <c r="D1286" s="1">
        <v>43073</v>
      </c>
      <c r="E1286" s="1">
        <v>43076</v>
      </c>
      <c r="F1286" s="3" t="s">
        <v>958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 t="s">
        <v>6290</v>
      </c>
      <c r="D1287" s="1">
        <v>43073</v>
      </c>
      <c r="E1287" s="1">
        <v>43076</v>
      </c>
      <c r="F1287" s="3" t="s">
        <v>959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 t="s">
        <v>6290</v>
      </c>
      <c r="D1288" s="1">
        <v>43076</v>
      </c>
      <c r="E1288" s="1">
        <v>43079</v>
      </c>
      <c r="F1288" s="3" t="s">
        <v>960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 t="s">
        <v>6290</v>
      </c>
      <c r="D1289" s="1">
        <v>43076</v>
      </c>
      <c r="E1289" s="1">
        <v>43079</v>
      </c>
      <c r="F1289" s="3" t="s">
        <v>960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 t="s">
        <v>6290</v>
      </c>
      <c r="D1290" s="1">
        <v>43077</v>
      </c>
      <c r="E1290" s="1">
        <v>43080</v>
      </c>
      <c r="F1290" s="3" t="s">
        <v>961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 t="s">
        <v>6290</v>
      </c>
      <c r="D1291" s="1">
        <v>43077</v>
      </c>
      <c r="E1291" s="1">
        <v>43079</v>
      </c>
      <c r="F1291" s="3" t="s">
        <v>961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 t="s">
        <v>6290</v>
      </c>
      <c r="D1292" s="1">
        <v>43078</v>
      </c>
      <c r="E1292" s="1">
        <v>43080</v>
      </c>
      <c r="F1292" s="3" t="s">
        <v>962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 t="s">
        <v>6290</v>
      </c>
      <c r="D1293" s="1">
        <v>43079</v>
      </c>
      <c r="E1293" s="1">
        <v>43082</v>
      </c>
      <c r="F1293" s="3" t="s">
        <v>963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 t="s">
        <v>6290</v>
      </c>
      <c r="D1294" s="1">
        <v>43079</v>
      </c>
      <c r="E1294" s="1">
        <v>43081</v>
      </c>
      <c r="F1294" s="3" t="s">
        <v>963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 t="s">
        <v>6290</v>
      </c>
      <c r="D1295" s="1">
        <v>43080</v>
      </c>
      <c r="E1295" s="1">
        <v>43082</v>
      </c>
      <c r="F1295" s="3" t="s">
        <v>964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 t="s">
        <v>6290</v>
      </c>
      <c r="D1296" s="1">
        <v>43080</v>
      </c>
      <c r="E1296" s="1">
        <v>43081</v>
      </c>
      <c r="F1296" s="3" t="s">
        <v>964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 t="s">
        <v>6290</v>
      </c>
      <c r="D1297" s="1">
        <v>43083</v>
      </c>
      <c r="E1297" s="1">
        <v>43086</v>
      </c>
      <c r="F1297" s="3" t="s">
        <v>965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 t="s">
        <v>6290</v>
      </c>
      <c r="D1298" s="1">
        <v>43083</v>
      </c>
      <c r="E1298" s="1">
        <v>43086</v>
      </c>
      <c r="F1298" s="3" t="s">
        <v>966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 t="s">
        <v>6290</v>
      </c>
      <c r="D1299" s="1">
        <v>43083</v>
      </c>
      <c r="E1299" s="1">
        <v>43086</v>
      </c>
      <c r="F1299" s="3" t="s">
        <v>966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 t="s">
        <v>6290</v>
      </c>
      <c r="D1300" s="1">
        <v>43084</v>
      </c>
      <c r="E1300" s="1">
        <v>43087</v>
      </c>
      <c r="F1300" s="3" t="s">
        <v>966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 t="s">
        <v>6290</v>
      </c>
      <c r="D1301" s="1">
        <v>43084</v>
      </c>
      <c r="E1301" s="1">
        <v>43086</v>
      </c>
      <c r="F1301" s="3" t="s">
        <v>967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 t="s">
        <v>6290</v>
      </c>
      <c r="D1302" s="1">
        <v>43085</v>
      </c>
      <c r="E1302" s="1">
        <v>43088</v>
      </c>
      <c r="F1302" s="3" t="s">
        <v>968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 t="s">
        <v>6290</v>
      </c>
      <c r="D1303" s="1">
        <v>43085</v>
      </c>
      <c r="E1303" s="1">
        <v>43087</v>
      </c>
      <c r="F1303" s="3" t="s">
        <v>968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 t="s">
        <v>6290</v>
      </c>
      <c r="D1304" s="1">
        <v>43085</v>
      </c>
      <c r="E1304" s="1">
        <v>43088</v>
      </c>
      <c r="F1304" s="3" t="s">
        <v>969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 t="s">
        <v>6290</v>
      </c>
      <c r="D1305" s="1">
        <v>43085</v>
      </c>
      <c r="E1305" s="1">
        <v>43086</v>
      </c>
      <c r="F1305" s="3" t="s">
        <v>967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 t="s">
        <v>6290</v>
      </c>
      <c r="D1306" s="1">
        <v>43086</v>
      </c>
      <c r="E1306" s="1">
        <v>43088</v>
      </c>
      <c r="F1306" s="3" t="s">
        <v>969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 t="s">
        <v>6290</v>
      </c>
      <c r="D1307" s="1">
        <v>43089</v>
      </c>
      <c r="E1307" s="1">
        <v>43090</v>
      </c>
      <c r="F1307" s="3" t="s">
        <v>970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 t="s">
        <v>6290</v>
      </c>
      <c r="D1308" s="1">
        <v>43091</v>
      </c>
      <c r="E1308" s="1">
        <v>43092</v>
      </c>
      <c r="F1308" s="3" t="s">
        <v>971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 t="s">
        <v>6290</v>
      </c>
      <c r="D1309" s="1">
        <v>43091</v>
      </c>
      <c r="E1309" s="1">
        <v>43093</v>
      </c>
      <c r="F1309" s="3" t="s">
        <v>972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 t="s">
        <v>6290</v>
      </c>
      <c r="D1310" s="1">
        <v>43091</v>
      </c>
      <c r="E1310" s="1">
        <v>43094</v>
      </c>
      <c r="F1310" s="3" t="s">
        <v>972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 t="s">
        <v>6290</v>
      </c>
      <c r="D1311" s="1">
        <v>43093</v>
      </c>
      <c r="E1311" s="1">
        <v>43094</v>
      </c>
      <c r="F1311" s="3" t="s">
        <v>973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 t="s">
        <v>6290</v>
      </c>
      <c r="D1312" s="1">
        <v>43093</v>
      </c>
      <c r="E1312" s="1">
        <v>43095</v>
      </c>
      <c r="F1312" s="3" t="s">
        <v>974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 t="s">
        <v>6290</v>
      </c>
      <c r="D1313" s="1">
        <v>43094</v>
      </c>
      <c r="E1313" s="1">
        <v>43097</v>
      </c>
      <c r="F1313" s="3" t="s">
        <v>973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 t="s">
        <v>6290</v>
      </c>
      <c r="D1314" s="1">
        <v>43094</v>
      </c>
      <c r="E1314" s="1">
        <v>43096</v>
      </c>
      <c r="F1314" s="3" t="s">
        <v>974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 t="s">
        <v>6290</v>
      </c>
      <c r="D1315" s="1">
        <v>43094</v>
      </c>
      <c r="E1315" s="1">
        <v>43095</v>
      </c>
      <c r="F1315" s="3" t="s">
        <v>975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 t="s">
        <v>6290</v>
      </c>
      <c r="D1316" s="1">
        <v>43094</v>
      </c>
      <c r="E1316" s="1">
        <v>43096</v>
      </c>
      <c r="F1316" s="3" t="s">
        <v>975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 t="s">
        <v>6290</v>
      </c>
      <c r="D1317" s="1">
        <v>43095</v>
      </c>
      <c r="E1317" s="1">
        <v>43098</v>
      </c>
      <c r="F1317" s="3" t="s">
        <v>974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 t="s">
        <v>6290</v>
      </c>
      <c r="D1318" s="1">
        <v>43096</v>
      </c>
      <c r="E1318" s="1">
        <v>43097</v>
      </c>
      <c r="F1318" s="3" t="s">
        <v>976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 t="s">
        <v>6290</v>
      </c>
      <c r="D1319" s="1">
        <v>43096</v>
      </c>
      <c r="E1319" s="1">
        <v>43099</v>
      </c>
      <c r="F1319" s="3" t="s">
        <v>976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 t="s">
        <v>6290</v>
      </c>
      <c r="D1320" s="1">
        <v>43096</v>
      </c>
      <c r="E1320" s="1">
        <v>43099</v>
      </c>
      <c r="F1320" s="3" t="s">
        <v>977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 t="s">
        <v>6290</v>
      </c>
      <c r="D1321" s="1">
        <v>43097</v>
      </c>
      <c r="E1321" s="1">
        <v>43099</v>
      </c>
      <c r="F1321" s="3" t="s">
        <v>976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 t="s">
        <v>6290</v>
      </c>
      <c r="D1322" s="1">
        <v>43099</v>
      </c>
      <c r="E1322" s="1">
        <v>43100</v>
      </c>
      <c r="F1322" s="3" t="s">
        <v>978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 t="s">
        <v>6290</v>
      </c>
      <c r="D1323" s="1">
        <v>43100</v>
      </c>
      <c r="E1323" s="1">
        <v>43103</v>
      </c>
      <c r="F1323" s="3" t="s">
        <v>979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 t="s">
        <v>6290</v>
      </c>
      <c r="D1324" s="1">
        <v>43100</v>
      </c>
      <c r="E1324" s="1">
        <v>43101</v>
      </c>
      <c r="F1324" s="3" t="s">
        <v>980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 t="s">
        <v>6290</v>
      </c>
      <c r="D1325" s="1">
        <v>43101</v>
      </c>
      <c r="E1325" s="1">
        <v>43104</v>
      </c>
      <c r="F1325" s="3" t="s">
        <v>981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 t="s">
        <v>6290</v>
      </c>
      <c r="D1326" s="1">
        <v>43101</v>
      </c>
      <c r="E1326" s="1">
        <v>43102</v>
      </c>
      <c r="F1326" s="3" t="s">
        <v>981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 t="s">
        <v>6290</v>
      </c>
      <c r="D1327" s="1">
        <v>43101</v>
      </c>
      <c r="E1327" s="1">
        <v>43103</v>
      </c>
      <c r="F1327" s="3" t="s">
        <v>979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 t="s">
        <v>6290</v>
      </c>
      <c r="D1328" s="1">
        <v>43102</v>
      </c>
      <c r="E1328" s="1">
        <v>43103</v>
      </c>
      <c r="F1328" s="3" t="s">
        <v>982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 t="s">
        <v>6290</v>
      </c>
      <c r="D1329" s="1">
        <v>43102</v>
      </c>
      <c r="E1329" s="1">
        <v>43103</v>
      </c>
      <c r="F1329" s="3" t="s">
        <v>981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 t="s">
        <v>6290</v>
      </c>
      <c r="D1330" s="1">
        <v>43104</v>
      </c>
      <c r="E1330" s="1">
        <v>43105</v>
      </c>
      <c r="F1330" s="3" t="s">
        <v>983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 t="s">
        <v>6290</v>
      </c>
      <c r="D1331" s="1">
        <v>43104</v>
      </c>
      <c r="E1331" s="1">
        <v>43105</v>
      </c>
      <c r="F1331" s="3" t="s">
        <v>984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 t="s">
        <v>6290</v>
      </c>
      <c r="D1332" s="1">
        <v>43105</v>
      </c>
      <c r="E1332" s="1">
        <v>43106</v>
      </c>
      <c r="F1332" s="3" t="s">
        <v>985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 t="s">
        <v>6290</v>
      </c>
      <c r="D1333" s="1">
        <v>43106</v>
      </c>
      <c r="E1333" s="1">
        <v>43107</v>
      </c>
      <c r="F1333" s="3" t="s">
        <v>986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 t="s">
        <v>6290</v>
      </c>
      <c r="D1334" s="1">
        <v>43106</v>
      </c>
      <c r="E1334" s="1">
        <v>43107</v>
      </c>
      <c r="F1334" s="3" t="s">
        <v>984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 t="s">
        <v>6290</v>
      </c>
      <c r="D1335" s="1">
        <v>43107</v>
      </c>
      <c r="E1335" s="1">
        <v>43109</v>
      </c>
      <c r="F1335" s="3" t="s">
        <v>987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 t="s">
        <v>6290</v>
      </c>
      <c r="D1336" s="1">
        <v>43107</v>
      </c>
      <c r="E1336" s="1">
        <v>43108</v>
      </c>
      <c r="F1336" s="3" t="s">
        <v>985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 t="s">
        <v>6290</v>
      </c>
      <c r="D1337" s="1">
        <v>43109</v>
      </c>
      <c r="E1337" s="1">
        <v>43110</v>
      </c>
      <c r="F1337" s="3" t="s">
        <v>988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 t="s">
        <v>6290</v>
      </c>
      <c r="D1338" s="1">
        <v>43109</v>
      </c>
      <c r="E1338" s="1">
        <v>43112</v>
      </c>
      <c r="F1338" s="3" t="s">
        <v>988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 t="s">
        <v>6290</v>
      </c>
      <c r="D1339" s="1">
        <v>43110</v>
      </c>
      <c r="E1339" s="1">
        <v>43111</v>
      </c>
      <c r="F1339" s="3" t="s">
        <v>989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 t="s">
        <v>6290</v>
      </c>
      <c r="D1340" s="1">
        <v>43111</v>
      </c>
      <c r="E1340" s="1">
        <v>43114</v>
      </c>
      <c r="F1340" s="3" t="s">
        <v>989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 t="s">
        <v>6290</v>
      </c>
      <c r="D1341" s="1">
        <v>43112</v>
      </c>
      <c r="E1341" s="1">
        <v>43113</v>
      </c>
      <c r="F1341" s="3" t="s">
        <v>989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 t="s">
        <v>6290</v>
      </c>
      <c r="D1342" s="1">
        <v>43112</v>
      </c>
      <c r="E1342" s="1">
        <v>43113</v>
      </c>
      <c r="F1342" s="3" t="s">
        <v>990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 t="s">
        <v>6290</v>
      </c>
      <c r="D1343" s="1">
        <v>43112</v>
      </c>
      <c r="E1343" s="1">
        <v>43113</v>
      </c>
      <c r="F1343" s="3" t="s">
        <v>991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 t="s">
        <v>6290</v>
      </c>
      <c r="D1344" s="1">
        <v>43113</v>
      </c>
      <c r="E1344" s="1">
        <v>43115</v>
      </c>
      <c r="F1344" s="3" t="s">
        <v>990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 t="s">
        <v>6290</v>
      </c>
      <c r="D1345" s="1">
        <v>43113</v>
      </c>
      <c r="E1345" s="1">
        <v>43116</v>
      </c>
      <c r="F1345" s="3" t="s">
        <v>991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 t="s">
        <v>6290</v>
      </c>
      <c r="D1346" s="1">
        <v>43114</v>
      </c>
      <c r="E1346" s="1">
        <v>43115</v>
      </c>
      <c r="F1346" s="3" t="s">
        <v>991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 t="s">
        <v>6290</v>
      </c>
      <c r="D1347" s="1">
        <v>43114</v>
      </c>
      <c r="E1347" s="1">
        <v>43115</v>
      </c>
      <c r="F1347" s="3" t="s">
        <v>991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 t="s">
        <v>6290</v>
      </c>
      <c r="D1348" s="1">
        <v>43115</v>
      </c>
      <c r="E1348" s="1">
        <v>43118</v>
      </c>
      <c r="F1348" s="3" t="s">
        <v>992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 t="s">
        <v>6290</v>
      </c>
      <c r="D1349" s="1">
        <v>43115</v>
      </c>
      <c r="E1349" s="1">
        <v>43117</v>
      </c>
      <c r="F1349" s="3" t="s">
        <v>993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 t="s">
        <v>6290</v>
      </c>
      <c r="D1350" s="1">
        <v>43115</v>
      </c>
      <c r="E1350" s="1">
        <v>43117</v>
      </c>
      <c r="F1350" s="3" t="s">
        <v>994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 t="s">
        <v>6290</v>
      </c>
      <c r="D1351" s="1">
        <v>43115</v>
      </c>
      <c r="E1351" s="1">
        <v>43118</v>
      </c>
      <c r="F1351" s="3" t="s">
        <v>993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 t="s">
        <v>6290</v>
      </c>
      <c r="D1352" s="1">
        <v>43116</v>
      </c>
      <c r="E1352" s="1">
        <v>43119</v>
      </c>
      <c r="F1352" s="3" t="s">
        <v>995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 t="s">
        <v>6290</v>
      </c>
      <c r="D1353" s="1">
        <v>43116</v>
      </c>
      <c r="E1353" s="1">
        <v>43118</v>
      </c>
      <c r="F1353" s="3" t="s">
        <v>992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 t="s">
        <v>6290</v>
      </c>
      <c r="D1354" s="1">
        <v>43117</v>
      </c>
      <c r="E1354" s="1">
        <v>43119</v>
      </c>
      <c r="F1354" s="3" t="s">
        <v>992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 t="s">
        <v>6290</v>
      </c>
      <c r="D1355" s="1">
        <v>43119</v>
      </c>
      <c r="E1355" s="1">
        <v>43120</v>
      </c>
      <c r="F1355" s="3" t="s">
        <v>996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 t="s">
        <v>6290</v>
      </c>
      <c r="D1356" s="1">
        <v>43119</v>
      </c>
      <c r="E1356" s="1">
        <v>43121</v>
      </c>
      <c r="F1356" s="3" t="s">
        <v>997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 t="s">
        <v>6290</v>
      </c>
      <c r="D1357" s="1">
        <v>43119</v>
      </c>
      <c r="E1357" s="1">
        <v>43121</v>
      </c>
      <c r="F1357" s="3" t="s">
        <v>998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 t="s">
        <v>6290</v>
      </c>
      <c r="D1358" s="1">
        <v>43120</v>
      </c>
      <c r="E1358" s="1">
        <v>43123</v>
      </c>
      <c r="F1358" s="3" t="s">
        <v>996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 t="s">
        <v>6290</v>
      </c>
      <c r="D1359" s="1">
        <v>43121</v>
      </c>
      <c r="E1359" s="1">
        <v>43123</v>
      </c>
      <c r="F1359" s="3" t="s">
        <v>999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 t="s">
        <v>6290</v>
      </c>
      <c r="D1360" s="1">
        <v>43121</v>
      </c>
      <c r="E1360" s="1">
        <v>43122</v>
      </c>
      <c r="F1360" s="3" t="s">
        <v>998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 t="s">
        <v>6290</v>
      </c>
      <c r="D1361" s="1">
        <v>43122</v>
      </c>
      <c r="E1361" s="1">
        <v>43125</v>
      </c>
      <c r="F1361" s="3" t="s">
        <v>999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 t="s">
        <v>6290</v>
      </c>
      <c r="D1362" s="1">
        <v>43122</v>
      </c>
      <c r="E1362" s="1">
        <v>43124</v>
      </c>
      <c r="F1362" s="3" t="s">
        <v>1000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 t="s">
        <v>6290</v>
      </c>
      <c r="D1363" s="1">
        <v>43123</v>
      </c>
      <c r="E1363" s="1">
        <v>43124</v>
      </c>
      <c r="F1363" s="3" t="s">
        <v>1001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 t="s">
        <v>6290</v>
      </c>
      <c r="D1364" s="1">
        <v>43124</v>
      </c>
      <c r="E1364" s="1">
        <v>43125</v>
      </c>
      <c r="F1364" s="3" t="s">
        <v>1001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 t="s">
        <v>6290</v>
      </c>
      <c r="D1365" s="1">
        <v>43125</v>
      </c>
      <c r="E1365" s="1">
        <v>43128</v>
      </c>
      <c r="F1365" s="3" t="s">
        <v>1002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 t="s">
        <v>6290</v>
      </c>
      <c r="D1366" s="1">
        <v>43125</v>
      </c>
      <c r="E1366" s="1">
        <v>43128</v>
      </c>
      <c r="F1366" s="3" t="s">
        <v>1003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 t="s">
        <v>6290</v>
      </c>
      <c r="D1367" s="1">
        <v>43126</v>
      </c>
      <c r="E1367" s="1">
        <v>43127</v>
      </c>
      <c r="F1367" s="3" t="s">
        <v>1002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 t="s">
        <v>6290</v>
      </c>
      <c r="D1368" s="1">
        <v>43127</v>
      </c>
      <c r="E1368" s="1">
        <v>43128</v>
      </c>
      <c r="F1368" s="3" t="s">
        <v>1002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 t="s">
        <v>6290</v>
      </c>
      <c r="D1369" s="1">
        <v>43127</v>
      </c>
      <c r="E1369" s="1">
        <v>43128</v>
      </c>
      <c r="F1369" s="3" t="s">
        <v>1004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 t="s">
        <v>6290</v>
      </c>
      <c r="D1370" s="1">
        <v>43128</v>
      </c>
      <c r="E1370" s="1">
        <v>43130</v>
      </c>
      <c r="F1370" s="3" t="s">
        <v>1005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 t="s">
        <v>6290</v>
      </c>
      <c r="D1371" s="1">
        <v>43128</v>
      </c>
      <c r="E1371" s="1">
        <v>43129</v>
      </c>
      <c r="F1371" s="3" t="s">
        <v>1004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 t="s">
        <v>6290</v>
      </c>
      <c r="D1372" s="1">
        <v>43129</v>
      </c>
      <c r="E1372" s="1">
        <v>43130</v>
      </c>
      <c r="F1372" s="3" t="s">
        <v>1006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 t="s">
        <v>6290</v>
      </c>
      <c r="D1373" s="1">
        <v>43129</v>
      </c>
      <c r="E1373" s="1">
        <v>43132</v>
      </c>
      <c r="F1373" s="3" t="s">
        <v>1005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 t="s">
        <v>6290</v>
      </c>
      <c r="D1374" s="1">
        <v>43129</v>
      </c>
      <c r="E1374" s="1">
        <v>43131</v>
      </c>
      <c r="F1374" s="3" t="s">
        <v>1007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 t="s">
        <v>6290</v>
      </c>
      <c r="D1375" s="1">
        <v>43130</v>
      </c>
      <c r="E1375" s="1">
        <v>43132</v>
      </c>
      <c r="F1375" s="3" t="s">
        <v>1006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 t="s">
        <v>6290</v>
      </c>
      <c r="D1376" s="1">
        <v>43130</v>
      </c>
      <c r="E1376" s="1">
        <v>43132</v>
      </c>
      <c r="F1376" s="3" t="s">
        <v>1006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 t="s">
        <v>6290</v>
      </c>
      <c r="D1377" s="1">
        <v>43132</v>
      </c>
      <c r="E1377" s="1">
        <v>43133</v>
      </c>
      <c r="F1377" s="3" t="s">
        <v>1008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 t="s">
        <v>6290</v>
      </c>
      <c r="D1378" s="1">
        <v>43132</v>
      </c>
      <c r="E1378" s="1">
        <v>43134</v>
      </c>
      <c r="F1378" s="3" t="s">
        <v>1008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 t="s">
        <v>6290</v>
      </c>
      <c r="D1379" s="1">
        <v>43133</v>
      </c>
      <c r="E1379" s="1">
        <v>43136</v>
      </c>
      <c r="F1379" s="3" t="s">
        <v>1009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 t="s">
        <v>6290</v>
      </c>
      <c r="D1380" s="1">
        <v>43133</v>
      </c>
      <c r="E1380" s="1">
        <v>43136</v>
      </c>
      <c r="F1380" s="3" t="s">
        <v>1010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 t="s">
        <v>6290</v>
      </c>
      <c r="D1381" s="1">
        <v>43136</v>
      </c>
      <c r="E1381" s="1">
        <v>43139</v>
      </c>
      <c r="F1381" s="3" t="s">
        <v>1011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 t="s">
        <v>6290</v>
      </c>
      <c r="D1382" s="1">
        <v>43136</v>
      </c>
      <c r="E1382" s="1">
        <v>43137</v>
      </c>
      <c r="F1382" s="3" t="s">
        <v>1011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 t="s">
        <v>6290</v>
      </c>
      <c r="D1383" s="1">
        <v>43137</v>
      </c>
      <c r="E1383" s="1">
        <v>43140</v>
      </c>
      <c r="F1383" s="3" t="s">
        <v>1011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 t="s">
        <v>6290</v>
      </c>
      <c r="D1384" s="1">
        <v>43138</v>
      </c>
      <c r="E1384" s="1">
        <v>43139</v>
      </c>
      <c r="F1384" s="3" t="s">
        <v>1011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 t="s">
        <v>6290</v>
      </c>
      <c r="D1385" s="1">
        <v>43139</v>
      </c>
      <c r="E1385" s="1">
        <v>43141</v>
      </c>
      <c r="F1385" s="3" t="s">
        <v>1012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 t="s">
        <v>6290</v>
      </c>
      <c r="D1386" s="1">
        <v>43139</v>
      </c>
      <c r="E1386" s="1">
        <v>43142</v>
      </c>
      <c r="F1386" s="3" t="s">
        <v>1012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 t="s">
        <v>6290</v>
      </c>
      <c r="D1387" s="1">
        <v>43140</v>
      </c>
      <c r="E1387" s="1">
        <v>43141</v>
      </c>
      <c r="F1387" s="3" t="s">
        <v>1013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 t="s">
        <v>6290</v>
      </c>
      <c r="D1388" s="1">
        <v>43140</v>
      </c>
      <c r="E1388" s="1">
        <v>43142</v>
      </c>
      <c r="F1388" s="3" t="s">
        <v>1013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 t="s">
        <v>6290</v>
      </c>
      <c r="D1389" s="1">
        <v>43140</v>
      </c>
      <c r="E1389" s="1">
        <v>43143</v>
      </c>
      <c r="F1389" s="3" t="s">
        <v>1014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 t="s">
        <v>6290</v>
      </c>
      <c r="D1390" s="1">
        <v>43142</v>
      </c>
      <c r="E1390" s="1">
        <v>43143</v>
      </c>
      <c r="F1390" s="3" t="s">
        <v>1015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 t="s">
        <v>6290</v>
      </c>
      <c r="D1391" s="1">
        <v>43143</v>
      </c>
      <c r="E1391" s="1">
        <v>43144</v>
      </c>
      <c r="F1391" s="3" t="s">
        <v>1016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 t="s">
        <v>6290</v>
      </c>
      <c r="D1392" s="1">
        <v>43144</v>
      </c>
      <c r="E1392" s="1">
        <v>43145</v>
      </c>
      <c r="F1392" s="3" t="s">
        <v>1015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 t="s">
        <v>6290</v>
      </c>
      <c r="D1393" s="1">
        <v>43144</v>
      </c>
      <c r="E1393" s="1">
        <v>43145</v>
      </c>
      <c r="F1393" s="3" t="s">
        <v>1015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 t="s">
        <v>6290</v>
      </c>
      <c r="D1394" s="1">
        <v>43145</v>
      </c>
      <c r="E1394" s="1">
        <v>43146</v>
      </c>
      <c r="F1394" s="3" t="s">
        <v>1017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 t="s">
        <v>6290</v>
      </c>
      <c r="D1395" s="1">
        <v>43145</v>
      </c>
      <c r="E1395" s="1">
        <v>43147</v>
      </c>
      <c r="F1395" s="3" t="s">
        <v>1018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 t="s">
        <v>6290</v>
      </c>
      <c r="D1396" s="1">
        <v>43146</v>
      </c>
      <c r="E1396" s="1">
        <v>43149</v>
      </c>
      <c r="F1396" s="3" t="s">
        <v>1018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 t="s">
        <v>6290</v>
      </c>
      <c r="D1397" s="1">
        <v>43146</v>
      </c>
      <c r="E1397" s="1">
        <v>43149</v>
      </c>
      <c r="F1397" s="3" t="s">
        <v>1018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 t="s">
        <v>6290</v>
      </c>
      <c r="D1398" s="1">
        <v>43146</v>
      </c>
      <c r="E1398" s="1">
        <v>43148</v>
      </c>
      <c r="F1398" s="3" t="s">
        <v>1018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 t="s">
        <v>6290</v>
      </c>
      <c r="D1399" s="1">
        <v>43147</v>
      </c>
      <c r="E1399" s="1">
        <v>43150</v>
      </c>
      <c r="F1399" s="3" t="s">
        <v>1019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 t="s">
        <v>6290</v>
      </c>
      <c r="D1400" s="1">
        <v>43147</v>
      </c>
      <c r="E1400" s="1">
        <v>43149</v>
      </c>
      <c r="F1400" s="3" t="s">
        <v>1020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 t="s">
        <v>6290</v>
      </c>
      <c r="D1401" s="1">
        <v>43148</v>
      </c>
      <c r="E1401" s="1">
        <v>43149</v>
      </c>
      <c r="F1401" s="3" t="s">
        <v>1020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 t="s">
        <v>6290</v>
      </c>
      <c r="D1402" s="1">
        <v>43149</v>
      </c>
      <c r="E1402" s="1">
        <v>43150</v>
      </c>
      <c r="F1402" s="3" t="s">
        <v>1021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 t="s">
        <v>6290</v>
      </c>
      <c r="D1403" s="1">
        <v>43150</v>
      </c>
      <c r="E1403" s="1">
        <v>43152</v>
      </c>
      <c r="F1403" s="3" t="s">
        <v>1022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 t="s">
        <v>6290</v>
      </c>
      <c r="D1404" s="1">
        <v>43152</v>
      </c>
      <c r="E1404" s="1">
        <v>43153</v>
      </c>
      <c r="F1404" s="3" t="s">
        <v>1023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 t="s">
        <v>6290</v>
      </c>
      <c r="D1405" s="1">
        <v>43154</v>
      </c>
      <c r="E1405" s="1">
        <v>43157</v>
      </c>
      <c r="F1405" s="3" t="s">
        <v>1024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 t="s">
        <v>6290</v>
      </c>
      <c r="D1406" s="1">
        <v>43156</v>
      </c>
      <c r="E1406" s="1">
        <v>43159</v>
      </c>
      <c r="F1406" s="3" t="s">
        <v>1025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 t="s">
        <v>6290</v>
      </c>
      <c r="D1407" s="1">
        <v>43156</v>
      </c>
      <c r="E1407" s="1">
        <v>43158</v>
      </c>
      <c r="F1407" s="3" t="s">
        <v>1025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 t="s">
        <v>6291</v>
      </c>
      <c r="D1408" s="1">
        <v>43157</v>
      </c>
      <c r="E1408" s="1">
        <v>43157</v>
      </c>
      <c r="F1408" s="3">
        <f>orders___orders[[#This Row],[order_date]]+3</f>
        <v>43160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 t="s">
        <v>6290</v>
      </c>
      <c r="D1409" s="1">
        <v>43157</v>
      </c>
      <c r="E1409" s="1">
        <v>43158</v>
      </c>
      <c r="F1409" s="3" t="s">
        <v>1026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 t="s">
        <v>6290</v>
      </c>
      <c r="D1410" s="1">
        <v>43157</v>
      </c>
      <c r="E1410" s="1">
        <v>43159</v>
      </c>
      <c r="F1410" s="3" t="s">
        <v>1027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 t="s">
        <v>6290</v>
      </c>
      <c r="D1411" s="1">
        <v>43158</v>
      </c>
      <c r="E1411" s="1">
        <v>43159</v>
      </c>
      <c r="F1411" s="3" t="s">
        <v>1027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 t="s">
        <v>6290</v>
      </c>
      <c r="D1412" s="1">
        <v>43160</v>
      </c>
      <c r="E1412" s="1">
        <v>43161</v>
      </c>
      <c r="F1412" s="3" t="s">
        <v>1028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 t="s">
        <v>6290</v>
      </c>
      <c r="D1413" s="1">
        <v>43160</v>
      </c>
      <c r="E1413" s="1">
        <v>43161</v>
      </c>
      <c r="F1413" s="3" t="s">
        <v>1029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 t="s">
        <v>6290</v>
      </c>
      <c r="D1414" s="1">
        <v>43160</v>
      </c>
      <c r="E1414" s="1">
        <v>43162</v>
      </c>
      <c r="F1414" s="3" t="s">
        <v>1029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 t="s">
        <v>6290</v>
      </c>
      <c r="D1415" s="1">
        <v>43162</v>
      </c>
      <c r="E1415" s="1">
        <v>43164</v>
      </c>
      <c r="F1415" s="3" t="s">
        <v>1030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 t="s">
        <v>6290</v>
      </c>
      <c r="D1416" s="1">
        <v>43162</v>
      </c>
      <c r="E1416" s="1">
        <v>43163</v>
      </c>
      <c r="F1416" s="3" t="s">
        <v>1031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 t="s">
        <v>6290</v>
      </c>
      <c r="D1417" s="1">
        <v>43162</v>
      </c>
      <c r="E1417" s="1">
        <v>43163</v>
      </c>
      <c r="F1417" s="3" t="s">
        <v>1030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 t="s">
        <v>6290</v>
      </c>
      <c r="D1418" s="1">
        <v>43163</v>
      </c>
      <c r="E1418" s="1">
        <v>43165</v>
      </c>
      <c r="F1418" s="3" t="s">
        <v>1032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 t="s">
        <v>6290</v>
      </c>
      <c r="D1419" s="1">
        <v>43163</v>
      </c>
      <c r="E1419" s="1">
        <v>43164</v>
      </c>
      <c r="F1419" s="3" t="s">
        <v>1032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 t="s">
        <v>6290</v>
      </c>
      <c r="D1420" s="1">
        <v>43163</v>
      </c>
      <c r="E1420" s="1">
        <v>43166</v>
      </c>
      <c r="F1420" s="3" t="s">
        <v>1032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 t="s">
        <v>6290</v>
      </c>
      <c r="D1421" s="1">
        <v>43163</v>
      </c>
      <c r="E1421" s="1">
        <v>43164</v>
      </c>
      <c r="F1421" s="3" t="s">
        <v>1032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 t="s">
        <v>6290</v>
      </c>
      <c r="D1422" s="1">
        <v>43164</v>
      </c>
      <c r="E1422" s="1">
        <v>43166</v>
      </c>
      <c r="F1422" s="3" t="s">
        <v>1032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 t="s">
        <v>6290</v>
      </c>
      <c r="D1423" s="1">
        <v>43164</v>
      </c>
      <c r="E1423" s="1">
        <v>43165</v>
      </c>
      <c r="F1423" s="3" t="s">
        <v>1033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 t="s">
        <v>6290</v>
      </c>
      <c r="D1424" s="1">
        <v>43165</v>
      </c>
      <c r="E1424" s="1">
        <v>43166</v>
      </c>
      <c r="F1424" s="3" t="s">
        <v>1032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 t="s">
        <v>6290</v>
      </c>
      <c r="D1425" s="1">
        <v>43166</v>
      </c>
      <c r="E1425" s="1">
        <v>43169</v>
      </c>
      <c r="F1425" s="3" t="s">
        <v>1034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 t="s">
        <v>6290</v>
      </c>
      <c r="D1426" s="1">
        <v>43166</v>
      </c>
      <c r="E1426" s="1">
        <v>43168</v>
      </c>
      <c r="F1426" s="3" t="s">
        <v>1035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 t="s">
        <v>6290</v>
      </c>
      <c r="D1427" s="1">
        <v>43166</v>
      </c>
      <c r="E1427" s="1">
        <v>43167</v>
      </c>
      <c r="F1427" s="3" t="s">
        <v>1034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 t="s">
        <v>6290</v>
      </c>
      <c r="D1428" s="1">
        <v>43166</v>
      </c>
      <c r="E1428" s="1">
        <v>43167</v>
      </c>
      <c r="F1428" s="3" t="s">
        <v>1033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 t="s">
        <v>6290</v>
      </c>
      <c r="D1429" s="1">
        <v>43167</v>
      </c>
      <c r="E1429" s="1">
        <v>43169</v>
      </c>
      <c r="F1429" s="3" t="s">
        <v>1036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 t="s">
        <v>6290</v>
      </c>
      <c r="D1430" s="1">
        <v>43167</v>
      </c>
      <c r="E1430" s="1">
        <v>43168</v>
      </c>
      <c r="F1430" s="3" t="s">
        <v>1035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 t="s">
        <v>6290</v>
      </c>
      <c r="D1431" s="1">
        <v>43169</v>
      </c>
      <c r="E1431" s="1">
        <v>43172</v>
      </c>
      <c r="F1431" s="3" t="s">
        <v>1036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 t="s">
        <v>6290</v>
      </c>
      <c r="D1432" s="1">
        <v>43170</v>
      </c>
      <c r="E1432" s="1">
        <v>43171</v>
      </c>
      <c r="F1432" s="3" t="s">
        <v>1037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 t="s">
        <v>6290</v>
      </c>
      <c r="D1433" s="1">
        <v>43170</v>
      </c>
      <c r="E1433" s="1">
        <v>43171</v>
      </c>
      <c r="F1433" s="3" t="s">
        <v>1037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 t="s">
        <v>6290</v>
      </c>
      <c r="D1434" s="1">
        <v>43170</v>
      </c>
      <c r="E1434" s="1">
        <v>43172</v>
      </c>
      <c r="F1434" s="3" t="s">
        <v>1038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 t="s">
        <v>6290</v>
      </c>
      <c r="D1435" s="1">
        <v>43173</v>
      </c>
      <c r="E1435" s="1">
        <v>43175</v>
      </c>
      <c r="F1435" s="3" t="s">
        <v>1039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 t="s">
        <v>6290</v>
      </c>
      <c r="D1436" s="1">
        <v>43173</v>
      </c>
      <c r="E1436" s="1">
        <v>43174</v>
      </c>
      <c r="F1436" s="3" t="s">
        <v>1039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 t="s">
        <v>6290</v>
      </c>
      <c r="D1437" s="1">
        <v>43173</v>
      </c>
      <c r="E1437" s="1">
        <v>43176</v>
      </c>
      <c r="F1437" s="3" t="s">
        <v>1039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 t="s">
        <v>6290</v>
      </c>
      <c r="D1438" s="1">
        <v>43174</v>
      </c>
      <c r="E1438" s="1">
        <v>43175</v>
      </c>
      <c r="F1438" s="3" t="s">
        <v>1039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 t="s">
        <v>6290</v>
      </c>
      <c r="D1439" s="1">
        <v>43174</v>
      </c>
      <c r="E1439" s="1">
        <v>43176</v>
      </c>
      <c r="F1439" s="3" t="s">
        <v>1039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 t="s">
        <v>6290</v>
      </c>
      <c r="D1440" s="1">
        <v>43174</v>
      </c>
      <c r="E1440" s="1">
        <v>43175</v>
      </c>
      <c r="F1440" s="3" t="s">
        <v>1040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 t="s">
        <v>6290</v>
      </c>
      <c r="D1441" s="1">
        <v>43174</v>
      </c>
      <c r="E1441" s="1">
        <v>43177</v>
      </c>
      <c r="F1441" s="3" t="s">
        <v>1039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 t="s">
        <v>6290</v>
      </c>
      <c r="D1442" s="1">
        <v>43174</v>
      </c>
      <c r="E1442" s="1">
        <v>43175</v>
      </c>
      <c r="F1442" s="3" t="s">
        <v>1041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 t="s">
        <v>6290</v>
      </c>
      <c r="D1443" s="1">
        <v>43175</v>
      </c>
      <c r="E1443" s="1">
        <v>43176</v>
      </c>
      <c r="F1443" s="3" t="s">
        <v>1040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 t="s">
        <v>6290</v>
      </c>
      <c r="D1444" s="1">
        <v>43175</v>
      </c>
      <c r="E1444" s="1">
        <v>43176</v>
      </c>
      <c r="F1444" s="3" t="s">
        <v>1040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 t="s">
        <v>6290</v>
      </c>
      <c r="D1445" s="1">
        <v>43175</v>
      </c>
      <c r="E1445" s="1">
        <v>43176</v>
      </c>
      <c r="F1445" s="3" t="s">
        <v>1042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 t="s">
        <v>6290</v>
      </c>
      <c r="D1446" s="1">
        <v>43176</v>
      </c>
      <c r="E1446" s="1">
        <v>43177</v>
      </c>
      <c r="F1446" s="3" t="s">
        <v>1043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 t="s">
        <v>6290</v>
      </c>
      <c r="D1447" s="1">
        <v>43176</v>
      </c>
      <c r="E1447" s="1">
        <v>43177</v>
      </c>
      <c r="F1447" s="3" t="s">
        <v>1041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 t="s">
        <v>6290</v>
      </c>
      <c r="D1448" s="1">
        <v>43177</v>
      </c>
      <c r="E1448" s="1">
        <v>43179</v>
      </c>
      <c r="F1448" s="3" t="s">
        <v>1043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 t="s">
        <v>6290</v>
      </c>
      <c r="D1449" s="1">
        <v>43177</v>
      </c>
      <c r="E1449" s="1">
        <v>43178</v>
      </c>
      <c r="F1449" s="3" t="s">
        <v>1044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 t="s">
        <v>6290</v>
      </c>
      <c r="D1450" s="1">
        <v>43177</v>
      </c>
      <c r="E1450" s="1">
        <v>43178</v>
      </c>
      <c r="F1450" s="3" t="s">
        <v>1043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 t="s">
        <v>6290</v>
      </c>
      <c r="D1451" s="1">
        <v>43178</v>
      </c>
      <c r="E1451" s="1">
        <v>43179</v>
      </c>
      <c r="F1451" s="3" t="s">
        <v>1045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 t="s">
        <v>6290</v>
      </c>
      <c r="D1452" s="1">
        <v>43178</v>
      </c>
      <c r="E1452" s="1">
        <v>43181</v>
      </c>
      <c r="F1452" s="3" t="s">
        <v>1043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 t="s">
        <v>6290</v>
      </c>
      <c r="D1453" s="1">
        <v>43179</v>
      </c>
      <c r="E1453" s="1">
        <v>43182</v>
      </c>
      <c r="F1453" s="3" t="s">
        <v>1046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 t="s">
        <v>6290</v>
      </c>
      <c r="D1454" s="1">
        <v>43179</v>
      </c>
      <c r="E1454" s="1">
        <v>43182</v>
      </c>
      <c r="F1454" s="3" t="s">
        <v>1045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 t="s">
        <v>6290</v>
      </c>
      <c r="D1455" s="1">
        <v>43179</v>
      </c>
      <c r="E1455" s="1">
        <v>43180</v>
      </c>
      <c r="F1455" s="3" t="s">
        <v>1045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 t="s">
        <v>6290</v>
      </c>
      <c r="D1456" s="1">
        <v>43179</v>
      </c>
      <c r="E1456" s="1">
        <v>43181</v>
      </c>
      <c r="F1456" s="3" t="s">
        <v>1044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 t="s">
        <v>6290</v>
      </c>
      <c r="D1457" s="1">
        <v>43179</v>
      </c>
      <c r="E1457" s="1">
        <v>43180</v>
      </c>
      <c r="F1457" s="3" t="s">
        <v>1046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 t="s">
        <v>6290</v>
      </c>
      <c r="D1458" s="1">
        <v>43179</v>
      </c>
      <c r="E1458" s="1">
        <v>43182</v>
      </c>
      <c r="F1458" s="3" t="s">
        <v>1046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 t="s">
        <v>6290</v>
      </c>
      <c r="D1459" s="1">
        <v>43179</v>
      </c>
      <c r="E1459" s="1">
        <v>43181</v>
      </c>
      <c r="F1459" s="3" t="s">
        <v>1044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 t="s">
        <v>6290</v>
      </c>
      <c r="D1460" s="1">
        <v>43180</v>
      </c>
      <c r="E1460" s="1">
        <v>43181</v>
      </c>
      <c r="F1460" s="3" t="s">
        <v>1045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 t="s">
        <v>6290</v>
      </c>
      <c r="D1461" s="1">
        <v>43180</v>
      </c>
      <c r="E1461" s="1">
        <v>43182</v>
      </c>
      <c r="F1461" s="3" t="s">
        <v>1046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 t="s">
        <v>6290</v>
      </c>
      <c r="D1462" s="1">
        <v>43181</v>
      </c>
      <c r="E1462" s="1">
        <v>43184</v>
      </c>
      <c r="F1462" s="3" t="s">
        <v>1046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 t="s">
        <v>6290</v>
      </c>
      <c r="D1463" s="1">
        <v>43181</v>
      </c>
      <c r="E1463" s="1">
        <v>43183</v>
      </c>
      <c r="F1463" s="3" t="s">
        <v>1047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 t="s">
        <v>6290</v>
      </c>
      <c r="D1464" s="1">
        <v>43182</v>
      </c>
      <c r="E1464" s="1">
        <v>43183</v>
      </c>
      <c r="F1464" s="3" t="s">
        <v>1047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 t="s">
        <v>6290</v>
      </c>
      <c r="D1465" s="1">
        <v>43183</v>
      </c>
      <c r="E1465" s="1">
        <v>43184</v>
      </c>
      <c r="F1465" s="3" t="s">
        <v>1048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 t="s">
        <v>6290</v>
      </c>
      <c r="D1466" s="1">
        <v>43184</v>
      </c>
      <c r="E1466" s="1">
        <v>43187</v>
      </c>
      <c r="F1466" s="3" t="s">
        <v>1049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 t="s">
        <v>6290</v>
      </c>
      <c r="D1467" s="1">
        <v>43185</v>
      </c>
      <c r="E1467" s="1">
        <v>43188</v>
      </c>
      <c r="F1467" s="3" t="s">
        <v>1049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 t="s">
        <v>6290</v>
      </c>
      <c r="D1468" s="1">
        <v>43185</v>
      </c>
      <c r="E1468" s="1">
        <v>43186</v>
      </c>
      <c r="F1468" s="3" t="s">
        <v>1050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 t="s">
        <v>6290</v>
      </c>
      <c r="D1469" s="1">
        <v>43186</v>
      </c>
      <c r="E1469" s="1">
        <v>43189</v>
      </c>
      <c r="F1469" s="3" t="s">
        <v>1050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 t="s">
        <v>6290</v>
      </c>
      <c r="D1470" s="1">
        <v>43186</v>
      </c>
      <c r="E1470" s="1">
        <v>43187</v>
      </c>
      <c r="F1470" s="3" t="s">
        <v>1051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 t="s">
        <v>6290</v>
      </c>
      <c r="D1471" s="1">
        <v>43187</v>
      </c>
      <c r="E1471" s="1">
        <v>43190</v>
      </c>
      <c r="F1471" s="3" t="s">
        <v>1052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 t="s">
        <v>6290</v>
      </c>
      <c r="D1472" s="1">
        <v>43187</v>
      </c>
      <c r="E1472" s="1">
        <v>43189</v>
      </c>
      <c r="F1472" s="3" t="s">
        <v>1050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 t="s">
        <v>6290</v>
      </c>
      <c r="D1473" s="1">
        <v>43188</v>
      </c>
      <c r="E1473" s="1">
        <v>43189</v>
      </c>
      <c r="F1473" s="3" t="s">
        <v>1052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 t="s">
        <v>6290</v>
      </c>
      <c r="D1474" s="1">
        <v>43189</v>
      </c>
      <c r="E1474" s="1">
        <v>43191</v>
      </c>
      <c r="F1474" s="3" t="s">
        <v>1053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 t="s">
        <v>6290</v>
      </c>
      <c r="D1475" s="1">
        <v>43189</v>
      </c>
      <c r="E1475" s="1">
        <v>43191</v>
      </c>
      <c r="F1475" s="3" t="s">
        <v>1053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 t="s">
        <v>6290</v>
      </c>
      <c r="D1476" s="1">
        <v>43189</v>
      </c>
      <c r="E1476" s="1">
        <v>43191</v>
      </c>
      <c r="F1476" s="3" t="s">
        <v>1052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 t="s">
        <v>6290</v>
      </c>
      <c r="D1477" s="1">
        <v>43190</v>
      </c>
      <c r="E1477" s="1">
        <v>43191</v>
      </c>
      <c r="F1477" s="3" t="s">
        <v>1054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 t="s">
        <v>6290</v>
      </c>
      <c r="D1478" s="1">
        <v>43190</v>
      </c>
      <c r="E1478" s="1">
        <v>43193</v>
      </c>
      <c r="F1478" s="3" t="s">
        <v>1054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 t="s">
        <v>6290</v>
      </c>
      <c r="D1479" s="1">
        <v>43190</v>
      </c>
      <c r="E1479" s="1">
        <v>43192</v>
      </c>
      <c r="F1479" s="3" t="s">
        <v>1053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 t="s">
        <v>6293</v>
      </c>
      <c r="D1480" s="1">
        <v>43191</v>
      </c>
      <c r="E1480" s="1">
        <v>43191</v>
      </c>
      <c r="F1480" s="3">
        <f>orders___orders[[#This Row],[order_date]]+3</f>
        <v>43194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 t="s">
        <v>6293</v>
      </c>
      <c r="D1481" s="1">
        <v>43191</v>
      </c>
      <c r="E1481" s="1">
        <v>43191</v>
      </c>
      <c r="F1481" s="3">
        <f>orders___orders[[#This Row],[order_date]]+3</f>
        <v>43194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 t="s">
        <v>6294</v>
      </c>
      <c r="D1482" s="1">
        <v>43191</v>
      </c>
      <c r="E1482" s="1">
        <v>43191</v>
      </c>
      <c r="F1482" s="3">
        <f>orders___orders[[#This Row],[order_date]]+3</f>
        <v>43194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 t="s">
        <v>6294</v>
      </c>
      <c r="D1483" s="1">
        <v>43191</v>
      </c>
      <c r="E1483" s="1">
        <v>43191</v>
      </c>
      <c r="F1483" s="3">
        <f>orders___orders[[#This Row],[order_date]]+3</f>
        <v>43194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 t="s">
        <v>6294</v>
      </c>
      <c r="D1484" s="1">
        <v>43192</v>
      </c>
      <c r="E1484" s="1">
        <v>43192</v>
      </c>
      <c r="F1484" s="3">
        <f>orders___orders[[#This Row],[order_date]]+3</f>
        <v>43195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 t="s">
        <v>6293</v>
      </c>
      <c r="D1485" s="1">
        <v>43192</v>
      </c>
      <c r="E1485" s="1">
        <v>43192</v>
      </c>
      <c r="F1485" s="3">
        <f>orders___orders[[#This Row],[order_date]]+3</f>
        <v>43195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 t="s">
        <v>6293</v>
      </c>
      <c r="D1486" s="1">
        <v>43192</v>
      </c>
      <c r="E1486" s="1">
        <v>43192</v>
      </c>
      <c r="F1486" s="3">
        <f>orders___orders[[#This Row],[order_date]]+3</f>
        <v>43195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 t="s">
        <v>6293</v>
      </c>
      <c r="D1487" s="1">
        <v>43192</v>
      </c>
      <c r="E1487" s="1">
        <v>43192</v>
      </c>
      <c r="F1487" s="3">
        <f>orders___orders[[#This Row],[order_date]]+3</f>
        <v>43195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 t="s">
        <v>6294</v>
      </c>
      <c r="D1488" s="1">
        <v>43193</v>
      </c>
      <c r="E1488" s="1">
        <v>43193</v>
      </c>
      <c r="F1488" s="3">
        <f>orders___orders[[#This Row],[order_date]]+3</f>
        <v>43196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 t="s">
        <v>6293</v>
      </c>
      <c r="D1489" s="1">
        <v>43193</v>
      </c>
      <c r="E1489" s="1">
        <v>43193</v>
      </c>
      <c r="F1489" s="3">
        <f>orders___orders[[#This Row],[order_date]]+3</f>
        <v>43196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 t="s">
        <v>6294</v>
      </c>
      <c r="D1490" s="1">
        <v>43193</v>
      </c>
      <c r="E1490" s="1">
        <v>43193</v>
      </c>
      <c r="F1490" s="3">
        <f>orders___orders[[#This Row],[order_date]]+3</f>
        <v>43196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 t="s">
        <v>6293</v>
      </c>
      <c r="D1491" s="1">
        <v>43193</v>
      </c>
      <c r="E1491" s="1">
        <v>43193</v>
      </c>
      <c r="F1491" s="3">
        <f>orders___orders[[#This Row],[order_date]]+3</f>
        <v>43196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 t="s">
        <v>6294</v>
      </c>
      <c r="D1492" s="1">
        <v>43194</v>
      </c>
      <c r="E1492" s="1">
        <v>43194</v>
      </c>
      <c r="F1492" s="3">
        <f>orders___orders[[#This Row],[order_date]]+3</f>
        <v>43197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 t="s">
        <v>6294</v>
      </c>
      <c r="D1493" s="1">
        <v>43194</v>
      </c>
      <c r="E1493" s="1">
        <v>43194</v>
      </c>
      <c r="F1493" s="3">
        <f>orders___orders[[#This Row],[order_date]]+3</f>
        <v>43197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 t="s">
        <v>6293</v>
      </c>
      <c r="D1494" s="1">
        <v>43194</v>
      </c>
      <c r="E1494" s="1">
        <v>43194</v>
      </c>
      <c r="F1494" s="3">
        <f>orders___orders[[#This Row],[order_date]]+3</f>
        <v>43197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 t="s">
        <v>6293</v>
      </c>
      <c r="D1495" s="1">
        <v>43195</v>
      </c>
      <c r="E1495" s="1">
        <v>43195</v>
      </c>
      <c r="F1495" s="3">
        <f>orders___orders[[#This Row],[order_date]]+3</f>
        <v>43198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 t="s">
        <v>6293</v>
      </c>
      <c r="D1496" s="1">
        <v>43195</v>
      </c>
      <c r="E1496" s="1">
        <v>43195</v>
      </c>
      <c r="F1496" s="3">
        <f>orders___orders[[#This Row],[order_date]]+3</f>
        <v>43198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 t="s">
        <v>6294</v>
      </c>
      <c r="D1497" s="1">
        <v>43196</v>
      </c>
      <c r="E1497" s="1">
        <v>43196</v>
      </c>
      <c r="F1497" s="3">
        <f>orders___orders[[#This Row],[order_date]]+3</f>
        <v>43199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 t="s">
        <v>6293</v>
      </c>
      <c r="D1498" s="1">
        <v>43196</v>
      </c>
      <c r="E1498" s="1">
        <v>43196</v>
      </c>
      <c r="F1498" s="3">
        <f>orders___orders[[#This Row],[order_date]]+3</f>
        <v>43199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 t="s">
        <v>6294</v>
      </c>
      <c r="D1499" s="1">
        <v>43196</v>
      </c>
      <c r="E1499" s="1">
        <v>43196</v>
      </c>
      <c r="F1499" s="3">
        <f>orders___orders[[#This Row],[order_date]]+3</f>
        <v>43199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 t="s">
        <v>6293</v>
      </c>
      <c r="D1500" s="1">
        <v>43196</v>
      </c>
      <c r="E1500" s="1">
        <v>43196</v>
      </c>
      <c r="F1500" s="3">
        <f>orders___orders[[#This Row],[order_date]]+3</f>
        <v>43199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 t="s">
        <v>6293</v>
      </c>
      <c r="D1501" s="1">
        <v>43196</v>
      </c>
      <c r="E1501" s="1">
        <v>43196</v>
      </c>
      <c r="F1501" s="3">
        <f>orders___orders[[#This Row],[order_date]]+3</f>
        <v>43199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 t="s">
        <v>6294</v>
      </c>
      <c r="D1502" s="1">
        <v>43196</v>
      </c>
      <c r="E1502" s="1">
        <v>43196</v>
      </c>
      <c r="F1502" s="3">
        <f>orders___orders[[#This Row],[order_date]]+3</f>
        <v>43199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 t="s">
        <v>6293</v>
      </c>
      <c r="D1503" s="1">
        <v>43196</v>
      </c>
      <c r="E1503" s="1">
        <v>43196</v>
      </c>
      <c r="F1503" s="3">
        <f>orders___orders[[#This Row],[order_date]]+3</f>
        <v>43199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 t="s">
        <v>6293</v>
      </c>
      <c r="D1504" s="1">
        <v>43197</v>
      </c>
      <c r="E1504" s="1">
        <v>43197</v>
      </c>
      <c r="F1504" s="3">
        <f>orders___orders[[#This Row],[order_date]]+3</f>
        <v>43200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 t="s">
        <v>6293</v>
      </c>
      <c r="D1505" s="1">
        <v>43198</v>
      </c>
      <c r="E1505" s="1">
        <v>43198</v>
      </c>
      <c r="F1505" s="3">
        <f>orders___orders[[#This Row],[order_date]]+3</f>
        <v>43201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 t="s">
        <v>6294</v>
      </c>
      <c r="D1506" s="1">
        <v>43198</v>
      </c>
      <c r="E1506" s="1">
        <v>43198</v>
      </c>
      <c r="F1506" s="3">
        <f>orders___orders[[#This Row],[order_date]]+3</f>
        <v>43201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 t="s">
        <v>6294</v>
      </c>
      <c r="D1507" s="1">
        <v>43198</v>
      </c>
      <c r="E1507" s="1">
        <v>43198</v>
      </c>
      <c r="F1507" s="3">
        <f>orders___orders[[#This Row],[order_date]]+3</f>
        <v>43201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 t="s">
        <v>6293</v>
      </c>
      <c r="D1508" s="1">
        <v>43198</v>
      </c>
      <c r="E1508" s="1">
        <v>43198</v>
      </c>
      <c r="F1508" s="3">
        <f>orders___orders[[#This Row],[order_date]]+3</f>
        <v>43201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 t="s">
        <v>6293</v>
      </c>
      <c r="D1509" s="1">
        <v>43198</v>
      </c>
      <c r="E1509" s="1">
        <v>43198</v>
      </c>
      <c r="F1509" s="3">
        <f>orders___orders[[#This Row],[order_date]]+3</f>
        <v>43201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 t="s">
        <v>6294</v>
      </c>
      <c r="D1510" s="1">
        <v>43199</v>
      </c>
      <c r="E1510" s="1">
        <v>43199</v>
      </c>
      <c r="F1510" s="3">
        <f>orders___orders[[#This Row],[order_date]]+3</f>
        <v>43202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 t="s">
        <v>6293</v>
      </c>
      <c r="D1511" s="1">
        <v>43199</v>
      </c>
      <c r="E1511" s="1">
        <v>43199</v>
      </c>
      <c r="F1511" s="3">
        <f>orders___orders[[#This Row],[order_date]]+3</f>
        <v>43202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 t="s">
        <v>6294</v>
      </c>
      <c r="D1512" s="1">
        <v>43199</v>
      </c>
      <c r="E1512" s="1">
        <v>43199</v>
      </c>
      <c r="F1512" s="3">
        <f>orders___orders[[#This Row],[order_date]]+3</f>
        <v>43202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 t="s">
        <v>6294</v>
      </c>
      <c r="D1513" s="1">
        <v>43199</v>
      </c>
      <c r="E1513" s="1">
        <v>43199</v>
      </c>
      <c r="F1513" s="3">
        <f>orders___orders[[#This Row],[order_date]]+3</f>
        <v>43202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 t="s">
        <v>6293</v>
      </c>
      <c r="D1514" s="1">
        <v>43200</v>
      </c>
      <c r="E1514" s="1">
        <v>43200</v>
      </c>
      <c r="F1514" s="3">
        <f>orders___orders[[#This Row],[order_date]]+3</f>
        <v>43203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 t="s">
        <v>6293</v>
      </c>
      <c r="D1515" s="1">
        <v>43200</v>
      </c>
      <c r="E1515" s="1">
        <v>43200</v>
      </c>
      <c r="F1515" s="3">
        <f>orders___orders[[#This Row],[order_date]]+3</f>
        <v>43203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 t="s">
        <v>6294</v>
      </c>
      <c r="D1516" s="1">
        <v>43200</v>
      </c>
      <c r="E1516" s="1">
        <v>43200</v>
      </c>
      <c r="F1516" s="3">
        <f>orders___orders[[#This Row],[order_date]]+3</f>
        <v>43203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 t="s">
        <v>6293</v>
      </c>
      <c r="D1517" s="1">
        <v>43201</v>
      </c>
      <c r="E1517" s="1">
        <v>43201</v>
      </c>
      <c r="F1517" s="3">
        <f>orders___orders[[#This Row],[order_date]]+3</f>
        <v>43204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 t="s">
        <v>6294</v>
      </c>
      <c r="D1518" s="1">
        <v>43201</v>
      </c>
      <c r="E1518" s="1">
        <v>43201</v>
      </c>
      <c r="F1518" s="3">
        <f>orders___orders[[#This Row],[order_date]]+3</f>
        <v>43204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 t="s">
        <v>6294</v>
      </c>
      <c r="D1519" s="1">
        <v>43201</v>
      </c>
      <c r="E1519" s="1">
        <v>43201</v>
      </c>
      <c r="F1519" s="3">
        <f>orders___orders[[#This Row],[order_date]]+3</f>
        <v>43204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 t="s">
        <v>6293</v>
      </c>
      <c r="D1520" s="1">
        <v>43201</v>
      </c>
      <c r="E1520" s="1">
        <v>43201</v>
      </c>
      <c r="F1520" s="3">
        <f>orders___orders[[#This Row],[order_date]]+3</f>
        <v>43204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 t="s">
        <v>6293</v>
      </c>
      <c r="D1521" s="1">
        <v>43201</v>
      </c>
      <c r="E1521" s="1">
        <v>43201</v>
      </c>
      <c r="F1521" s="3">
        <f>orders___orders[[#This Row],[order_date]]+3</f>
        <v>43204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 t="s">
        <v>6294</v>
      </c>
      <c r="D1522" s="1">
        <v>43202</v>
      </c>
      <c r="E1522" s="1">
        <v>43202</v>
      </c>
      <c r="F1522" s="3">
        <f>orders___orders[[#This Row],[order_date]]+3</f>
        <v>43205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 t="s">
        <v>6294</v>
      </c>
      <c r="D1523" s="1">
        <v>43202</v>
      </c>
      <c r="E1523" s="1">
        <v>43202</v>
      </c>
      <c r="F1523" s="3">
        <f>orders___orders[[#This Row],[order_date]]+3</f>
        <v>43205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 t="s">
        <v>6294</v>
      </c>
      <c r="D1524" s="1">
        <v>43202</v>
      </c>
      <c r="E1524" s="1">
        <v>43202</v>
      </c>
      <c r="F1524" s="3">
        <f>orders___orders[[#This Row],[order_date]]+3</f>
        <v>43205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 t="s">
        <v>6294</v>
      </c>
      <c r="D1525" s="1">
        <v>43202</v>
      </c>
      <c r="E1525" s="1">
        <v>43202</v>
      </c>
      <c r="F1525" s="3">
        <f>orders___orders[[#This Row],[order_date]]+3</f>
        <v>43205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 t="s">
        <v>6293</v>
      </c>
      <c r="D1526" s="1">
        <v>43202</v>
      </c>
      <c r="E1526" s="1">
        <v>43202</v>
      </c>
      <c r="F1526" s="3">
        <f>orders___orders[[#This Row],[order_date]]+3</f>
        <v>43205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 t="s">
        <v>6293</v>
      </c>
      <c r="D1527" s="1">
        <v>43202</v>
      </c>
      <c r="E1527" s="1">
        <v>43202</v>
      </c>
      <c r="F1527" s="3">
        <f>orders___orders[[#This Row],[order_date]]+3</f>
        <v>43205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 t="s">
        <v>6293</v>
      </c>
      <c r="D1528" s="1">
        <v>43202</v>
      </c>
      <c r="E1528" s="1">
        <v>43202</v>
      </c>
      <c r="F1528" s="3">
        <f>orders___orders[[#This Row],[order_date]]+3</f>
        <v>43205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 t="s">
        <v>6294</v>
      </c>
      <c r="D1529" s="1">
        <v>43202</v>
      </c>
      <c r="E1529" s="1">
        <v>43202</v>
      </c>
      <c r="F1529" s="3">
        <f>orders___orders[[#This Row],[order_date]]+3</f>
        <v>43205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 t="s">
        <v>6294</v>
      </c>
      <c r="D1530" s="1">
        <v>43202</v>
      </c>
      <c r="E1530" s="1">
        <v>43202</v>
      </c>
      <c r="F1530" s="3">
        <f>orders___orders[[#This Row],[order_date]]+3</f>
        <v>43205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 t="s">
        <v>6294</v>
      </c>
      <c r="D1531" s="1">
        <v>43203</v>
      </c>
      <c r="E1531" s="1">
        <v>43203</v>
      </c>
      <c r="F1531" s="3">
        <f>orders___orders[[#This Row],[order_date]]+3</f>
        <v>43206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 t="s">
        <v>6294</v>
      </c>
      <c r="D1532" s="1">
        <v>43203</v>
      </c>
      <c r="E1532" s="1">
        <v>43203</v>
      </c>
      <c r="F1532" s="3">
        <f>orders___orders[[#This Row],[order_date]]+3</f>
        <v>43206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 t="s">
        <v>6293</v>
      </c>
      <c r="D1533" s="1">
        <v>43203</v>
      </c>
      <c r="E1533" s="1">
        <v>43203</v>
      </c>
      <c r="F1533" s="3">
        <f>orders___orders[[#This Row],[order_date]]+3</f>
        <v>43206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 t="s">
        <v>6293</v>
      </c>
      <c r="D1534" s="1">
        <v>43203</v>
      </c>
      <c r="E1534" s="1">
        <v>43203</v>
      </c>
      <c r="F1534" s="3">
        <f>orders___orders[[#This Row],[order_date]]+3</f>
        <v>43206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 t="s">
        <v>6293</v>
      </c>
      <c r="D1535" s="1">
        <v>43204</v>
      </c>
      <c r="E1535" s="1">
        <v>43204</v>
      </c>
      <c r="F1535" s="3">
        <f>orders___orders[[#This Row],[order_date]]+3</f>
        <v>43207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 t="s">
        <v>6293</v>
      </c>
      <c r="D1536" s="1">
        <v>43204</v>
      </c>
      <c r="E1536" s="1">
        <v>43204</v>
      </c>
      <c r="F1536" s="3">
        <f>orders___orders[[#This Row],[order_date]]+3</f>
        <v>43207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 t="s">
        <v>6293</v>
      </c>
      <c r="D1537" s="1">
        <v>43204</v>
      </c>
      <c r="E1537" s="1">
        <v>43204</v>
      </c>
      <c r="F1537" s="3">
        <f>orders___orders[[#This Row],[order_date]]+3</f>
        <v>43207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 t="s">
        <v>6294</v>
      </c>
      <c r="D1538" s="1">
        <v>43205</v>
      </c>
      <c r="E1538" s="1">
        <v>43205</v>
      </c>
      <c r="F1538" s="3">
        <f>orders___orders[[#This Row],[order_date]]+3</f>
        <v>43208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 t="s">
        <v>6293</v>
      </c>
      <c r="D1539" s="1">
        <v>43205</v>
      </c>
      <c r="E1539" s="1">
        <v>43205</v>
      </c>
      <c r="F1539" s="3">
        <f>orders___orders[[#This Row],[order_date]]+3</f>
        <v>43208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 t="s">
        <v>6294</v>
      </c>
      <c r="D1540" s="1">
        <v>43205</v>
      </c>
      <c r="E1540" s="1">
        <v>43205</v>
      </c>
      <c r="F1540" s="3">
        <f>orders___orders[[#This Row],[order_date]]+3</f>
        <v>43208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 t="s">
        <v>6294</v>
      </c>
      <c r="D1541" s="1">
        <v>43206</v>
      </c>
      <c r="E1541" s="1">
        <v>43206</v>
      </c>
      <c r="F1541" s="3">
        <f>orders___orders[[#This Row],[order_date]]+3</f>
        <v>43209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 t="s">
        <v>6293</v>
      </c>
      <c r="D1542" s="1">
        <v>43206</v>
      </c>
      <c r="E1542" s="1">
        <v>43206</v>
      </c>
      <c r="F1542" s="3">
        <f>orders___orders[[#This Row],[order_date]]+3</f>
        <v>43209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 t="s">
        <v>6293</v>
      </c>
      <c r="D1543" s="1">
        <v>43206</v>
      </c>
      <c r="E1543" s="1">
        <v>43206</v>
      </c>
      <c r="F1543" s="3">
        <f>orders___orders[[#This Row],[order_date]]+3</f>
        <v>43209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 t="s">
        <v>6294</v>
      </c>
      <c r="D1544" s="1">
        <v>43206</v>
      </c>
      <c r="E1544" s="1">
        <v>43206</v>
      </c>
      <c r="F1544" s="3">
        <f>orders___orders[[#This Row],[order_date]]+3</f>
        <v>43209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 t="s">
        <v>6294</v>
      </c>
      <c r="D1545" s="1">
        <v>43207</v>
      </c>
      <c r="E1545" s="1">
        <v>43207</v>
      </c>
      <c r="F1545" s="3">
        <f>orders___orders[[#This Row],[order_date]]+3</f>
        <v>43210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 t="s">
        <v>6294</v>
      </c>
      <c r="D1546" s="1">
        <v>43207</v>
      </c>
      <c r="E1546" s="1">
        <v>43207</v>
      </c>
      <c r="F1546" s="3">
        <f>orders___orders[[#This Row],[order_date]]+3</f>
        <v>43210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 t="s">
        <v>6293</v>
      </c>
      <c r="D1547" s="1">
        <v>43207</v>
      </c>
      <c r="E1547" s="1">
        <v>43207</v>
      </c>
      <c r="F1547" s="3">
        <f>orders___orders[[#This Row],[order_date]]+3</f>
        <v>43210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 t="s">
        <v>6294</v>
      </c>
      <c r="D1548" s="1">
        <v>43207</v>
      </c>
      <c r="E1548" s="1">
        <v>43207</v>
      </c>
      <c r="F1548" s="3">
        <f>orders___orders[[#This Row],[order_date]]+3</f>
        <v>43210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 t="s">
        <v>6294</v>
      </c>
      <c r="D1549" s="1">
        <v>43207</v>
      </c>
      <c r="E1549" s="1">
        <v>43207</v>
      </c>
      <c r="F1549" s="3">
        <f>orders___orders[[#This Row],[order_date]]+3</f>
        <v>43210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 t="s">
        <v>6294</v>
      </c>
      <c r="D1550" s="1">
        <v>43207</v>
      </c>
      <c r="E1550" s="1">
        <v>43207</v>
      </c>
      <c r="F1550" s="3">
        <f>orders___orders[[#This Row],[order_date]]+3</f>
        <v>43210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 t="s">
        <v>6294</v>
      </c>
      <c r="D1551" s="1">
        <v>43207</v>
      </c>
      <c r="E1551" s="1">
        <v>43207</v>
      </c>
      <c r="F1551" s="3">
        <f>orders___orders[[#This Row],[order_date]]+3</f>
        <v>43210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 t="s">
        <v>6294</v>
      </c>
      <c r="D1552" s="1">
        <v>43207</v>
      </c>
      <c r="E1552" s="1">
        <v>43207</v>
      </c>
      <c r="F1552" s="3">
        <f>orders___orders[[#This Row],[order_date]]+3</f>
        <v>43210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 t="s">
        <v>6294</v>
      </c>
      <c r="D1553" s="1">
        <v>43207</v>
      </c>
      <c r="E1553" s="1">
        <v>43207</v>
      </c>
      <c r="F1553" s="3">
        <f>orders___orders[[#This Row],[order_date]]+3</f>
        <v>43210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 t="s">
        <v>6293</v>
      </c>
      <c r="D1554" s="1">
        <v>43208</v>
      </c>
      <c r="E1554" s="1">
        <v>43208</v>
      </c>
      <c r="F1554" s="3">
        <f>orders___orders[[#This Row],[order_date]]+3</f>
        <v>43211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 t="s">
        <v>6294</v>
      </c>
      <c r="D1555" s="1">
        <v>43208</v>
      </c>
      <c r="E1555" s="1">
        <v>43208</v>
      </c>
      <c r="F1555" s="3">
        <f>orders___orders[[#This Row],[order_date]]+3</f>
        <v>43211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 t="s">
        <v>6294</v>
      </c>
      <c r="D1556" s="1">
        <v>43208</v>
      </c>
      <c r="E1556" s="1">
        <v>43208</v>
      </c>
      <c r="F1556" s="3">
        <f>orders___orders[[#This Row],[order_date]]+3</f>
        <v>43211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 t="s">
        <v>6293</v>
      </c>
      <c r="D1557" s="1">
        <v>43208</v>
      </c>
      <c r="E1557" s="1">
        <v>43208</v>
      </c>
      <c r="F1557" s="3">
        <f>orders___orders[[#This Row],[order_date]]+3</f>
        <v>43211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 t="s">
        <v>6293</v>
      </c>
      <c r="D1558" s="1">
        <v>43209</v>
      </c>
      <c r="E1558" s="1">
        <v>43209</v>
      </c>
      <c r="F1558" s="3">
        <f>orders___orders[[#This Row],[order_date]]+3</f>
        <v>43212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 t="s">
        <v>6294</v>
      </c>
      <c r="D1559" s="1">
        <v>43209</v>
      </c>
      <c r="E1559" s="1">
        <v>43209</v>
      </c>
      <c r="F1559" s="3">
        <f>orders___orders[[#This Row],[order_date]]+3</f>
        <v>43212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 t="s">
        <v>6293</v>
      </c>
      <c r="D1560" s="1">
        <v>43210</v>
      </c>
      <c r="E1560" s="1">
        <v>43210</v>
      </c>
      <c r="F1560" s="3">
        <f>orders___orders[[#This Row],[order_date]]+3</f>
        <v>43213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 t="s">
        <v>6294</v>
      </c>
      <c r="D1561" s="1">
        <v>43210</v>
      </c>
      <c r="E1561" s="1">
        <v>43210</v>
      </c>
      <c r="F1561" s="3">
        <f>orders___orders[[#This Row],[order_date]]+3</f>
        <v>43213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 t="s">
        <v>6293</v>
      </c>
      <c r="D1562" s="1">
        <v>43210</v>
      </c>
      <c r="E1562" s="1">
        <v>43210</v>
      </c>
      <c r="F1562" s="3">
        <f>orders___orders[[#This Row],[order_date]]+3</f>
        <v>43213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 t="s">
        <v>6294</v>
      </c>
      <c r="D1563" s="1">
        <v>43210</v>
      </c>
      <c r="E1563" s="1">
        <v>43210</v>
      </c>
      <c r="F1563" s="3">
        <f>orders___orders[[#This Row],[order_date]]+3</f>
        <v>43213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 t="s">
        <v>6293</v>
      </c>
      <c r="D1564" s="1">
        <v>43210</v>
      </c>
      <c r="E1564" s="1">
        <v>43210</v>
      </c>
      <c r="F1564" s="3">
        <f>orders___orders[[#This Row],[order_date]]+3</f>
        <v>43213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 t="s">
        <v>6294</v>
      </c>
      <c r="D1565" s="1">
        <v>43211</v>
      </c>
      <c r="E1565" s="1">
        <v>43211</v>
      </c>
      <c r="F1565" s="3">
        <f>orders___orders[[#This Row],[order_date]]+3</f>
        <v>43214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 t="s">
        <v>6293</v>
      </c>
      <c r="D1566" s="1">
        <v>43211</v>
      </c>
      <c r="E1566" s="1">
        <v>43211</v>
      </c>
      <c r="F1566" s="3">
        <f>orders___orders[[#This Row],[order_date]]+3</f>
        <v>43214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 t="s">
        <v>6294</v>
      </c>
      <c r="D1567" s="1">
        <v>43211</v>
      </c>
      <c r="E1567" s="1">
        <v>43211</v>
      </c>
      <c r="F1567" s="3">
        <f>orders___orders[[#This Row],[order_date]]+3</f>
        <v>43214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 t="s">
        <v>6293</v>
      </c>
      <c r="D1568" s="1">
        <v>43211</v>
      </c>
      <c r="E1568" s="1">
        <v>43211</v>
      </c>
      <c r="F1568" s="3">
        <f>orders___orders[[#This Row],[order_date]]+3</f>
        <v>43214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 t="s">
        <v>6293</v>
      </c>
      <c r="D1569" s="1">
        <v>43211</v>
      </c>
      <c r="E1569" s="1">
        <v>43211</v>
      </c>
      <c r="F1569" s="3">
        <f>orders___orders[[#This Row],[order_date]]+3</f>
        <v>43214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 t="s">
        <v>6293</v>
      </c>
      <c r="D1570" s="1">
        <v>43212</v>
      </c>
      <c r="E1570" s="1">
        <v>43212</v>
      </c>
      <c r="F1570" s="3">
        <f>orders___orders[[#This Row],[order_date]]+3</f>
        <v>43215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 t="s">
        <v>6293</v>
      </c>
      <c r="D1571" s="1">
        <v>43212</v>
      </c>
      <c r="E1571" s="1">
        <v>43212</v>
      </c>
      <c r="F1571" s="3">
        <f>orders___orders[[#This Row],[order_date]]+3</f>
        <v>43215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 t="s">
        <v>6294</v>
      </c>
      <c r="D1572" s="1">
        <v>43212</v>
      </c>
      <c r="E1572" s="1">
        <v>43212</v>
      </c>
      <c r="F1572" s="3">
        <f>orders___orders[[#This Row],[order_date]]+3</f>
        <v>43215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 t="s">
        <v>6294</v>
      </c>
      <c r="D1573" s="1">
        <v>43212</v>
      </c>
      <c r="E1573" s="1">
        <v>43212</v>
      </c>
      <c r="F1573" s="3">
        <f>orders___orders[[#This Row],[order_date]]+3</f>
        <v>43215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 t="s">
        <v>6293</v>
      </c>
      <c r="D1574" s="1">
        <v>43213</v>
      </c>
      <c r="E1574" s="1">
        <v>43213</v>
      </c>
      <c r="F1574" s="3">
        <f>orders___orders[[#This Row],[order_date]]+3</f>
        <v>43216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 t="s">
        <v>6294</v>
      </c>
      <c r="D1575" s="1">
        <v>43213</v>
      </c>
      <c r="E1575" s="1">
        <v>43213</v>
      </c>
      <c r="F1575" s="3">
        <f>orders___orders[[#This Row],[order_date]]+3</f>
        <v>43216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 t="s">
        <v>6293</v>
      </c>
      <c r="D1576" s="1">
        <v>43213</v>
      </c>
      <c r="E1576" s="1">
        <v>43213</v>
      </c>
      <c r="F1576" s="3">
        <f>orders___orders[[#This Row],[order_date]]+3</f>
        <v>43216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 t="s">
        <v>6293</v>
      </c>
      <c r="D1577" s="1">
        <v>43213</v>
      </c>
      <c r="E1577" s="1">
        <v>43213</v>
      </c>
      <c r="F1577" s="3">
        <f>orders___orders[[#This Row],[order_date]]+3</f>
        <v>43216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 t="s">
        <v>6294</v>
      </c>
      <c r="D1578" s="1">
        <v>43213</v>
      </c>
      <c r="E1578" s="1">
        <v>43213</v>
      </c>
      <c r="F1578" s="3">
        <f>orders___orders[[#This Row],[order_date]]+3</f>
        <v>43216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 t="s">
        <v>6293</v>
      </c>
      <c r="D1579" s="1">
        <v>43213</v>
      </c>
      <c r="E1579" s="1">
        <v>43213</v>
      </c>
      <c r="F1579" s="3">
        <f>orders___orders[[#This Row],[order_date]]+3</f>
        <v>43216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 t="s">
        <v>6293</v>
      </c>
      <c r="D1580" s="1">
        <v>43214</v>
      </c>
      <c r="E1580" s="1">
        <v>43214</v>
      </c>
      <c r="F1580" s="3">
        <f>orders___orders[[#This Row],[order_date]]+3</f>
        <v>43217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 t="s">
        <v>6293</v>
      </c>
      <c r="D1581" s="1">
        <v>43214</v>
      </c>
      <c r="E1581" s="1">
        <v>43214</v>
      </c>
      <c r="F1581" s="3">
        <f>orders___orders[[#This Row],[order_date]]+3</f>
        <v>43217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 t="s">
        <v>6293</v>
      </c>
      <c r="D1582" s="1">
        <v>43215</v>
      </c>
      <c r="E1582" s="1">
        <v>43215</v>
      </c>
      <c r="F1582" s="3">
        <f>orders___orders[[#This Row],[order_date]]+3</f>
        <v>43218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 t="s">
        <v>6294</v>
      </c>
      <c r="D1583" s="1">
        <v>43215</v>
      </c>
      <c r="E1583" s="1">
        <v>43215</v>
      </c>
      <c r="F1583" s="3">
        <f>orders___orders[[#This Row],[order_date]]+3</f>
        <v>43218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 t="s">
        <v>6294</v>
      </c>
      <c r="D1584" s="1">
        <v>43215</v>
      </c>
      <c r="E1584" s="1">
        <v>43215</v>
      </c>
      <c r="F1584" s="3">
        <f>orders___orders[[#This Row],[order_date]]+3</f>
        <v>43218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 t="s">
        <v>6293</v>
      </c>
      <c r="D1585" s="1">
        <v>43216</v>
      </c>
      <c r="E1585" s="1">
        <v>43216</v>
      </c>
      <c r="F1585" s="3">
        <f>orders___orders[[#This Row],[order_date]]+3</f>
        <v>43219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 t="s">
        <v>6294</v>
      </c>
      <c r="D1586" s="1">
        <v>43216</v>
      </c>
      <c r="E1586" s="1">
        <v>43216</v>
      </c>
      <c r="F1586" s="3">
        <f>orders___orders[[#This Row],[order_date]]+3</f>
        <v>43219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 t="s">
        <v>6294</v>
      </c>
      <c r="D1587" s="1">
        <v>43216</v>
      </c>
      <c r="E1587" s="1">
        <v>43216</v>
      </c>
      <c r="F1587" s="3">
        <f>orders___orders[[#This Row],[order_date]]+3</f>
        <v>43219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 t="s">
        <v>6293</v>
      </c>
      <c r="D1588" s="1">
        <v>43216</v>
      </c>
      <c r="E1588" s="1">
        <v>43216</v>
      </c>
      <c r="F1588" s="3">
        <f>orders___orders[[#This Row],[order_date]]+3</f>
        <v>43219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 t="s">
        <v>6294</v>
      </c>
      <c r="D1589" s="1">
        <v>43216</v>
      </c>
      <c r="E1589" s="1">
        <v>43216</v>
      </c>
      <c r="F1589" s="3">
        <f>orders___orders[[#This Row],[order_date]]+3</f>
        <v>43219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 t="s">
        <v>6293</v>
      </c>
      <c r="D1590" s="1">
        <v>43217</v>
      </c>
      <c r="E1590" s="1">
        <v>43217</v>
      </c>
      <c r="F1590" s="3">
        <f>orders___orders[[#This Row],[order_date]]+3</f>
        <v>43220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 t="s">
        <v>6294</v>
      </c>
      <c r="D1591" s="1">
        <v>43217</v>
      </c>
      <c r="E1591" s="1">
        <v>43217</v>
      </c>
      <c r="F1591" s="3">
        <f>orders___orders[[#This Row],[order_date]]+3</f>
        <v>43220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 t="s">
        <v>6293</v>
      </c>
      <c r="D1592" s="1">
        <v>43217</v>
      </c>
      <c r="E1592" s="1">
        <v>43217</v>
      </c>
      <c r="F1592" s="3">
        <f>orders___orders[[#This Row],[order_date]]+3</f>
        <v>43220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 t="s">
        <v>6293</v>
      </c>
      <c r="D1593" s="1">
        <v>43217</v>
      </c>
      <c r="E1593" s="1">
        <v>43217</v>
      </c>
      <c r="F1593" s="3">
        <f>orders___orders[[#This Row],[order_date]]+3</f>
        <v>43220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 t="s">
        <v>6294</v>
      </c>
      <c r="D1594" s="1">
        <v>43217</v>
      </c>
      <c r="E1594" s="1">
        <v>43217</v>
      </c>
      <c r="F1594" s="3">
        <f>orders___orders[[#This Row],[order_date]]+3</f>
        <v>43220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 t="s">
        <v>6294</v>
      </c>
      <c r="D1595" s="1">
        <v>43218</v>
      </c>
      <c r="E1595" s="1">
        <v>43218</v>
      </c>
      <c r="F1595" s="3">
        <f>orders___orders[[#This Row],[order_date]]+3</f>
        <v>43221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 t="s">
        <v>6293</v>
      </c>
      <c r="D1596" s="1">
        <v>43218</v>
      </c>
      <c r="E1596" s="1">
        <v>43218</v>
      </c>
      <c r="F1596" s="3">
        <f>orders___orders[[#This Row],[order_date]]+3</f>
        <v>43221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 t="s">
        <v>6293</v>
      </c>
      <c r="D1597" s="1">
        <v>43218</v>
      </c>
      <c r="E1597" s="1">
        <v>43218</v>
      </c>
      <c r="F1597" s="3">
        <f>orders___orders[[#This Row],[order_date]]+3</f>
        <v>43221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 t="s">
        <v>6294</v>
      </c>
      <c r="D1598" s="1">
        <v>43218</v>
      </c>
      <c r="E1598" s="1">
        <v>43218</v>
      </c>
      <c r="F1598" s="3">
        <f>orders___orders[[#This Row],[order_date]]+3</f>
        <v>43221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 t="s">
        <v>6293</v>
      </c>
      <c r="D1599" s="1">
        <v>43219</v>
      </c>
      <c r="E1599" s="1">
        <v>43219</v>
      </c>
      <c r="F1599" s="3">
        <f>orders___orders[[#This Row],[order_date]]+3</f>
        <v>43222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 t="s">
        <v>6294</v>
      </c>
      <c r="D1600" s="1">
        <v>43219</v>
      </c>
      <c r="E1600" s="1">
        <v>43219</v>
      </c>
      <c r="F1600" s="3">
        <f>orders___orders[[#This Row],[order_date]]+3</f>
        <v>43222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 t="s">
        <v>6294</v>
      </c>
      <c r="D1601" s="1">
        <v>43219</v>
      </c>
      <c r="E1601" s="1">
        <v>43219</v>
      </c>
      <c r="F1601" s="3">
        <f>orders___orders[[#This Row],[order_date]]+3</f>
        <v>43222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 t="s">
        <v>6294</v>
      </c>
      <c r="D1602" s="1">
        <v>43219</v>
      </c>
      <c r="E1602" s="1">
        <v>43219</v>
      </c>
      <c r="F1602" s="3">
        <f>orders___orders[[#This Row],[order_date]]+3</f>
        <v>43222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 t="s">
        <v>6294</v>
      </c>
      <c r="D1603" s="1">
        <v>43220</v>
      </c>
      <c r="E1603" s="1">
        <v>43220</v>
      </c>
      <c r="F1603" s="3">
        <f>orders___orders[[#This Row],[order_date]]+3</f>
        <v>43223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 t="s">
        <v>6293</v>
      </c>
      <c r="D1604" s="1">
        <v>43220</v>
      </c>
      <c r="E1604" s="1">
        <v>43220</v>
      </c>
      <c r="F1604" s="3">
        <f>orders___orders[[#This Row],[order_date]]+3</f>
        <v>43223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 t="s">
        <v>6291</v>
      </c>
      <c r="D1605" s="1">
        <v>43268</v>
      </c>
      <c r="E1605" s="1">
        <v>43268</v>
      </c>
      <c r="F1605" s="3">
        <f>orders___orders[[#This Row],[order_date]]+3</f>
        <v>43271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 t="s">
        <v>6291</v>
      </c>
      <c r="D1606" s="1">
        <v>43282</v>
      </c>
      <c r="E1606" s="1">
        <v>43282</v>
      </c>
      <c r="F1606" s="3">
        <f>orders___orders[[#This Row],[order_date]]+3</f>
        <v>43285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 t="s">
        <v>6291</v>
      </c>
      <c r="D1607" s="1">
        <v>43291</v>
      </c>
      <c r="E1607" s="1">
        <v>43291</v>
      </c>
      <c r="F1607" s="3">
        <f>orders___orders[[#This Row],[order_date]]+3</f>
        <v>43294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 t="s">
        <v>6291</v>
      </c>
      <c r="D1608" s="1">
        <v>43292</v>
      </c>
      <c r="E1608" s="1">
        <v>43292</v>
      </c>
      <c r="F1608" s="3">
        <f>orders___orders[[#This Row],[order_date]]+3</f>
        <v>43295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 t="s">
        <v>6291</v>
      </c>
      <c r="D1609" s="1">
        <v>43293</v>
      </c>
      <c r="E1609" s="1">
        <v>43293</v>
      </c>
      <c r="F1609" s="3">
        <f>orders___orders[[#This Row],[order_date]]+3</f>
        <v>43296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 t="s">
        <v>6291</v>
      </c>
      <c r="D1610" s="1">
        <v>43335</v>
      </c>
      <c r="E1610" s="1">
        <v>43335</v>
      </c>
      <c r="F1610" s="3">
        <f>orders___orders[[#This Row],[order_date]]+3</f>
        <v>43338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 t="s">
        <v>6291</v>
      </c>
      <c r="D1611" s="1">
        <v>43337</v>
      </c>
      <c r="E1611" s="1">
        <v>43337</v>
      </c>
      <c r="F1611" s="3">
        <f>orders___orders[[#This Row],[order_date]]+3</f>
        <v>43340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 t="s">
        <v>6291</v>
      </c>
      <c r="D1612" s="1">
        <v>43349</v>
      </c>
      <c r="E1612" s="1">
        <v>43349</v>
      </c>
      <c r="F1612" s="3">
        <f>orders___orders[[#This Row],[order_date]]+3</f>
        <v>43352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 t="s">
        <v>6291</v>
      </c>
      <c r="D1613" s="1">
        <v>43394</v>
      </c>
      <c r="E1613" s="1">
        <v>43394</v>
      </c>
      <c r="F1613" s="3">
        <f>orders___orders[[#This Row],[order_date]]+3</f>
        <v>43397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 t="s">
        <v>6291</v>
      </c>
      <c r="D1614" s="1">
        <v>43422</v>
      </c>
      <c r="E1614" s="1">
        <v>43422</v>
      </c>
      <c r="F1614" s="3">
        <f>orders___orders[[#This Row],[order_date]]+3</f>
        <v>43425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 t="s">
        <v>6291</v>
      </c>
      <c r="D1615" s="1">
        <v>43432</v>
      </c>
      <c r="E1615" s="1">
        <v>43432</v>
      </c>
      <c r="F1615" s="3">
        <f>orders___orders[[#This Row],[order_date]]+3</f>
        <v>43435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 t="s">
        <v>6291</v>
      </c>
      <c r="D1616" s="1">
        <v>43462</v>
      </c>
      <c r="E1616" s="1">
        <v>43462</v>
      </c>
      <c r="F1616" s="3">
        <f>orders___orders[[#This Row],[order_date]]+3</f>
        <v>43465</v>
      </c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3B7A-8FDA-40CE-92B8-6212A9FD8271}">
  <dimension ref="A1:B8"/>
  <sheetViews>
    <sheetView workbookViewId="0">
      <selection activeCell="B1" sqref="B1"/>
    </sheetView>
  </sheetViews>
  <sheetFormatPr defaultRowHeight="14.4" x14ac:dyDescent="0.3"/>
  <cols>
    <col min="1" max="1" width="12.77734375" bestFit="1" customWidth="1"/>
    <col min="2" max="2" width="17" bestFit="1" customWidth="1"/>
  </cols>
  <sheetData>
    <row r="1" spans="1:2" x14ac:dyDescent="0.3">
      <c r="A1" t="s">
        <v>5</v>
      </c>
      <c r="B1" t="s">
        <v>6282</v>
      </c>
    </row>
    <row r="2" spans="1:2" x14ac:dyDescent="0.3">
      <c r="A2">
        <v>1</v>
      </c>
      <c r="B2" t="s">
        <v>6283</v>
      </c>
    </row>
    <row r="3" spans="1:2" x14ac:dyDescent="0.3">
      <c r="A3">
        <v>2</v>
      </c>
      <c r="B3" t="s">
        <v>6284</v>
      </c>
    </row>
    <row r="4" spans="1:2" x14ac:dyDescent="0.3">
      <c r="A4">
        <v>3</v>
      </c>
      <c r="B4" t="s">
        <v>6285</v>
      </c>
    </row>
    <row r="5" spans="1:2" x14ac:dyDescent="0.3">
      <c r="A5">
        <v>4</v>
      </c>
      <c r="B5" t="s">
        <v>6286</v>
      </c>
    </row>
    <row r="6" spans="1:2" x14ac:dyDescent="0.3">
      <c r="A6">
        <v>5</v>
      </c>
      <c r="B6" t="s">
        <v>6287</v>
      </c>
    </row>
    <row r="7" spans="1:2" x14ac:dyDescent="0.3">
      <c r="A7">
        <v>6</v>
      </c>
      <c r="B7" t="s">
        <v>6288</v>
      </c>
    </row>
    <row r="8" spans="1:2" x14ac:dyDescent="0.3">
      <c r="A8">
        <v>7</v>
      </c>
      <c r="B8" t="s">
        <v>6289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82FE36-48DD-48A2-919F-4607D3632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order_items </vt:lpstr>
      <vt:lpstr>stocks</vt:lpstr>
      <vt:lpstr>PIVOT</vt:lpstr>
      <vt:lpstr>products </vt:lpstr>
      <vt:lpstr>stores </vt:lpstr>
      <vt:lpstr>staffs </vt:lpstr>
      <vt:lpstr>customers </vt:lpstr>
      <vt:lpstr>orders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2026-08-31T12:40:04Z</dcterms:created>
  <dcterms:modified xsi:type="dcterms:W3CDTF">2026-09-16T13:27:15Z</dcterms:modified>
</cp:coreProperties>
</file>